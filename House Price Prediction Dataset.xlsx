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42824045-CB01-4FD6-BD08-1BD5BC58969A}" xr6:coauthVersionLast="47" xr6:coauthVersionMax="47" xr10:uidLastSave="{00000000-0000-0000-0000-000000000000}"/>
  <bookViews>
    <workbookView xWindow="-110" yWindow="-110" windowWidth="25820" windowHeight="13900" activeTab="2" xr2:uid="{DCFAC950-01E6-4BD3-811F-53C66077C2E2}"/>
  </bookViews>
  <sheets>
    <sheet name="House Price Prediction Dataset" sheetId="1" r:id="rId1"/>
    <sheet name="Table" sheetId="2" r:id="rId2"/>
    <sheet name="Dashboard" sheetId="3" r:id="rId3"/>
  </sheets>
  <definedNames>
    <definedName name="_xlnm._FilterDatabase" localSheetId="0" hidden="1">'House Price Prediction Dataset'!$A$1:$M$2001</definedName>
    <definedName name="Slicer_Area_Bracket">#N/A</definedName>
    <definedName name="Slicer_Condition">#N/A</definedName>
    <definedName name="Slicer_Garage">#N/A</definedName>
    <definedName name="Slicer_Location">#N/A</definedName>
    <definedName name="Slicer_Price_Bracket">#N/A</definedName>
  </definedNames>
  <calcPr calcId="191029"/>
  <pivotCaches>
    <pivotCache cacheId="3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 i="1"/>
</calcChain>
</file>

<file path=xl/sharedStrings.xml><?xml version="1.0" encoding="utf-8"?>
<sst xmlns="http://schemas.openxmlformats.org/spreadsheetml/2006/main" count="6069" uniqueCount="49">
  <si>
    <t>Id</t>
  </si>
  <si>
    <t>Area</t>
  </si>
  <si>
    <t>Bedrooms</t>
  </si>
  <si>
    <t>Bathrooms</t>
  </si>
  <si>
    <t>Floors</t>
  </si>
  <si>
    <t>YearBuilt</t>
  </si>
  <si>
    <t>Location</t>
  </si>
  <si>
    <t>Condition</t>
  </si>
  <si>
    <t>Garage</t>
  </si>
  <si>
    <t>Price</t>
  </si>
  <si>
    <t>Downtown</t>
  </si>
  <si>
    <t>Excellent</t>
  </si>
  <si>
    <t>No</t>
  </si>
  <si>
    <t>Good</t>
  </si>
  <si>
    <t>Suburban</t>
  </si>
  <si>
    <t>Fair</t>
  </si>
  <si>
    <t>Yes</t>
  </si>
  <si>
    <t>Urban</t>
  </si>
  <si>
    <t>Poor</t>
  </si>
  <si>
    <t>Rural</t>
  </si>
  <si>
    <t xml:space="preserve">Year Bracket </t>
  </si>
  <si>
    <t xml:space="preserve">Price Bracket </t>
  </si>
  <si>
    <t>Area Bracket</t>
  </si>
  <si>
    <t>Extra Large</t>
  </si>
  <si>
    <t>Large</t>
  </si>
  <si>
    <t>Medium</t>
  </si>
  <si>
    <t>Small</t>
  </si>
  <si>
    <t>High</t>
  </si>
  <si>
    <t>Low</t>
  </si>
  <si>
    <t>Premium</t>
  </si>
  <si>
    <t>1950-1975</t>
  </si>
  <si>
    <t>1976-2000</t>
  </si>
  <si>
    <t>Post-2000</t>
  </si>
  <si>
    <t>Pre-1950</t>
  </si>
  <si>
    <t>Average Price</t>
  </si>
  <si>
    <t>Average Price According to Area</t>
  </si>
  <si>
    <t>Years</t>
  </si>
  <si>
    <t>Average Price According to Years</t>
  </si>
  <si>
    <t>Average Price According to Location</t>
  </si>
  <si>
    <t>Average Price According to Condition</t>
  </si>
  <si>
    <t xml:space="preserve">Average Price According to Floors and Garage </t>
  </si>
  <si>
    <t>Average Price and Garage</t>
  </si>
  <si>
    <r>
      <rPr>
        <b/>
        <sz val="11"/>
        <color theme="1"/>
        <rFont val="Arial"/>
        <family val="2"/>
      </rPr>
      <t>Year Built vs. Price:</t>
    </r>
    <r>
      <rPr>
        <sz val="11"/>
        <color theme="1"/>
        <rFont val="Arial"/>
        <family val="2"/>
      </rPr>
      <t xml:space="preserve">
Houses built in more recent years (Post-2000) are generally priced higher compared to older ones (e.g., Pre-1950).
The trend suggests a positive relationship between the recency of construction and the market value.</t>
    </r>
  </si>
  <si>
    <r>
      <rPr>
        <b/>
        <sz val="11"/>
        <color theme="1"/>
        <rFont val="Arial"/>
        <family val="2"/>
      </rPr>
      <t>Location vs. Price:</t>
    </r>
    <r>
      <rPr>
        <sz val="11"/>
        <color theme="1"/>
        <rFont val="Arial"/>
        <family val="2"/>
      </rPr>
      <t xml:space="preserve">
Urban and Downtown areas command higher prices on average compared to Rural or Suburban areas.
Premium price brackets dominate in Urban and Downtown locations, likely due to better amenities or demand.</t>
    </r>
  </si>
  <si>
    <r>
      <rPr>
        <b/>
        <sz val="11"/>
        <color theme="1"/>
        <rFont val="Arial"/>
        <family val="2"/>
      </rPr>
      <t>Condition vs. Price:</t>
    </r>
    <r>
      <rPr>
        <sz val="11"/>
        <color theme="1"/>
        <rFont val="Arial"/>
        <family val="2"/>
      </rPr>
      <t xml:space="preserve">
Houses in Excellent condition are predominantly in the High and Premium price categories.
Poor-condition houses rarely exceed the Low or Medium price range, indicating the importance of upkeep and renovations.</t>
    </r>
  </si>
  <si>
    <r>
      <rPr>
        <b/>
        <sz val="12"/>
        <color theme="1"/>
        <rFont val="Arial"/>
        <family val="2"/>
      </rPr>
      <t>Area vs. Price:</t>
    </r>
    <r>
      <rPr>
        <sz val="12"/>
        <color theme="1"/>
        <rFont val="Arial"/>
        <family val="2"/>
      </rPr>
      <t xml:space="preserve">
Larger houses (Extra Large and Large) tend to have higher prices, especially in the Premium category.
Smaller houses (Small and Medium) are more likely to fall in the Low to Medium price range.</t>
    </r>
  </si>
  <si>
    <t>Results:</t>
  </si>
  <si>
    <r>
      <rPr>
        <b/>
        <sz val="10"/>
        <color theme="1"/>
        <rFont val="Arial"/>
        <family val="2"/>
      </rPr>
      <t>Garage and Floors vs. Price:</t>
    </r>
    <r>
      <rPr>
        <sz val="10"/>
        <color theme="1"/>
        <rFont val="Arial"/>
        <family val="2"/>
      </rPr>
      <t xml:space="preserve">
Houses with a garage consistently have higher prices across different floor levels.
Price increases with the number of floors, with 3-floor houses fetching the highest premiums, especially if they include a garage.</t>
    </r>
  </si>
  <si>
    <t>House Price Prediction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</si>
</sst>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6"/>
      <color theme="1"/>
      <name val="Arial"/>
      <family val="2"/>
    </font>
    <font>
      <b/>
      <sz val="11"/>
      <color theme="1"/>
      <name val="Arial"/>
      <family val="2"/>
    </font>
    <font>
      <sz val="11"/>
      <color theme="1"/>
      <name val="Arial"/>
      <family val="2"/>
    </font>
    <font>
      <sz val="12"/>
      <color theme="1"/>
      <name val="Arial"/>
      <family val="2"/>
    </font>
    <font>
      <sz val="10"/>
      <color theme="1"/>
      <name val="Arial"/>
      <family val="2"/>
    </font>
    <font>
      <b/>
      <sz val="12"/>
      <color theme="1"/>
      <name val="Arial"/>
      <family val="2"/>
    </font>
    <font>
      <sz val="22"/>
      <color theme="1"/>
      <name val="Arial"/>
      <family val="2"/>
    </font>
    <font>
      <b/>
      <sz val="10"/>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1" applyNumberFormat="1" applyFont="1" applyFill="1"/>
    <xf numFmtId="0" fontId="18" fillId="33" borderId="0" xfId="0" applyFont="1" applyFill="1" applyAlignment="1">
      <alignment horizontal="center" wrapText="1"/>
    </xf>
    <xf numFmtId="0" fontId="0" fillId="33" borderId="0" xfId="0" applyFill="1"/>
    <xf numFmtId="0" fontId="0" fillId="33" borderId="0" xfId="0" applyFont="1" applyFill="1" applyAlignment="1">
      <alignment horizontal="center" wrapText="1"/>
    </xf>
    <xf numFmtId="0" fontId="24" fillId="34" borderId="0" xfId="0" applyFont="1" applyFill="1" applyAlignment="1">
      <alignment horizontal="left" vertical="top"/>
    </xf>
    <xf numFmtId="0" fontId="20" fillId="34" borderId="0" xfId="0" applyFont="1" applyFill="1" applyAlignment="1">
      <alignment horizontal="left" vertical="top"/>
    </xf>
    <xf numFmtId="0" fontId="21" fillId="34" borderId="0" xfId="0" applyFont="1" applyFill="1" applyAlignment="1">
      <alignment horizontal="left" vertical="top" wrapText="1"/>
    </xf>
    <xf numFmtId="0" fontId="20" fillId="34" borderId="0" xfId="0" applyFont="1" applyFill="1" applyAlignment="1">
      <alignment horizontal="left" vertical="top" wrapText="1"/>
    </xf>
    <xf numFmtId="0" fontId="20" fillId="34" borderId="0" xfId="0" applyFont="1" applyFill="1" applyAlignment="1">
      <alignment horizontal="left" wrapText="1"/>
    </xf>
    <xf numFmtId="0" fontId="20" fillId="34" borderId="0" xfId="0" applyFont="1" applyFill="1" applyAlignment="1">
      <alignment horizontal="left"/>
    </xf>
    <xf numFmtId="0" fontId="22" fillId="34" borderId="0" xfId="0" applyFont="1" applyFill="1" applyAlignment="1">
      <alignment horizontal="left" vertical="top" wrapText="1"/>
    </xf>
    <xf numFmtId="0" fontId="22" fillId="34" borderId="0" xfId="0" applyFont="1" applyFill="1" applyAlignment="1">
      <alignment horizontal="left" vertical="top"/>
    </xf>
    <xf numFmtId="0" fontId="20" fillId="34" borderId="0" xfId="0" applyFont="1" applyFill="1" applyAlignment="1">
      <alignment vertical="top" wrapText="1"/>
    </xf>
    <xf numFmtId="0" fontId="0" fillId="34" borderId="0" xfId="0" applyFont="1" applyFill="1" applyAlignment="1">
      <alignment wrapText="1"/>
    </xf>
    <xf numFmtId="0" fontId="0" fillId="34"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64">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font>
        <b/>
        <i val="0"/>
        <sz val="11"/>
        <color theme="1"/>
        <name val="Arial"/>
        <family val="2"/>
        <scheme val="none"/>
      </font>
      <fill>
        <patternFill>
          <bgColor theme="4" tint="0.59996337778862885"/>
        </patternFill>
      </fill>
      <border>
        <left style="thick">
          <color theme="1"/>
        </left>
        <right style="thick">
          <color theme="1"/>
        </right>
        <top style="thick">
          <color theme="1"/>
        </top>
        <bottom style="thick">
          <color theme="1"/>
        </bottom>
        <vertical style="thick">
          <color theme="1"/>
        </vertical>
      </border>
    </dxf>
    <dxf>
      <font>
        <b val="0"/>
        <i val="0"/>
        <sz val="11"/>
        <color theme="4" tint="0.39994506668294322"/>
        <name val="Arial"/>
        <family val="2"/>
        <scheme val="none"/>
      </font>
      <fill>
        <patternFill>
          <bgColor theme="4" tint="0.39994506668294322"/>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s>
  <tableStyles count="1" defaultTableStyle="TableStyleMedium2" defaultPivotStyle="PivotStyleLight16">
    <tableStyle name="Slicer Style 1" pivot="0" table="0" count="9" xr9:uid="{47F76E05-1E84-4FCD-8FDE-6028A039EDF7}">
      <tableStyleElement type="wholeTable" dxfId="7"/>
      <tableStyleElement type="headerRow" dxfId="6"/>
    </tableStyle>
  </tableStyles>
  <extLst>
    <ext xmlns:x14="http://schemas.microsoft.com/office/spreadsheetml/2009/9/main" uri="{46F421CA-312F-682f-3DD2-61675219B42D}">
      <x14:dxfs count="11">
        <dxf>
          <fill>
            <patternFill>
              <bgColor theme="0"/>
            </patternFill>
          </fill>
        </dxf>
        <dxf>
          <fill>
            <patternFill>
              <bgColor theme="0"/>
            </patternFill>
          </fill>
        </dxf>
        <dxf>
          <fill>
            <patternFill>
              <bgColor theme="0"/>
            </patternFill>
          </fill>
        </dxf>
        <dxf>
          <font>
            <b val="0"/>
            <i val="0"/>
            <sz val="12"/>
            <color theme="1"/>
            <name val="Arial"/>
            <family val="2"/>
            <scheme val="none"/>
          </font>
          <fill>
            <patternFill>
              <bgColor theme="0"/>
            </patternFill>
          </fill>
          <border>
            <left style="thin">
              <color auto="1"/>
            </left>
            <right style="thin">
              <color auto="1"/>
            </right>
            <top style="thin">
              <color auto="1"/>
            </top>
            <bottom style="thin">
              <color auto="1"/>
            </bottom>
          </border>
        </dxf>
        <dxf>
          <font>
            <b val="0"/>
            <i val="0"/>
            <sz val="11"/>
            <color theme="1"/>
            <name val="Arial"/>
            <family val="2"/>
            <scheme val="none"/>
          </font>
          <fill>
            <patternFill>
              <bgColor theme="0"/>
            </patternFill>
          </fill>
          <border>
            <left style="thick">
              <color auto="1"/>
            </left>
            <right style="thick">
              <color auto="1"/>
            </right>
            <top style="thick">
              <color auto="1"/>
            </top>
            <bottom style="thick">
              <color auto="1"/>
            </bottom>
          </border>
        </dxf>
        <dxf>
          <font>
            <b val="0"/>
            <i val="0"/>
            <sz val="11"/>
            <color theme="1"/>
            <name val="Arial"/>
            <family val="2"/>
          </font>
          <fill>
            <patternFill>
              <bgColor theme="0"/>
            </patternFill>
          </fill>
          <border>
            <left style="thick">
              <color auto="1"/>
            </left>
            <right style="thick">
              <color auto="1"/>
            </right>
            <top style="thick">
              <color auto="1"/>
            </top>
            <bottom style="thick">
              <color auto="1"/>
            </bottom>
          </border>
        </dxf>
        <dxf>
          <font>
            <b val="0"/>
            <i val="0"/>
            <sz val="11"/>
            <color theme="1"/>
            <name val="Arial"/>
            <family val="2"/>
          </font>
          <fill>
            <patternFill>
              <bgColor theme="4" tint="0.59996337778862885"/>
            </patternFill>
          </fill>
          <border>
            <left style="thin">
              <color auto="1"/>
            </left>
            <right style="thin">
              <color auto="1"/>
            </right>
            <top style="thin">
              <color auto="1"/>
            </top>
            <bottom style="thin">
              <color auto="1"/>
            </bottom>
          </border>
        </dxf>
        <dxf>
          <font>
            <b val="0"/>
            <i val="0"/>
            <sz val="12"/>
            <color theme="1"/>
            <name val="Arial"/>
            <family val="2"/>
            <scheme val="none"/>
          </font>
          <fill>
            <patternFill>
              <bgColor theme="0"/>
            </patternFill>
          </fill>
          <border>
            <left style="thin">
              <color auto="1"/>
            </left>
            <right style="thin">
              <color auto="1"/>
            </right>
            <top style="thin">
              <color auto="1"/>
            </top>
            <bottom style="thin">
              <color auto="1"/>
            </bottom>
          </border>
        </dxf>
        <dxf>
          <font>
            <b val="0"/>
            <i val="0"/>
            <sz val="11"/>
            <color theme="1"/>
            <name val="Arial"/>
            <family val="2"/>
            <scheme val="none"/>
          </font>
          <fill>
            <patternFill>
              <bgColor theme="0"/>
            </patternFill>
          </fill>
          <border>
            <left style="thick">
              <color auto="1"/>
            </left>
            <right style="thick">
              <color auto="1"/>
            </right>
            <top style="thick">
              <color auto="1"/>
            </top>
            <bottom style="thick">
              <color auto="1"/>
            </bottom>
          </border>
        </dxf>
        <dxf>
          <font>
            <b val="0"/>
            <i val="0"/>
            <sz val="11"/>
            <color theme="1"/>
            <name val="Arial"/>
            <family val="2"/>
          </font>
          <fill>
            <patternFill>
              <bgColor theme="0"/>
            </patternFill>
          </fill>
          <border>
            <left style="thick">
              <color auto="1"/>
            </left>
            <right style="thick">
              <color auto="1"/>
            </right>
            <top style="thick">
              <color auto="1"/>
            </top>
            <bottom style="thick">
              <color auto="1"/>
            </bottom>
          </border>
        </dxf>
        <dxf>
          <font>
            <b val="0"/>
            <i val="0"/>
            <sz val="11"/>
            <color theme="1"/>
            <name val="Arial"/>
            <family val="2"/>
          </font>
          <fill>
            <patternFill>
              <bgColor theme="4"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[House Price Prediction Dataset.xlsx]Table!PivotTable1</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Table!$B$2:$B$3</c:f>
              <c:strCache>
                <c:ptCount val="1"/>
                <c:pt idx="0">
                  <c:v>High</c:v>
                </c:pt>
              </c:strCache>
            </c:strRef>
          </c:tx>
          <c:spPr>
            <a:solidFill>
              <a:schemeClr val="accent1"/>
            </a:solidFill>
            <a:ln>
              <a:noFill/>
            </a:ln>
            <a:effectLst/>
            <a:sp3d/>
          </c:spPr>
          <c:invertIfNegative val="0"/>
          <c:cat>
            <c:strRef>
              <c:f>Table!$A$4:$A$7</c:f>
              <c:strCache>
                <c:ptCount val="4"/>
                <c:pt idx="0">
                  <c:v>Extra Large</c:v>
                </c:pt>
                <c:pt idx="1">
                  <c:v>Large</c:v>
                </c:pt>
                <c:pt idx="2">
                  <c:v>Medium</c:v>
                </c:pt>
                <c:pt idx="3">
                  <c:v>Small</c:v>
                </c:pt>
              </c:strCache>
            </c:strRef>
          </c:cat>
          <c:val>
            <c:numRef>
              <c:f>Table!$B$4:$B$7</c:f>
              <c:numCache>
                <c:formatCode>_-* #,##0_-;\-* #,##0_-;_-* "-"??_-;_-@_-</c:formatCode>
                <c:ptCount val="4"/>
                <c:pt idx="0">
                  <c:v>512174.55913978495</c:v>
                </c:pt>
                <c:pt idx="1">
                  <c:v>498881.17532467534</c:v>
                </c:pt>
                <c:pt idx="2">
                  <c:v>496521.5319148936</c:v>
                </c:pt>
                <c:pt idx="3">
                  <c:v>511190.13793103449</c:v>
                </c:pt>
              </c:numCache>
            </c:numRef>
          </c:val>
          <c:extLst>
            <c:ext xmlns:c16="http://schemas.microsoft.com/office/drawing/2014/chart" uri="{C3380CC4-5D6E-409C-BE32-E72D297353CC}">
              <c16:uniqueId val="{00000000-7704-4D7C-92EF-CDA8CA2DD5EF}"/>
            </c:ext>
          </c:extLst>
        </c:ser>
        <c:ser>
          <c:idx val="1"/>
          <c:order val="1"/>
          <c:tx>
            <c:strRef>
              <c:f>Table!$C$2:$C$3</c:f>
              <c:strCache>
                <c:ptCount val="1"/>
                <c:pt idx="0">
                  <c:v>Low</c:v>
                </c:pt>
              </c:strCache>
            </c:strRef>
          </c:tx>
          <c:spPr>
            <a:solidFill>
              <a:schemeClr val="accent2"/>
            </a:solidFill>
            <a:ln>
              <a:noFill/>
            </a:ln>
            <a:effectLst/>
            <a:sp3d/>
          </c:spPr>
          <c:invertIfNegative val="0"/>
          <c:cat>
            <c:strRef>
              <c:f>Table!$A$4:$A$7</c:f>
              <c:strCache>
                <c:ptCount val="4"/>
                <c:pt idx="0">
                  <c:v>Extra Large</c:v>
                </c:pt>
                <c:pt idx="1">
                  <c:v>Large</c:v>
                </c:pt>
                <c:pt idx="2">
                  <c:v>Medium</c:v>
                </c:pt>
                <c:pt idx="3">
                  <c:v>Small</c:v>
                </c:pt>
              </c:strCache>
            </c:strRef>
          </c:cat>
          <c:val>
            <c:numRef>
              <c:f>Table!$C$4:$C$7</c:f>
              <c:numCache>
                <c:formatCode>_-* #,##0_-;\-* #,##0_-;_-* "-"??_-;_-@_-</c:formatCode>
                <c:ptCount val="4"/>
                <c:pt idx="0">
                  <c:v>125934.88372093023</c:v>
                </c:pt>
                <c:pt idx="1">
                  <c:v>125776.48979591837</c:v>
                </c:pt>
                <c:pt idx="2">
                  <c:v>126073.45263157894</c:v>
                </c:pt>
                <c:pt idx="3">
                  <c:v>128414.18181818182</c:v>
                </c:pt>
              </c:numCache>
            </c:numRef>
          </c:val>
          <c:extLst>
            <c:ext xmlns:c16="http://schemas.microsoft.com/office/drawing/2014/chart" uri="{C3380CC4-5D6E-409C-BE32-E72D297353CC}">
              <c16:uniqueId val="{00000010-53C1-45DC-8501-6421FEED7C5B}"/>
            </c:ext>
          </c:extLst>
        </c:ser>
        <c:ser>
          <c:idx val="2"/>
          <c:order val="2"/>
          <c:tx>
            <c:strRef>
              <c:f>Table!$D$2:$D$3</c:f>
              <c:strCache>
                <c:ptCount val="1"/>
                <c:pt idx="0">
                  <c:v>Medium</c:v>
                </c:pt>
              </c:strCache>
            </c:strRef>
          </c:tx>
          <c:spPr>
            <a:solidFill>
              <a:schemeClr val="accent3"/>
            </a:solidFill>
            <a:ln>
              <a:noFill/>
            </a:ln>
            <a:effectLst/>
            <a:sp3d/>
          </c:spPr>
          <c:invertIfNegative val="0"/>
          <c:cat>
            <c:strRef>
              <c:f>Table!$A$4:$A$7</c:f>
              <c:strCache>
                <c:ptCount val="4"/>
                <c:pt idx="0">
                  <c:v>Extra Large</c:v>
                </c:pt>
                <c:pt idx="1">
                  <c:v>Large</c:v>
                </c:pt>
                <c:pt idx="2">
                  <c:v>Medium</c:v>
                </c:pt>
                <c:pt idx="3">
                  <c:v>Small</c:v>
                </c:pt>
              </c:strCache>
            </c:strRef>
          </c:cat>
          <c:val>
            <c:numRef>
              <c:f>Table!$D$4:$D$7</c:f>
              <c:numCache>
                <c:formatCode>_-* #,##0_-;\-* #,##0_-;_-* "-"??_-;_-@_-</c:formatCode>
                <c:ptCount val="4"/>
                <c:pt idx="0">
                  <c:v>302099.59259259258</c:v>
                </c:pt>
                <c:pt idx="1">
                  <c:v>300603.90322580643</c:v>
                </c:pt>
                <c:pt idx="2">
                  <c:v>302904.72413793101</c:v>
                </c:pt>
                <c:pt idx="3">
                  <c:v>301744.07500000001</c:v>
                </c:pt>
              </c:numCache>
            </c:numRef>
          </c:val>
          <c:extLst>
            <c:ext xmlns:c16="http://schemas.microsoft.com/office/drawing/2014/chart" uri="{C3380CC4-5D6E-409C-BE32-E72D297353CC}">
              <c16:uniqueId val="{00000013-53C1-45DC-8501-6421FEED7C5B}"/>
            </c:ext>
          </c:extLst>
        </c:ser>
        <c:ser>
          <c:idx val="3"/>
          <c:order val="3"/>
          <c:tx>
            <c:strRef>
              <c:f>Table!$E$2:$E$3</c:f>
              <c:strCache>
                <c:ptCount val="1"/>
                <c:pt idx="0">
                  <c:v>Premium</c:v>
                </c:pt>
              </c:strCache>
            </c:strRef>
          </c:tx>
          <c:spPr>
            <a:solidFill>
              <a:schemeClr val="accent4"/>
            </a:solidFill>
            <a:ln>
              <a:noFill/>
            </a:ln>
            <a:effectLst/>
            <a:sp3d/>
          </c:spPr>
          <c:invertIfNegative val="0"/>
          <c:cat>
            <c:strRef>
              <c:f>Table!$A$4:$A$7</c:f>
              <c:strCache>
                <c:ptCount val="4"/>
                <c:pt idx="0">
                  <c:v>Extra Large</c:v>
                </c:pt>
                <c:pt idx="1">
                  <c:v>Large</c:v>
                </c:pt>
                <c:pt idx="2">
                  <c:v>Medium</c:v>
                </c:pt>
                <c:pt idx="3">
                  <c:v>Small</c:v>
                </c:pt>
              </c:strCache>
            </c:strRef>
          </c:cat>
          <c:val>
            <c:numRef>
              <c:f>Table!$E$4:$E$7</c:f>
              <c:numCache>
                <c:formatCode>_-* #,##0_-;\-* #,##0_-;_-* "-"??_-;_-@_-</c:formatCode>
                <c:ptCount val="4"/>
                <c:pt idx="0">
                  <c:v>813420.60317460319</c:v>
                </c:pt>
                <c:pt idx="1">
                  <c:v>807843.12377850164</c:v>
                </c:pt>
                <c:pt idx="2">
                  <c:v>799508.41403508768</c:v>
                </c:pt>
                <c:pt idx="3">
                  <c:v>793484.53</c:v>
                </c:pt>
              </c:numCache>
            </c:numRef>
          </c:val>
          <c:extLst>
            <c:ext xmlns:c16="http://schemas.microsoft.com/office/drawing/2014/chart" uri="{C3380CC4-5D6E-409C-BE32-E72D297353CC}">
              <c16:uniqueId val="{00000014-53C1-45DC-8501-6421FEED7C5B}"/>
            </c:ext>
          </c:extLst>
        </c:ser>
        <c:dLbls>
          <c:showLegendKey val="0"/>
          <c:showVal val="0"/>
          <c:showCatName val="0"/>
          <c:showSerName val="0"/>
          <c:showPercent val="0"/>
          <c:showBubbleSize val="0"/>
        </c:dLbls>
        <c:gapWidth val="150"/>
        <c:shape val="box"/>
        <c:axId val="1087545951"/>
        <c:axId val="1087547391"/>
        <c:axId val="0"/>
      </c:bar3DChart>
      <c:catAx>
        <c:axId val="10875459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87547391"/>
        <c:crosses val="autoZero"/>
        <c:auto val="1"/>
        <c:lblAlgn val="ctr"/>
        <c:lblOffset val="100"/>
        <c:noMultiLvlLbl val="0"/>
      </c:catAx>
      <c:valAx>
        <c:axId val="1087547391"/>
        <c:scaling>
          <c:orientation val="minMax"/>
        </c:scaling>
        <c:delete val="0"/>
        <c:axPos val="l"/>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8754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[House Price Prediction Dataset.xlsx]Table!PivotTable2</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Table!$H$2:$H$3</c:f>
              <c:strCache>
                <c:ptCount val="1"/>
                <c:pt idx="0">
                  <c:v>High</c:v>
                </c:pt>
              </c:strCache>
            </c:strRef>
          </c:tx>
          <c:spPr>
            <a:ln w="28575" cap="rnd">
              <a:solidFill>
                <a:schemeClr val="accent1"/>
              </a:solidFill>
              <a:round/>
            </a:ln>
            <a:effectLst/>
          </c:spPr>
          <c:marker>
            <c:symbol val="none"/>
          </c:marker>
          <c:cat>
            <c:strRef>
              <c:f>Table!$G$4:$G$7</c:f>
              <c:strCache>
                <c:ptCount val="4"/>
                <c:pt idx="0">
                  <c:v>1950-1975</c:v>
                </c:pt>
                <c:pt idx="1">
                  <c:v>1976-2000</c:v>
                </c:pt>
                <c:pt idx="2">
                  <c:v>Post-2000</c:v>
                </c:pt>
                <c:pt idx="3">
                  <c:v>Pre-1950</c:v>
                </c:pt>
              </c:strCache>
            </c:strRef>
          </c:cat>
          <c:val>
            <c:numRef>
              <c:f>Table!$H$4:$H$7</c:f>
              <c:numCache>
                <c:formatCode>_-* #,##0_-;\-* #,##0_-;_-* "-"??_-;_-@_-</c:formatCode>
                <c:ptCount val="4"/>
                <c:pt idx="0">
                  <c:v>510227.8</c:v>
                </c:pt>
                <c:pt idx="1">
                  <c:v>501210.68965517241</c:v>
                </c:pt>
                <c:pt idx="2">
                  <c:v>495112.3823529412</c:v>
                </c:pt>
                <c:pt idx="3">
                  <c:v>500856.77966101695</c:v>
                </c:pt>
              </c:numCache>
            </c:numRef>
          </c:val>
          <c:smooth val="0"/>
          <c:extLst>
            <c:ext xmlns:c16="http://schemas.microsoft.com/office/drawing/2014/chart" uri="{C3380CC4-5D6E-409C-BE32-E72D297353CC}">
              <c16:uniqueId val="{00000000-0BC8-4866-95C5-8ED510B94D70}"/>
            </c:ext>
          </c:extLst>
        </c:ser>
        <c:ser>
          <c:idx val="1"/>
          <c:order val="1"/>
          <c:tx>
            <c:strRef>
              <c:f>Table!$I$2:$I$3</c:f>
              <c:strCache>
                <c:ptCount val="1"/>
                <c:pt idx="0">
                  <c:v>Low</c:v>
                </c:pt>
              </c:strCache>
            </c:strRef>
          </c:tx>
          <c:spPr>
            <a:ln w="28575" cap="rnd">
              <a:solidFill>
                <a:schemeClr val="accent2"/>
              </a:solidFill>
              <a:round/>
            </a:ln>
            <a:effectLst/>
          </c:spPr>
          <c:marker>
            <c:symbol val="none"/>
          </c:marker>
          <c:cat>
            <c:strRef>
              <c:f>Table!$G$4:$G$7</c:f>
              <c:strCache>
                <c:ptCount val="4"/>
                <c:pt idx="0">
                  <c:v>1950-1975</c:v>
                </c:pt>
                <c:pt idx="1">
                  <c:v>1976-2000</c:v>
                </c:pt>
                <c:pt idx="2">
                  <c:v>Post-2000</c:v>
                </c:pt>
                <c:pt idx="3">
                  <c:v>Pre-1950</c:v>
                </c:pt>
              </c:strCache>
            </c:strRef>
          </c:cat>
          <c:val>
            <c:numRef>
              <c:f>Table!$I$4:$I$7</c:f>
              <c:numCache>
                <c:formatCode>_-* #,##0_-;\-* #,##0_-;_-* "-"??_-;_-@_-</c:formatCode>
                <c:ptCount val="4"/>
                <c:pt idx="0">
                  <c:v>130902.16666666667</c:v>
                </c:pt>
                <c:pt idx="1">
                  <c:v>130281.30303030302</c:v>
                </c:pt>
                <c:pt idx="2">
                  <c:v>120842.85483870968</c:v>
                </c:pt>
                <c:pt idx="3">
                  <c:v>124978.05147058824</c:v>
                </c:pt>
              </c:numCache>
            </c:numRef>
          </c:val>
          <c:smooth val="0"/>
          <c:extLst>
            <c:ext xmlns:c16="http://schemas.microsoft.com/office/drawing/2014/chart" uri="{C3380CC4-5D6E-409C-BE32-E72D297353CC}">
              <c16:uniqueId val="{00000013-8A71-46CF-8ACA-5CD4BF0897A2}"/>
            </c:ext>
          </c:extLst>
        </c:ser>
        <c:ser>
          <c:idx val="2"/>
          <c:order val="2"/>
          <c:tx>
            <c:strRef>
              <c:f>Table!$J$2:$J$3</c:f>
              <c:strCache>
                <c:ptCount val="1"/>
                <c:pt idx="0">
                  <c:v>Medium</c:v>
                </c:pt>
              </c:strCache>
            </c:strRef>
          </c:tx>
          <c:spPr>
            <a:ln w="28575" cap="rnd">
              <a:solidFill>
                <a:schemeClr val="accent3"/>
              </a:solidFill>
              <a:round/>
            </a:ln>
            <a:effectLst/>
          </c:spPr>
          <c:marker>
            <c:symbol val="none"/>
          </c:marker>
          <c:cat>
            <c:strRef>
              <c:f>Table!$G$4:$G$7</c:f>
              <c:strCache>
                <c:ptCount val="4"/>
                <c:pt idx="0">
                  <c:v>1950-1975</c:v>
                </c:pt>
                <c:pt idx="1">
                  <c:v>1976-2000</c:v>
                </c:pt>
                <c:pt idx="2">
                  <c:v>Post-2000</c:v>
                </c:pt>
                <c:pt idx="3">
                  <c:v>Pre-1950</c:v>
                </c:pt>
              </c:strCache>
            </c:strRef>
          </c:cat>
          <c:val>
            <c:numRef>
              <c:f>Table!$J$4:$J$7</c:f>
              <c:numCache>
                <c:formatCode>_-* #,##0_-;\-* #,##0_-;_-* "-"??_-;_-@_-</c:formatCode>
                <c:ptCount val="4"/>
                <c:pt idx="0">
                  <c:v>298606.3896103896</c:v>
                </c:pt>
                <c:pt idx="1">
                  <c:v>297771.5294117647</c:v>
                </c:pt>
                <c:pt idx="2">
                  <c:v>309876.89411764708</c:v>
                </c:pt>
                <c:pt idx="3">
                  <c:v>300970.04375000001</c:v>
                </c:pt>
              </c:numCache>
            </c:numRef>
          </c:val>
          <c:smooth val="0"/>
          <c:extLst>
            <c:ext xmlns:c16="http://schemas.microsoft.com/office/drawing/2014/chart" uri="{C3380CC4-5D6E-409C-BE32-E72D297353CC}">
              <c16:uniqueId val="{00000016-8A71-46CF-8ACA-5CD4BF0897A2}"/>
            </c:ext>
          </c:extLst>
        </c:ser>
        <c:ser>
          <c:idx val="3"/>
          <c:order val="3"/>
          <c:tx>
            <c:strRef>
              <c:f>Table!$K$2:$K$3</c:f>
              <c:strCache>
                <c:ptCount val="1"/>
                <c:pt idx="0">
                  <c:v>Premium</c:v>
                </c:pt>
              </c:strCache>
            </c:strRef>
          </c:tx>
          <c:spPr>
            <a:ln w="28575" cap="rnd">
              <a:solidFill>
                <a:schemeClr val="accent4"/>
              </a:solidFill>
              <a:round/>
            </a:ln>
            <a:effectLst/>
          </c:spPr>
          <c:marker>
            <c:symbol val="none"/>
          </c:marker>
          <c:cat>
            <c:strRef>
              <c:f>Table!$G$4:$G$7</c:f>
              <c:strCache>
                <c:ptCount val="4"/>
                <c:pt idx="0">
                  <c:v>1950-1975</c:v>
                </c:pt>
                <c:pt idx="1">
                  <c:v>1976-2000</c:v>
                </c:pt>
                <c:pt idx="2">
                  <c:v>Post-2000</c:v>
                </c:pt>
                <c:pt idx="3">
                  <c:v>Pre-1950</c:v>
                </c:pt>
              </c:strCache>
            </c:strRef>
          </c:cat>
          <c:val>
            <c:numRef>
              <c:f>Table!$K$4:$K$7</c:f>
              <c:numCache>
                <c:formatCode>_-* #,##0_-;\-* #,##0_-;_-* "-"??_-;_-@_-</c:formatCode>
                <c:ptCount val="4"/>
                <c:pt idx="0">
                  <c:v>809471.84530386736</c:v>
                </c:pt>
                <c:pt idx="1">
                  <c:v>806881.92896174861</c:v>
                </c:pt>
                <c:pt idx="2">
                  <c:v>801695.19393939397</c:v>
                </c:pt>
                <c:pt idx="3">
                  <c:v>802554.48863636365</c:v>
                </c:pt>
              </c:numCache>
            </c:numRef>
          </c:val>
          <c:smooth val="0"/>
          <c:extLst>
            <c:ext xmlns:c16="http://schemas.microsoft.com/office/drawing/2014/chart" uri="{C3380CC4-5D6E-409C-BE32-E72D297353CC}">
              <c16:uniqueId val="{00000017-8A71-46CF-8ACA-5CD4BF0897A2}"/>
            </c:ext>
          </c:extLst>
        </c:ser>
        <c:dLbls>
          <c:showLegendKey val="0"/>
          <c:showVal val="0"/>
          <c:showCatName val="0"/>
          <c:showSerName val="0"/>
          <c:showPercent val="0"/>
          <c:showBubbleSize val="0"/>
        </c:dLbls>
        <c:smooth val="0"/>
        <c:axId val="1094745903"/>
        <c:axId val="1094743503"/>
      </c:lineChart>
      <c:catAx>
        <c:axId val="1094745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4743503"/>
        <c:crosses val="autoZero"/>
        <c:auto val="1"/>
        <c:lblAlgn val="ctr"/>
        <c:lblOffset val="100"/>
        <c:noMultiLvlLbl val="0"/>
      </c:catAx>
      <c:valAx>
        <c:axId val="1094743503"/>
        <c:scaling>
          <c:orientation val="minMax"/>
        </c:scaling>
        <c:delete val="0"/>
        <c:axPos val="l"/>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474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[House Price Prediction Dataset.xlsx]Table!PivotTable3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Table!$B$9:$B$10</c:f>
              <c:strCache>
                <c:ptCount val="1"/>
                <c:pt idx="0">
                  <c:v>High</c:v>
                </c:pt>
              </c:strCache>
            </c:strRef>
          </c:tx>
          <c:spPr>
            <a:solidFill>
              <a:schemeClr val="accent1"/>
            </a:solidFill>
            <a:ln>
              <a:noFill/>
            </a:ln>
            <a:effectLst/>
            <a:sp3d/>
          </c:spPr>
          <c:invertIfNegative val="0"/>
          <c:cat>
            <c:strRef>
              <c:f>Table!$A$11:$A$14</c:f>
              <c:strCache>
                <c:ptCount val="4"/>
                <c:pt idx="0">
                  <c:v>Downtown</c:v>
                </c:pt>
                <c:pt idx="1">
                  <c:v>Rural</c:v>
                </c:pt>
                <c:pt idx="2">
                  <c:v>Suburban</c:v>
                </c:pt>
                <c:pt idx="3">
                  <c:v>Urban</c:v>
                </c:pt>
              </c:strCache>
            </c:strRef>
          </c:cat>
          <c:val>
            <c:numRef>
              <c:f>Table!$B$11:$B$14</c:f>
              <c:numCache>
                <c:formatCode>_-* #,##0_-;\-* #,##0_-;_-* "-"??_-;_-@_-</c:formatCode>
                <c:ptCount val="4"/>
                <c:pt idx="0">
                  <c:v>504606.37168141594</c:v>
                </c:pt>
                <c:pt idx="1">
                  <c:v>497631.69306930696</c:v>
                </c:pt>
                <c:pt idx="2">
                  <c:v>502393.81443298969</c:v>
                </c:pt>
                <c:pt idx="3">
                  <c:v>502645.88679245283</c:v>
                </c:pt>
              </c:numCache>
            </c:numRef>
          </c:val>
          <c:extLst>
            <c:ext xmlns:c16="http://schemas.microsoft.com/office/drawing/2014/chart" uri="{C3380CC4-5D6E-409C-BE32-E72D297353CC}">
              <c16:uniqueId val="{00000000-D749-4FE4-8CE0-3789251CE99E}"/>
            </c:ext>
          </c:extLst>
        </c:ser>
        <c:ser>
          <c:idx val="1"/>
          <c:order val="1"/>
          <c:tx>
            <c:strRef>
              <c:f>Table!$C$9:$C$10</c:f>
              <c:strCache>
                <c:ptCount val="1"/>
                <c:pt idx="0">
                  <c:v>Low</c:v>
                </c:pt>
              </c:strCache>
            </c:strRef>
          </c:tx>
          <c:spPr>
            <a:solidFill>
              <a:schemeClr val="accent2"/>
            </a:solidFill>
            <a:ln>
              <a:noFill/>
            </a:ln>
            <a:effectLst/>
            <a:sp3d/>
          </c:spPr>
          <c:invertIfNegative val="0"/>
          <c:cat>
            <c:strRef>
              <c:f>Table!$A$11:$A$14</c:f>
              <c:strCache>
                <c:ptCount val="4"/>
                <c:pt idx="0">
                  <c:v>Downtown</c:v>
                </c:pt>
                <c:pt idx="1">
                  <c:v>Rural</c:v>
                </c:pt>
                <c:pt idx="2">
                  <c:v>Suburban</c:v>
                </c:pt>
                <c:pt idx="3">
                  <c:v>Urban</c:v>
                </c:pt>
              </c:strCache>
            </c:strRef>
          </c:cat>
          <c:val>
            <c:numRef>
              <c:f>Table!$C$11:$C$14</c:f>
              <c:numCache>
                <c:formatCode>_-* #,##0_-;\-* #,##0_-;_-* "-"??_-;_-@_-</c:formatCode>
                <c:ptCount val="4"/>
                <c:pt idx="0">
                  <c:v>127933.01190476191</c:v>
                </c:pt>
                <c:pt idx="1">
                  <c:v>122468.55223880598</c:v>
                </c:pt>
                <c:pt idx="2">
                  <c:v>132083.09090909091</c:v>
                </c:pt>
                <c:pt idx="3">
                  <c:v>123177.81052631579</c:v>
                </c:pt>
              </c:numCache>
            </c:numRef>
          </c:val>
          <c:extLst>
            <c:ext xmlns:c16="http://schemas.microsoft.com/office/drawing/2014/chart" uri="{C3380CC4-5D6E-409C-BE32-E72D297353CC}">
              <c16:uniqueId val="{00000010-257B-4899-A659-7F3D43233ADC}"/>
            </c:ext>
          </c:extLst>
        </c:ser>
        <c:ser>
          <c:idx val="2"/>
          <c:order val="2"/>
          <c:tx>
            <c:strRef>
              <c:f>Table!$D$9:$D$10</c:f>
              <c:strCache>
                <c:ptCount val="1"/>
                <c:pt idx="0">
                  <c:v>Medium</c:v>
                </c:pt>
              </c:strCache>
            </c:strRef>
          </c:tx>
          <c:spPr>
            <a:solidFill>
              <a:schemeClr val="accent3"/>
            </a:solidFill>
            <a:ln>
              <a:noFill/>
            </a:ln>
            <a:effectLst/>
            <a:sp3d/>
          </c:spPr>
          <c:invertIfNegative val="0"/>
          <c:cat>
            <c:strRef>
              <c:f>Table!$A$11:$A$14</c:f>
              <c:strCache>
                <c:ptCount val="4"/>
                <c:pt idx="0">
                  <c:v>Downtown</c:v>
                </c:pt>
                <c:pt idx="1">
                  <c:v>Rural</c:v>
                </c:pt>
                <c:pt idx="2">
                  <c:v>Suburban</c:v>
                </c:pt>
                <c:pt idx="3">
                  <c:v>Urban</c:v>
                </c:pt>
              </c:strCache>
            </c:strRef>
          </c:cat>
          <c:val>
            <c:numRef>
              <c:f>Table!$D$11:$D$14</c:f>
              <c:numCache>
                <c:formatCode>_-* #,##0_-;\-* #,##0_-;_-* "-"??_-;_-@_-</c:formatCode>
                <c:ptCount val="4"/>
                <c:pt idx="0">
                  <c:v>304433.9745762712</c:v>
                </c:pt>
                <c:pt idx="1">
                  <c:v>299638.71287128713</c:v>
                </c:pt>
                <c:pt idx="2">
                  <c:v>302289.24705882353</c:v>
                </c:pt>
                <c:pt idx="3">
                  <c:v>300634.81395348837</c:v>
                </c:pt>
              </c:numCache>
            </c:numRef>
          </c:val>
          <c:extLst>
            <c:ext xmlns:c16="http://schemas.microsoft.com/office/drawing/2014/chart" uri="{C3380CC4-5D6E-409C-BE32-E72D297353CC}">
              <c16:uniqueId val="{00000013-257B-4899-A659-7F3D43233ADC}"/>
            </c:ext>
          </c:extLst>
        </c:ser>
        <c:ser>
          <c:idx val="3"/>
          <c:order val="3"/>
          <c:tx>
            <c:strRef>
              <c:f>Table!$E$9:$E$10</c:f>
              <c:strCache>
                <c:ptCount val="1"/>
                <c:pt idx="0">
                  <c:v>Premium</c:v>
                </c:pt>
              </c:strCache>
            </c:strRef>
          </c:tx>
          <c:spPr>
            <a:solidFill>
              <a:schemeClr val="accent4"/>
            </a:solidFill>
            <a:ln>
              <a:noFill/>
            </a:ln>
            <a:effectLst/>
            <a:sp3d/>
          </c:spPr>
          <c:invertIfNegative val="0"/>
          <c:cat>
            <c:strRef>
              <c:f>Table!$A$11:$A$14</c:f>
              <c:strCache>
                <c:ptCount val="4"/>
                <c:pt idx="0">
                  <c:v>Downtown</c:v>
                </c:pt>
                <c:pt idx="1">
                  <c:v>Rural</c:v>
                </c:pt>
                <c:pt idx="2">
                  <c:v>Suburban</c:v>
                </c:pt>
                <c:pt idx="3">
                  <c:v>Urban</c:v>
                </c:pt>
              </c:strCache>
            </c:strRef>
          </c:cat>
          <c:val>
            <c:numRef>
              <c:f>Table!$E$11:$E$14</c:f>
              <c:numCache>
                <c:formatCode>_-* #,##0_-;\-* #,##0_-;_-* "-"??_-;_-@_-</c:formatCode>
                <c:ptCount val="4"/>
                <c:pt idx="0">
                  <c:v>804243.57613168727</c:v>
                </c:pt>
                <c:pt idx="1">
                  <c:v>812552.70731707313</c:v>
                </c:pt>
                <c:pt idx="2">
                  <c:v>791863.05957446806</c:v>
                </c:pt>
                <c:pt idx="3">
                  <c:v>812426.11616161617</c:v>
                </c:pt>
              </c:numCache>
            </c:numRef>
          </c:val>
          <c:extLst>
            <c:ext xmlns:c16="http://schemas.microsoft.com/office/drawing/2014/chart" uri="{C3380CC4-5D6E-409C-BE32-E72D297353CC}">
              <c16:uniqueId val="{00000014-257B-4899-A659-7F3D43233ADC}"/>
            </c:ext>
          </c:extLst>
        </c:ser>
        <c:dLbls>
          <c:showLegendKey val="0"/>
          <c:showVal val="0"/>
          <c:showCatName val="0"/>
          <c:showSerName val="0"/>
          <c:showPercent val="0"/>
          <c:showBubbleSize val="0"/>
        </c:dLbls>
        <c:gapWidth val="150"/>
        <c:shape val="box"/>
        <c:axId val="1042904975"/>
        <c:axId val="1042904015"/>
        <c:axId val="1125807535"/>
      </c:bar3DChart>
      <c:catAx>
        <c:axId val="1042904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2904015"/>
        <c:crosses val="autoZero"/>
        <c:auto val="1"/>
        <c:lblAlgn val="ctr"/>
        <c:lblOffset val="100"/>
        <c:noMultiLvlLbl val="0"/>
      </c:catAx>
      <c:valAx>
        <c:axId val="1042904015"/>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2904975"/>
        <c:crosses val="autoZero"/>
        <c:crossBetween val="between"/>
      </c:valAx>
      <c:serAx>
        <c:axId val="11258075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29040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[House Price Prediction Dataset.xlsx]Table!PivotTable5</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Table!$H$9:$H$10</c:f>
              <c:strCache>
                <c:ptCount val="1"/>
                <c:pt idx="0">
                  <c:v>High</c:v>
                </c:pt>
              </c:strCache>
            </c:strRef>
          </c:tx>
          <c:spPr>
            <a:solidFill>
              <a:schemeClr val="accent1"/>
            </a:solidFill>
            <a:ln>
              <a:noFill/>
            </a:ln>
            <a:effectLst/>
            <a:sp3d/>
          </c:spPr>
          <c:invertIfNegative val="0"/>
          <c:cat>
            <c:strRef>
              <c:f>Table!$G$11:$G$14</c:f>
              <c:strCache>
                <c:ptCount val="4"/>
                <c:pt idx="0">
                  <c:v>Excellent</c:v>
                </c:pt>
                <c:pt idx="1">
                  <c:v>Fair</c:v>
                </c:pt>
                <c:pt idx="2">
                  <c:v>Good</c:v>
                </c:pt>
                <c:pt idx="3">
                  <c:v>Poor</c:v>
                </c:pt>
              </c:strCache>
            </c:strRef>
          </c:cat>
          <c:val>
            <c:numRef>
              <c:f>Table!$H$11:$H$14</c:f>
              <c:numCache>
                <c:formatCode>_-* #,##0_-;\-* #,##0_-;_-* "-"??_-;_-@_-</c:formatCode>
                <c:ptCount val="4"/>
                <c:pt idx="0">
                  <c:v>505993.8</c:v>
                </c:pt>
                <c:pt idx="1">
                  <c:v>501672.18181818182</c:v>
                </c:pt>
                <c:pt idx="2">
                  <c:v>499692.68888888886</c:v>
                </c:pt>
                <c:pt idx="3">
                  <c:v>498743.90816326533</c:v>
                </c:pt>
              </c:numCache>
            </c:numRef>
          </c:val>
          <c:extLst>
            <c:ext xmlns:c16="http://schemas.microsoft.com/office/drawing/2014/chart" uri="{C3380CC4-5D6E-409C-BE32-E72D297353CC}">
              <c16:uniqueId val="{00000000-66BD-4B07-969D-A88D9AD0A84C}"/>
            </c:ext>
          </c:extLst>
        </c:ser>
        <c:ser>
          <c:idx val="1"/>
          <c:order val="1"/>
          <c:tx>
            <c:strRef>
              <c:f>Table!$I$9:$I$10</c:f>
              <c:strCache>
                <c:ptCount val="1"/>
                <c:pt idx="0">
                  <c:v>Low</c:v>
                </c:pt>
              </c:strCache>
            </c:strRef>
          </c:tx>
          <c:spPr>
            <a:solidFill>
              <a:schemeClr val="accent2"/>
            </a:solidFill>
            <a:ln>
              <a:noFill/>
            </a:ln>
            <a:effectLst/>
            <a:sp3d/>
          </c:spPr>
          <c:invertIfNegative val="0"/>
          <c:cat>
            <c:strRef>
              <c:f>Table!$G$11:$G$14</c:f>
              <c:strCache>
                <c:ptCount val="4"/>
                <c:pt idx="0">
                  <c:v>Excellent</c:v>
                </c:pt>
                <c:pt idx="1">
                  <c:v>Fair</c:v>
                </c:pt>
                <c:pt idx="2">
                  <c:v>Good</c:v>
                </c:pt>
                <c:pt idx="3">
                  <c:v>Poor</c:v>
                </c:pt>
              </c:strCache>
            </c:strRef>
          </c:cat>
          <c:val>
            <c:numRef>
              <c:f>Table!$I$11:$I$14</c:f>
              <c:numCache>
                <c:formatCode>_-* #,##0_-;\-* #,##0_-;_-* "-"??_-;_-@_-</c:formatCode>
                <c:ptCount val="4"/>
                <c:pt idx="0">
                  <c:v>126989.7356321839</c:v>
                </c:pt>
                <c:pt idx="1">
                  <c:v>126726.84</c:v>
                </c:pt>
                <c:pt idx="2">
                  <c:v>127155.89393939394</c:v>
                </c:pt>
                <c:pt idx="3">
                  <c:v>124121.82142857143</c:v>
                </c:pt>
              </c:numCache>
            </c:numRef>
          </c:val>
          <c:extLst>
            <c:ext xmlns:c16="http://schemas.microsoft.com/office/drawing/2014/chart" uri="{C3380CC4-5D6E-409C-BE32-E72D297353CC}">
              <c16:uniqueId val="{00000010-6F05-407F-AAEA-41AFBC76FB6C}"/>
            </c:ext>
          </c:extLst>
        </c:ser>
        <c:ser>
          <c:idx val="2"/>
          <c:order val="2"/>
          <c:tx>
            <c:strRef>
              <c:f>Table!$J$9:$J$10</c:f>
              <c:strCache>
                <c:ptCount val="1"/>
                <c:pt idx="0">
                  <c:v>Medium</c:v>
                </c:pt>
              </c:strCache>
            </c:strRef>
          </c:tx>
          <c:spPr>
            <a:solidFill>
              <a:schemeClr val="accent3"/>
            </a:solidFill>
            <a:ln>
              <a:noFill/>
            </a:ln>
            <a:effectLst/>
            <a:sp3d/>
          </c:spPr>
          <c:invertIfNegative val="0"/>
          <c:cat>
            <c:strRef>
              <c:f>Table!$G$11:$G$14</c:f>
              <c:strCache>
                <c:ptCount val="4"/>
                <c:pt idx="0">
                  <c:v>Excellent</c:v>
                </c:pt>
                <c:pt idx="1">
                  <c:v>Fair</c:v>
                </c:pt>
                <c:pt idx="2">
                  <c:v>Good</c:v>
                </c:pt>
                <c:pt idx="3">
                  <c:v>Poor</c:v>
                </c:pt>
              </c:strCache>
            </c:strRef>
          </c:cat>
          <c:val>
            <c:numRef>
              <c:f>Table!$J$11:$J$14</c:f>
              <c:numCache>
                <c:formatCode>_-* #,##0_-;\-* #,##0_-;_-* "-"??_-;_-@_-</c:formatCode>
                <c:ptCount val="4"/>
                <c:pt idx="0">
                  <c:v>296688.2839506173</c:v>
                </c:pt>
                <c:pt idx="1">
                  <c:v>307156.34736842103</c:v>
                </c:pt>
                <c:pt idx="2">
                  <c:v>297163.7087378641</c:v>
                </c:pt>
                <c:pt idx="3">
                  <c:v>305553.45045045047</c:v>
                </c:pt>
              </c:numCache>
            </c:numRef>
          </c:val>
          <c:extLst>
            <c:ext xmlns:c16="http://schemas.microsoft.com/office/drawing/2014/chart" uri="{C3380CC4-5D6E-409C-BE32-E72D297353CC}">
              <c16:uniqueId val="{00000013-6F05-407F-AAEA-41AFBC76FB6C}"/>
            </c:ext>
          </c:extLst>
        </c:ser>
        <c:ser>
          <c:idx val="3"/>
          <c:order val="3"/>
          <c:tx>
            <c:strRef>
              <c:f>Table!$K$9:$K$10</c:f>
              <c:strCache>
                <c:ptCount val="1"/>
                <c:pt idx="0">
                  <c:v>Premium</c:v>
                </c:pt>
              </c:strCache>
            </c:strRef>
          </c:tx>
          <c:spPr>
            <a:solidFill>
              <a:schemeClr val="accent4"/>
            </a:solidFill>
            <a:ln>
              <a:noFill/>
            </a:ln>
            <a:effectLst/>
            <a:sp3d/>
          </c:spPr>
          <c:invertIfNegative val="0"/>
          <c:cat>
            <c:strRef>
              <c:f>Table!$G$11:$G$14</c:f>
              <c:strCache>
                <c:ptCount val="4"/>
                <c:pt idx="0">
                  <c:v>Excellent</c:v>
                </c:pt>
                <c:pt idx="1">
                  <c:v>Fair</c:v>
                </c:pt>
                <c:pt idx="2">
                  <c:v>Good</c:v>
                </c:pt>
                <c:pt idx="3">
                  <c:v>Poor</c:v>
                </c:pt>
              </c:strCache>
            </c:strRef>
          </c:cat>
          <c:val>
            <c:numRef>
              <c:f>Table!$K$11:$K$14</c:f>
              <c:numCache>
                <c:formatCode>_-* #,##0_-;\-* #,##0_-;_-* "-"??_-;_-@_-</c:formatCode>
                <c:ptCount val="4"/>
                <c:pt idx="0">
                  <c:v>799933.73239436618</c:v>
                </c:pt>
                <c:pt idx="1">
                  <c:v>808411.25</c:v>
                </c:pt>
                <c:pt idx="2">
                  <c:v>791572.23267326737</c:v>
                </c:pt>
                <c:pt idx="3">
                  <c:v>817521.36915887846</c:v>
                </c:pt>
              </c:numCache>
            </c:numRef>
          </c:val>
          <c:extLst>
            <c:ext xmlns:c16="http://schemas.microsoft.com/office/drawing/2014/chart" uri="{C3380CC4-5D6E-409C-BE32-E72D297353CC}">
              <c16:uniqueId val="{00000014-6F05-407F-AAEA-41AFBC76FB6C}"/>
            </c:ext>
          </c:extLst>
        </c:ser>
        <c:dLbls>
          <c:showLegendKey val="0"/>
          <c:showVal val="0"/>
          <c:showCatName val="0"/>
          <c:showSerName val="0"/>
          <c:showPercent val="0"/>
          <c:showBubbleSize val="0"/>
        </c:dLbls>
        <c:gapWidth val="150"/>
        <c:shape val="box"/>
        <c:axId val="905000464"/>
        <c:axId val="808951631"/>
        <c:axId val="0"/>
      </c:bar3DChart>
      <c:catAx>
        <c:axId val="905000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08951631"/>
        <c:crosses val="autoZero"/>
        <c:auto val="1"/>
        <c:lblAlgn val="ctr"/>
        <c:lblOffset val="100"/>
        <c:noMultiLvlLbl val="0"/>
      </c:catAx>
      <c:valAx>
        <c:axId val="808951631"/>
        <c:scaling>
          <c:orientation val="minMax"/>
        </c:scaling>
        <c:delete val="0"/>
        <c:axPos val="b"/>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500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[House Price Prediction Dataset.xlsx]Table!PivotTable4</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Table!$A$18:$A$20</c:f>
              <c:strCache>
                <c:ptCount val="3"/>
                <c:pt idx="0">
                  <c:v>1</c:v>
                </c:pt>
                <c:pt idx="1">
                  <c:v>2</c:v>
                </c:pt>
                <c:pt idx="2">
                  <c:v>3</c:v>
                </c:pt>
              </c:strCache>
            </c:strRef>
          </c:cat>
          <c:val>
            <c:numRef>
              <c:f>Table!$B$18:$B$20</c:f>
              <c:numCache>
                <c:formatCode>_-* #,##0_-;\-* #,##0_-;_-* "-"??_-;_-@_-</c:formatCode>
                <c:ptCount val="3"/>
                <c:pt idx="0">
                  <c:v>526216.89504373178</c:v>
                </c:pt>
                <c:pt idx="1">
                  <c:v>539739.76619718305</c:v>
                </c:pt>
                <c:pt idx="2">
                  <c:v>544775.51470588241</c:v>
                </c:pt>
              </c:numCache>
            </c:numRef>
          </c:val>
          <c:smooth val="0"/>
          <c:extLst>
            <c:ext xmlns:c16="http://schemas.microsoft.com/office/drawing/2014/chart" uri="{C3380CC4-5D6E-409C-BE32-E72D297353CC}">
              <c16:uniqueId val="{00000000-2110-4347-BB27-0F1F2BE09379}"/>
            </c:ext>
          </c:extLst>
        </c:ser>
        <c:ser>
          <c:idx val="1"/>
          <c:order val="1"/>
          <c:tx>
            <c:strRef>
              <c:f>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Table!$A$18:$A$20</c:f>
              <c:strCache>
                <c:ptCount val="3"/>
                <c:pt idx="0">
                  <c:v>1</c:v>
                </c:pt>
                <c:pt idx="1">
                  <c:v>2</c:v>
                </c:pt>
                <c:pt idx="2">
                  <c:v>3</c:v>
                </c:pt>
              </c:strCache>
            </c:strRef>
          </c:cat>
          <c:val>
            <c:numRef>
              <c:f>Table!$C$18:$C$20</c:f>
              <c:numCache>
                <c:formatCode>_-* #,##0_-;\-* #,##0_-;_-* "-"??_-;_-@_-</c:formatCode>
                <c:ptCount val="3"/>
                <c:pt idx="0">
                  <c:v>514154.85849056602</c:v>
                </c:pt>
                <c:pt idx="1">
                  <c:v>529040.84523809527</c:v>
                </c:pt>
                <c:pt idx="2">
                  <c:v>573931.99350649351</c:v>
                </c:pt>
              </c:numCache>
            </c:numRef>
          </c:val>
          <c:smooth val="0"/>
          <c:extLst>
            <c:ext xmlns:c16="http://schemas.microsoft.com/office/drawing/2014/chart" uri="{C3380CC4-5D6E-409C-BE32-E72D297353CC}">
              <c16:uniqueId val="{00000005-CE5C-4435-AE2A-77D32824C43A}"/>
            </c:ext>
          </c:extLst>
        </c:ser>
        <c:dLbls>
          <c:showLegendKey val="0"/>
          <c:showVal val="0"/>
          <c:showCatName val="0"/>
          <c:showSerName val="0"/>
          <c:showPercent val="0"/>
          <c:showBubbleSize val="0"/>
        </c:dLbls>
        <c:marker val="1"/>
        <c:smooth val="0"/>
        <c:axId val="2094153983"/>
        <c:axId val="2094155903"/>
      </c:lineChart>
      <c:catAx>
        <c:axId val="209415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4155903"/>
        <c:crosses val="autoZero"/>
        <c:auto val="1"/>
        <c:lblAlgn val="ctr"/>
        <c:lblOffset val="100"/>
        <c:noMultiLvlLbl val="0"/>
      </c:catAx>
      <c:valAx>
        <c:axId val="2094155903"/>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415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19050</xdr:colOff>
      <xdr:row>4</xdr:row>
      <xdr:rowOff>177800</xdr:rowOff>
    </xdr:from>
    <xdr:to>
      <xdr:col>9</xdr:col>
      <xdr:colOff>114300</xdr:colOff>
      <xdr:row>15</xdr:row>
      <xdr:rowOff>177800</xdr:rowOff>
    </xdr:to>
    <xdr:graphicFrame macro="">
      <xdr:nvGraphicFramePr>
        <xdr:cNvPr id="2" name="Chart 1">
          <a:extLst>
            <a:ext uri="{FF2B5EF4-FFF2-40B4-BE49-F238E27FC236}">
              <a16:creationId xmlns:a16="http://schemas.microsoft.com/office/drawing/2014/main" id="{1C94DFEE-1782-4E76-BFA6-91220FC26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222250</xdr:colOff>
      <xdr:row>4</xdr:row>
      <xdr:rowOff>177800</xdr:rowOff>
    </xdr:from>
    <xdr:to>
      <xdr:col>15</xdr:col>
      <xdr:colOff>215900</xdr:colOff>
      <xdr:row>15</xdr:row>
      <xdr:rowOff>171450</xdr:rowOff>
    </xdr:to>
    <xdr:graphicFrame macro="">
      <xdr:nvGraphicFramePr>
        <xdr:cNvPr id="3" name="Chart 2">
          <a:extLst>
            <a:ext uri="{FF2B5EF4-FFF2-40B4-BE49-F238E27FC236}">
              <a16:creationId xmlns:a16="http://schemas.microsoft.com/office/drawing/2014/main" id="{2C46F9F5-DCCA-4B41-8D27-98DD3D9C1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25400</xdr:colOff>
      <xdr:row>16</xdr:row>
      <xdr:rowOff>69850</xdr:rowOff>
    </xdr:from>
    <xdr:to>
      <xdr:col>9</xdr:col>
      <xdr:colOff>114300</xdr:colOff>
      <xdr:row>27</xdr:row>
      <xdr:rowOff>171450</xdr:rowOff>
    </xdr:to>
    <xdr:graphicFrame macro="">
      <xdr:nvGraphicFramePr>
        <xdr:cNvPr id="4" name="Chart 3">
          <a:extLst>
            <a:ext uri="{FF2B5EF4-FFF2-40B4-BE49-F238E27FC236}">
              <a16:creationId xmlns:a16="http://schemas.microsoft.com/office/drawing/2014/main" id="{8DB76372-A38E-4B1A-9745-346296191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222250</xdr:colOff>
      <xdr:row>16</xdr:row>
      <xdr:rowOff>57150</xdr:rowOff>
    </xdr:from>
    <xdr:to>
      <xdr:col>15</xdr:col>
      <xdr:colOff>234950</xdr:colOff>
      <xdr:row>27</xdr:row>
      <xdr:rowOff>171450</xdr:rowOff>
    </xdr:to>
    <xdr:graphicFrame macro="">
      <xdr:nvGraphicFramePr>
        <xdr:cNvPr id="5" name="Chart 4">
          <a:extLst>
            <a:ext uri="{FF2B5EF4-FFF2-40B4-BE49-F238E27FC236}">
              <a16:creationId xmlns:a16="http://schemas.microsoft.com/office/drawing/2014/main" id="{2EB1E777-14E9-4C46-97F3-3FBD17B12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342900</xdr:colOff>
      <xdr:row>4</xdr:row>
      <xdr:rowOff>158750</xdr:rowOff>
    </xdr:from>
    <xdr:to>
      <xdr:col>19</xdr:col>
      <xdr:colOff>514350</xdr:colOff>
      <xdr:row>21</xdr:row>
      <xdr:rowOff>76200</xdr:rowOff>
    </xdr:to>
    <xdr:graphicFrame macro="">
      <xdr:nvGraphicFramePr>
        <xdr:cNvPr id="6" name="Chart 5">
          <a:extLst>
            <a:ext uri="{FF2B5EF4-FFF2-40B4-BE49-F238E27FC236}">
              <a16:creationId xmlns:a16="http://schemas.microsoft.com/office/drawing/2014/main" id="{C563E05E-7914-4FC3-89CA-5058B79E4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44450</xdr:colOff>
      <xdr:row>11</xdr:row>
      <xdr:rowOff>38100</xdr:rowOff>
    </xdr:from>
    <xdr:to>
      <xdr:col>2</xdr:col>
      <xdr:colOff>577850</xdr:colOff>
      <xdr:row>16</xdr:row>
      <xdr:rowOff>107950</xdr:rowOff>
    </xdr:to>
    <mc:AlternateContent xmlns:mc="http://schemas.openxmlformats.org/markup-compatibility/2006">
      <mc:Choice xmlns:a14="http://schemas.microsoft.com/office/drawing/2010/main" Requires="a14">
        <xdr:graphicFrame macro="">
          <xdr:nvGraphicFramePr>
            <xdr:cNvPr id="7" name="Location">
              <a:extLst>
                <a:ext uri="{FF2B5EF4-FFF2-40B4-BE49-F238E27FC236}">
                  <a16:creationId xmlns:a16="http://schemas.microsoft.com/office/drawing/2014/main" id="{1FEF9FF6-CA49-4378-AB00-6399C05ADFE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44450" y="2063750"/>
              <a:ext cx="1752600" cy="99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22</xdr:row>
      <xdr:rowOff>76200</xdr:rowOff>
    </xdr:from>
    <xdr:to>
      <xdr:col>2</xdr:col>
      <xdr:colOff>558800</xdr:colOff>
      <xdr:row>27</xdr:row>
      <xdr:rowOff>171451</xdr:rowOff>
    </xdr:to>
    <mc:AlternateContent xmlns:mc="http://schemas.openxmlformats.org/markup-compatibility/2006">
      <mc:Choice xmlns:a14="http://schemas.microsoft.com/office/drawing/2010/main" Requires="a14">
        <xdr:graphicFrame macro="">
          <xdr:nvGraphicFramePr>
            <xdr:cNvPr id="8" name="Condition">
              <a:extLst>
                <a:ext uri="{FF2B5EF4-FFF2-40B4-BE49-F238E27FC236}">
                  <a16:creationId xmlns:a16="http://schemas.microsoft.com/office/drawing/2014/main" id="{5D1D3A48-89C1-446E-B107-7E1D8E238564}"/>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57150" y="4159250"/>
              <a:ext cx="1720850" cy="1016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355600</xdr:colOff>
      <xdr:row>22</xdr:row>
      <xdr:rowOff>25400</xdr:rowOff>
    </xdr:from>
    <xdr:to>
      <xdr:col>19</xdr:col>
      <xdr:colOff>533400</xdr:colOff>
      <xdr:row>27</xdr:row>
      <xdr:rowOff>171451</xdr:rowOff>
    </xdr:to>
    <mc:AlternateContent xmlns:mc="http://schemas.openxmlformats.org/markup-compatibility/2006">
      <mc:Choice xmlns:a14="http://schemas.microsoft.com/office/drawing/2010/main" Requires="a14">
        <xdr:graphicFrame macro="">
          <xdr:nvGraphicFramePr>
            <xdr:cNvPr id="9" name="Garage">
              <a:extLst>
                <a:ext uri="{FF2B5EF4-FFF2-40B4-BE49-F238E27FC236}">
                  <a16:creationId xmlns:a16="http://schemas.microsoft.com/office/drawing/2014/main" id="{AC9FA969-33B5-4893-8C48-597562CB0398}"/>
                </a:ext>
              </a:extLst>
            </xdr:cNvPr>
            <xdr:cNvGraphicFramePr/>
          </xdr:nvGraphicFramePr>
          <xdr:xfrm>
            <a:off x="0" y="0"/>
            <a:ext cx="0" cy="0"/>
          </xdr:xfrm>
          <a:graphic>
            <a:graphicData uri="http://schemas.microsoft.com/office/drawing/2010/slicer">
              <sle:slicer xmlns:sle="http://schemas.microsoft.com/office/drawing/2010/slicer" name="Garage"/>
            </a:graphicData>
          </a:graphic>
        </xdr:graphicFrame>
      </mc:Choice>
      <mc:Fallback>
        <xdr:sp macro="" textlink="">
          <xdr:nvSpPr>
            <xdr:cNvPr id="0" name=""/>
            <xdr:cNvSpPr>
              <a:spLocks noTextEdit="1"/>
            </xdr:cNvSpPr>
          </xdr:nvSpPr>
          <xdr:spPr>
            <a:xfrm>
              <a:off x="9499600" y="4108450"/>
              <a:ext cx="2616200" cy="10668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4</xdr:row>
      <xdr:rowOff>177800</xdr:rowOff>
    </xdr:from>
    <xdr:to>
      <xdr:col>2</xdr:col>
      <xdr:colOff>584200</xdr:colOff>
      <xdr:row>10</xdr:row>
      <xdr:rowOff>171450</xdr:rowOff>
    </xdr:to>
    <mc:AlternateContent xmlns:mc="http://schemas.openxmlformats.org/markup-compatibility/2006">
      <mc:Choice xmlns:a14="http://schemas.microsoft.com/office/drawing/2010/main" Requires="a14">
        <xdr:graphicFrame macro="">
          <xdr:nvGraphicFramePr>
            <xdr:cNvPr id="11" name="Area Bracket">
              <a:extLst>
                <a:ext uri="{FF2B5EF4-FFF2-40B4-BE49-F238E27FC236}">
                  <a16:creationId xmlns:a16="http://schemas.microsoft.com/office/drawing/2014/main" id="{D397AD05-8E83-48A2-A202-38E5AED9C6DB}"/>
                </a:ext>
              </a:extLst>
            </xdr:cNvPr>
            <xdr:cNvGraphicFramePr/>
          </xdr:nvGraphicFramePr>
          <xdr:xfrm>
            <a:off x="0" y="0"/>
            <a:ext cx="0" cy="0"/>
          </xdr:xfrm>
          <a:graphic>
            <a:graphicData uri="http://schemas.microsoft.com/office/drawing/2010/slicer">
              <sle:slicer xmlns:sle="http://schemas.microsoft.com/office/drawing/2010/slicer" name="Area Bracket"/>
            </a:graphicData>
          </a:graphic>
        </xdr:graphicFrame>
      </mc:Choice>
      <mc:Fallback>
        <xdr:sp macro="" textlink="">
          <xdr:nvSpPr>
            <xdr:cNvPr id="0" name=""/>
            <xdr:cNvSpPr>
              <a:spLocks noTextEdit="1"/>
            </xdr:cNvSpPr>
          </xdr:nvSpPr>
          <xdr:spPr>
            <a:xfrm>
              <a:off x="44450" y="914400"/>
              <a:ext cx="1758950" cy="1098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16</xdr:row>
      <xdr:rowOff>139700</xdr:rowOff>
    </xdr:from>
    <xdr:to>
      <xdr:col>2</xdr:col>
      <xdr:colOff>571500</xdr:colOff>
      <xdr:row>22</xdr:row>
      <xdr:rowOff>12379</xdr:rowOff>
    </xdr:to>
    <mc:AlternateContent xmlns:mc="http://schemas.openxmlformats.org/markup-compatibility/2006">
      <mc:Choice xmlns:a14="http://schemas.microsoft.com/office/drawing/2010/main" Requires="a14">
        <xdr:graphicFrame macro="">
          <xdr:nvGraphicFramePr>
            <xdr:cNvPr id="12" name="Price Bracket ">
              <a:extLst>
                <a:ext uri="{FF2B5EF4-FFF2-40B4-BE49-F238E27FC236}">
                  <a16:creationId xmlns:a16="http://schemas.microsoft.com/office/drawing/2014/main" id="{41E75437-19D0-4F7F-BF89-FFD675F69448}"/>
                </a:ext>
              </a:extLst>
            </xdr:cNvPr>
            <xdr:cNvGraphicFramePr/>
          </xdr:nvGraphicFramePr>
          <xdr:xfrm>
            <a:off x="0" y="0"/>
            <a:ext cx="0" cy="0"/>
          </xdr:xfrm>
          <a:graphic>
            <a:graphicData uri="http://schemas.microsoft.com/office/drawing/2010/slicer">
              <sle:slicer xmlns:sle="http://schemas.microsoft.com/office/drawing/2010/slicer" name="Price Bracket "/>
            </a:graphicData>
          </a:graphic>
        </xdr:graphicFrame>
      </mc:Choice>
      <mc:Fallback>
        <xdr:sp macro="" textlink="">
          <xdr:nvSpPr>
            <xdr:cNvPr id="0" name=""/>
            <xdr:cNvSpPr>
              <a:spLocks noTextEdit="1"/>
            </xdr:cNvSpPr>
          </xdr:nvSpPr>
          <xdr:spPr>
            <a:xfrm>
              <a:off x="44450" y="3086100"/>
              <a:ext cx="1746250" cy="10093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Gode" refreshedDate="45631.42009201389" createdVersion="8" refreshedVersion="8" minRefreshableVersion="3" recordCount="2000" xr:uid="{2DB542A0-A48C-46E7-B038-C57D873C1E95}">
  <cacheSource type="worksheet">
    <worksheetSource ref="A1:M2001" sheet="House Price Prediction Dataset"/>
  </cacheSource>
  <cacheFields count="13">
    <cacheField name="Id" numFmtId="0">
      <sharedItems containsSemiMixedTypes="0" containsString="0" containsNumber="1" containsInteger="1" minValue="1" maxValue="2000"/>
    </cacheField>
    <cacheField name="Area" numFmtId="0">
      <sharedItems containsSemiMixedTypes="0" containsString="0" containsNumber="1" containsInteger="1" minValue="501" maxValue="4999"/>
    </cacheField>
    <cacheField name="Area Bracket" numFmtId="0">
      <sharedItems count="5">
        <s v="Medium"/>
        <s v="Extra Large"/>
        <s v="Large"/>
        <s v="Small"/>
        <s v="" u="1"/>
      </sharedItems>
    </cacheField>
    <cacheField name="Bedrooms" numFmtId="0">
      <sharedItems containsSemiMixedTypes="0" containsString="0" containsNumber="1" containsInteger="1" minValue="1" maxValue="5"/>
    </cacheField>
    <cacheField name="Bathrooms" numFmtId="0">
      <sharedItems containsSemiMixedTypes="0" containsString="0" containsNumber="1" containsInteger="1" minValue="1" maxValue="4"/>
    </cacheField>
    <cacheField name="Floors" numFmtId="0">
      <sharedItems containsSemiMixedTypes="0" containsString="0" containsNumber="1" containsInteger="1" minValue="1" maxValue="3" count="3">
        <n v="3"/>
        <n v="2"/>
        <n v="1"/>
      </sharedItems>
    </cacheField>
    <cacheField name="YearBuilt" numFmtId="0">
      <sharedItems containsSemiMixedTypes="0" containsString="0" containsNumber="1" containsInteger="1" minValue="1900" maxValue="2023"/>
    </cacheField>
    <cacheField name="Year Bracket " numFmtId="0">
      <sharedItems count="4">
        <s v="1950-1975"/>
        <s v="Pre-1950"/>
        <s v="1976-2000"/>
        <s v="Post-2000"/>
      </sharedItems>
    </cacheField>
    <cacheField name="Location" numFmtId="0">
      <sharedItems count="4">
        <s v="Downtown"/>
        <s v="Suburban"/>
        <s v="Urban"/>
        <s v="Rural"/>
      </sharedItems>
    </cacheField>
    <cacheField name="Condition" numFmtId="0">
      <sharedItems count="4">
        <s v="Excellent"/>
        <s v="Good"/>
        <s v="Fair"/>
        <s v="Poor"/>
      </sharedItems>
    </cacheField>
    <cacheField name="Garage" numFmtId="0">
      <sharedItems count="2">
        <s v="No"/>
        <s v="Yes"/>
      </sharedItems>
    </cacheField>
    <cacheField name="Price" numFmtId="0">
      <sharedItems containsSemiMixedTypes="0" containsString="0" containsNumber="1" containsInteger="1" minValue="50005" maxValue="999656"/>
    </cacheField>
    <cacheField name="Price Bracket " numFmtId="0">
      <sharedItems count="4">
        <s v="Low"/>
        <s v="High"/>
        <s v="Medium"/>
        <s v="Premium"/>
      </sharedItems>
    </cacheField>
  </cacheFields>
  <extLst>
    <ext xmlns:x14="http://schemas.microsoft.com/office/spreadsheetml/2009/9/main" uri="{725AE2AE-9491-48be-B2B4-4EB974FC3084}">
      <x14:pivotCacheDefinition pivotCacheId="1433421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n v="1360"/>
    <x v="0"/>
    <n v="5"/>
    <n v="4"/>
    <x v="0"/>
    <n v="1970"/>
    <x v="0"/>
    <x v="0"/>
    <x v="0"/>
    <x v="0"/>
    <n v="149919"/>
    <x v="0"/>
  </r>
  <r>
    <n v="2"/>
    <n v="4272"/>
    <x v="1"/>
    <n v="5"/>
    <n v="4"/>
    <x v="0"/>
    <n v="1958"/>
    <x v="0"/>
    <x v="0"/>
    <x v="0"/>
    <x v="0"/>
    <n v="424998"/>
    <x v="1"/>
  </r>
  <r>
    <n v="3"/>
    <n v="3592"/>
    <x v="2"/>
    <n v="2"/>
    <n v="2"/>
    <x v="0"/>
    <n v="1938"/>
    <x v="1"/>
    <x v="0"/>
    <x v="1"/>
    <x v="0"/>
    <n v="266746"/>
    <x v="2"/>
  </r>
  <r>
    <n v="4"/>
    <n v="966"/>
    <x v="3"/>
    <n v="4"/>
    <n v="2"/>
    <x v="1"/>
    <n v="1902"/>
    <x v="1"/>
    <x v="1"/>
    <x v="2"/>
    <x v="1"/>
    <n v="244020"/>
    <x v="2"/>
  </r>
  <r>
    <n v="5"/>
    <n v="4926"/>
    <x v="1"/>
    <n v="1"/>
    <n v="4"/>
    <x v="1"/>
    <n v="1975"/>
    <x v="0"/>
    <x v="0"/>
    <x v="2"/>
    <x v="1"/>
    <n v="636056"/>
    <x v="3"/>
  </r>
  <r>
    <n v="6"/>
    <n v="3944"/>
    <x v="2"/>
    <n v="1"/>
    <n v="2"/>
    <x v="2"/>
    <n v="1906"/>
    <x v="1"/>
    <x v="2"/>
    <x v="3"/>
    <x v="0"/>
    <n v="93262"/>
    <x v="0"/>
  </r>
  <r>
    <n v="7"/>
    <n v="3671"/>
    <x v="2"/>
    <n v="1"/>
    <n v="1"/>
    <x v="1"/>
    <n v="1948"/>
    <x v="1"/>
    <x v="3"/>
    <x v="3"/>
    <x v="1"/>
    <n v="448722"/>
    <x v="1"/>
  </r>
  <r>
    <n v="8"/>
    <n v="3419"/>
    <x v="2"/>
    <n v="2"/>
    <n v="4"/>
    <x v="2"/>
    <n v="1925"/>
    <x v="1"/>
    <x v="1"/>
    <x v="1"/>
    <x v="1"/>
    <n v="594893"/>
    <x v="1"/>
  </r>
  <r>
    <n v="9"/>
    <n v="630"/>
    <x v="3"/>
    <n v="2"/>
    <n v="2"/>
    <x v="2"/>
    <n v="1932"/>
    <x v="1"/>
    <x v="3"/>
    <x v="3"/>
    <x v="1"/>
    <n v="652878"/>
    <x v="3"/>
  </r>
  <r>
    <n v="10"/>
    <n v="2185"/>
    <x v="0"/>
    <n v="3"/>
    <n v="3"/>
    <x v="2"/>
    <n v="2000"/>
    <x v="2"/>
    <x v="0"/>
    <x v="3"/>
    <x v="0"/>
    <n v="340375"/>
    <x v="2"/>
  </r>
  <r>
    <n v="11"/>
    <n v="1269"/>
    <x v="0"/>
    <n v="1"/>
    <n v="4"/>
    <x v="1"/>
    <n v="1947"/>
    <x v="1"/>
    <x v="1"/>
    <x v="3"/>
    <x v="1"/>
    <n v="653685"/>
    <x v="3"/>
  </r>
  <r>
    <n v="12"/>
    <n v="2891"/>
    <x v="2"/>
    <n v="4"/>
    <n v="4"/>
    <x v="0"/>
    <n v="1978"/>
    <x v="2"/>
    <x v="2"/>
    <x v="0"/>
    <x v="1"/>
    <n v="127123"/>
    <x v="0"/>
  </r>
  <r>
    <n v="13"/>
    <n v="2933"/>
    <x v="2"/>
    <n v="4"/>
    <n v="3"/>
    <x v="1"/>
    <n v="1901"/>
    <x v="1"/>
    <x v="0"/>
    <x v="3"/>
    <x v="0"/>
    <n v="849947"/>
    <x v="3"/>
  </r>
  <r>
    <n v="14"/>
    <n v="1684"/>
    <x v="0"/>
    <n v="1"/>
    <n v="1"/>
    <x v="2"/>
    <n v="2004"/>
    <x v="3"/>
    <x v="3"/>
    <x v="1"/>
    <x v="0"/>
    <n v="399355"/>
    <x v="2"/>
  </r>
  <r>
    <n v="15"/>
    <n v="3885"/>
    <x v="2"/>
    <n v="1"/>
    <n v="3"/>
    <x v="2"/>
    <n v="1970"/>
    <x v="0"/>
    <x v="2"/>
    <x v="2"/>
    <x v="1"/>
    <n v="481838"/>
    <x v="1"/>
  </r>
  <r>
    <n v="16"/>
    <n v="4617"/>
    <x v="1"/>
    <n v="1"/>
    <n v="4"/>
    <x v="1"/>
    <n v="1931"/>
    <x v="1"/>
    <x v="0"/>
    <x v="3"/>
    <x v="0"/>
    <n v="853032"/>
    <x v="3"/>
  </r>
  <r>
    <n v="17"/>
    <n v="3404"/>
    <x v="2"/>
    <n v="2"/>
    <n v="1"/>
    <x v="2"/>
    <n v="1903"/>
    <x v="1"/>
    <x v="2"/>
    <x v="2"/>
    <x v="1"/>
    <n v="208964"/>
    <x v="2"/>
  </r>
  <r>
    <n v="18"/>
    <n v="974"/>
    <x v="3"/>
    <n v="2"/>
    <n v="2"/>
    <x v="2"/>
    <n v="1919"/>
    <x v="1"/>
    <x v="0"/>
    <x v="3"/>
    <x v="1"/>
    <n v="905742"/>
    <x v="3"/>
  </r>
  <r>
    <n v="19"/>
    <n v="1582"/>
    <x v="0"/>
    <n v="2"/>
    <n v="2"/>
    <x v="1"/>
    <n v="2013"/>
    <x v="3"/>
    <x v="1"/>
    <x v="1"/>
    <x v="0"/>
    <n v="989305"/>
    <x v="3"/>
  </r>
  <r>
    <n v="20"/>
    <n v="3058"/>
    <x v="2"/>
    <n v="5"/>
    <n v="2"/>
    <x v="1"/>
    <n v="2016"/>
    <x v="3"/>
    <x v="0"/>
    <x v="0"/>
    <x v="0"/>
    <n v="218767"/>
    <x v="2"/>
  </r>
  <r>
    <n v="21"/>
    <n v="2547"/>
    <x v="2"/>
    <n v="4"/>
    <n v="4"/>
    <x v="1"/>
    <n v="1935"/>
    <x v="1"/>
    <x v="1"/>
    <x v="1"/>
    <x v="1"/>
    <n v="996357"/>
    <x v="3"/>
  </r>
  <r>
    <n v="22"/>
    <n v="3247"/>
    <x v="2"/>
    <n v="4"/>
    <n v="3"/>
    <x v="2"/>
    <n v="1931"/>
    <x v="1"/>
    <x v="0"/>
    <x v="0"/>
    <x v="0"/>
    <n v="709789"/>
    <x v="3"/>
  </r>
  <r>
    <n v="23"/>
    <n v="1475"/>
    <x v="0"/>
    <n v="3"/>
    <n v="1"/>
    <x v="2"/>
    <n v="1927"/>
    <x v="1"/>
    <x v="0"/>
    <x v="3"/>
    <x v="0"/>
    <n v="709966"/>
    <x v="3"/>
  </r>
  <r>
    <n v="24"/>
    <n v="2306"/>
    <x v="0"/>
    <n v="2"/>
    <n v="2"/>
    <x v="0"/>
    <n v="1976"/>
    <x v="2"/>
    <x v="3"/>
    <x v="3"/>
    <x v="1"/>
    <n v="447694"/>
    <x v="1"/>
  </r>
  <r>
    <n v="25"/>
    <n v="689"/>
    <x v="3"/>
    <n v="5"/>
    <n v="1"/>
    <x v="0"/>
    <n v="1900"/>
    <x v="1"/>
    <x v="2"/>
    <x v="0"/>
    <x v="1"/>
    <n v="688668"/>
    <x v="3"/>
  </r>
  <r>
    <n v="26"/>
    <n v="3234"/>
    <x v="2"/>
    <n v="5"/>
    <n v="4"/>
    <x v="1"/>
    <n v="1959"/>
    <x v="0"/>
    <x v="2"/>
    <x v="1"/>
    <x v="1"/>
    <n v="527032"/>
    <x v="1"/>
  </r>
  <r>
    <n v="27"/>
    <n v="3505"/>
    <x v="2"/>
    <n v="4"/>
    <n v="2"/>
    <x v="0"/>
    <n v="1955"/>
    <x v="0"/>
    <x v="2"/>
    <x v="1"/>
    <x v="1"/>
    <n v="745494"/>
    <x v="3"/>
  </r>
  <r>
    <n v="28"/>
    <n v="2399"/>
    <x v="0"/>
    <n v="2"/>
    <n v="4"/>
    <x v="2"/>
    <n v="1934"/>
    <x v="1"/>
    <x v="0"/>
    <x v="0"/>
    <x v="1"/>
    <n v="513179"/>
    <x v="1"/>
  </r>
  <r>
    <n v="29"/>
    <n v="1767"/>
    <x v="0"/>
    <n v="3"/>
    <n v="3"/>
    <x v="0"/>
    <n v="2011"/>
    <x v="3"/>
    <x v="0"/>
    <x v="3"/>
    <x v="1"/>
    <n v="948212"/>
    <x v="3"/>
  </r>
  <r>
    <n v="30"/>
    <n v="2028"/>
    <x v="0"/>
    <n v="2"/>
    <n v="4"/>
    <x v="2"/>
    <n v="1929"/>
    <x v="1"/>
    <x v="0"/>
    <x v="0"/>
    <x v="0"/>
    <n v="206547"/>
    <x v="2"/>
  </r>
  <r>
    <n v="31"/>
    <n v="3702"/>
    <x v="2"/>
    <n v="1"/>
    <n v="4"/>
    <x v="1"/>
    <n v="1953"/>
    <x v="0"/>
    <x v="1"/>
    <x v="3"/>
    <x v="0"/>
    <n v="902609"/>
    <x v="3"/>
  </r>
  <r>
    <n v="32"/>
    <n v="4056"/>
    <x v="1"/>
    <n v="2"/>
    <n v="3"/>
    <x v="1"/>
    <n v="1935"/>
    <x v="1"/>
    <x v="1"/>
    <x v="0"/>
    <x v="1"/>
    <n v="727090"/>
    <x v="3"/>
  </r>
  <r>
    <n v="33"/>
    <n v="4390"/>
    <x v="1"/>
    <n v="1"/>
    <n v="1"/>
    <x v="2"/>
    <n v="2020"/>
    <x v="3"/>
    <x v="3"/>
    <x v="3"/>
    <x v="0"/>
    <n v="202185"/>
    <x v="2"/>
  </r>
  <r>
    <n v="34"/>
    <n v="1146"/>
    <x v="0"/>
    <n v="1"/>
    <n v="3"/>
    <x v="0"/>
    <n v="1954"/>
    <x v="0"/>
    <x v="0"/>
    <x v="0"/>
    <x v="0"/>
    <n v="725371"/>
    <x v="3"/>
  </r>
  <r>
    <n v="35"/>
    <n v="3388"/>
    <x v="2"/>
    <n v="3"/>
    <n v="3"/>
    <x v="1"/>
    <n v="1988"/>
    <x v="2"/>
    <x v="2"/>
    <x v="2"/>
    <x v="1"/>
    <n v="105746"/>
    <x v="0"/>
  </r>
  <r>
    <n v="36"/>
    <n v="2935"/>
    <x v="2"/>
    <n v="4"/>
    <n v="4"/>
    <x v="1"/>
    <n v="1979"/>
    <x v="2"/>
    <x v="2"/>
    <x v="3"/>
    <x v="0"/>
    <n v="959507"/>
    <x v="3"/>
  </r>
  <r>
    <n v="37"/>
    <n v="1100"/>
    <x v="0"/>
    <n v="2"/>
    <n v="1"/>
    <x v="0"/>
    <n v="1957"/>
    <x v="0"/>
    <x v="3"/>
    <x v="1"/>
    <x v="0"/>
    <n v="748213"/>
    <x v="3"/>
  </r>
  <r>
    <n v="38"/>
    <n v="2863"/>
    <x v="2"/>
    <n v="1"/>
    <n v="2"/>
    <x v="0"/>
    <n v="1982"/>
    <x v="2"/>
    <x v="2"/>
    <x v="0"/>
    <x v="1"/>
    <n v="921627"/>
    <x v="3"/>
  </r>
  <r>
    <n v="39"/>
    <n v="2561"/>
    <x v="2"/>
    <n v="2"/>
    <n v="3"/>
    <x v="2"/>
    <n v="1964"/>
    <x v="0"/>
    <x v="3"/>
    <x v="1"/>
    <x v="0"/>
    <n v="873250"/>
    <x v="3"/>
  </r>
  <r>
    <n v="40"/>
    <n v="741"/>
    <x v="3"/>
    <n v="4"/>
    <n v="1"/>
    <x v="0"/>
    <n v="1968"/>
    <x v="0"/>
    <x v="0"/>
    <x v="0"/>
    <x v="0"/>
    <n v="218393"/>
    <x v="2"/>
  </r>
  <r>
    <n v="41"/>
    <n v="2541"/>
    <x v="2"/>
    <n v="4"/>
    <n v="3"/>
    <x v="0"/>
    <n v="1950"/>
    <x v="1"/>
    <x v="2"/>
    <x v="1"/>
    <x v="1"/>
    <n v="333453"/>
    <x v="2"/>
  </r>
  <r>
    <n v="42"/>
    <n v="3324"/>
    <x v="2"/>
    <n v="5"/>
    <n v="3"/>
    <x v="0"/>
    <n v="1921"/>
    <x v="1"/>
    <x v="0"/>
    <x v="1"/>
    <x v="0"/>
    <n v="986192"/>
    <x v="3"/>
  </r>
  <r>
    <n v="43"/>
    <n v="3112"/>
    <x v="2"/>
    <n v="4"/>
    <n v="3"/>
    <x v="2"/>
    <n v="1987"/>
    <x v="2"/>
    <x v="1"/>
    <x v="0"/>
    <x v="0"/>
    <n v="340320"/>
    <x v="2"/>
  </r>
  <r>
    <n v="44"/>
    <n v="1863"/>
    <x v="0"/>
    <n v="3"/>
    <n v="3"/>
    <x v="2"/>
    <n v="2006"/>
    <x v="3"/>
    <x v="2"/>
    <x v="0"/>
    <x v="0"/>
    <n v="643167"/>
    <x v="3"/>
  </r>
  <r>
    <n v="45"/>
    <n v="1978"/>
    <x v="0"/>
    <n v="1"/>
    <n v="4"/>
    <x v="1"/>
    <n v="2008"/>
    <x v="3"/>
    <x v="1"/>
    <x v="1"/>
    <x v="1"/>
    <n v="641880"/>
    <x v="3"/>
  </r>
  <r>
    <n v="46"/>
    <n v="3056"/>
    <x v="2"/>
    <n v="5"/>
    <n v="1"/>
    <x v="2"/>
    <n v="2015"/>
    <x v="3"/>
    <x v="2"/>
    <x v="1"/>
    <x v="1"/>
    <n v="396872"/>
    <x v="2"/>
  </r>
  <r>
    <n v="47"/>
    <n v="1275"/>
    <x v="0"/>
    <n v="3"/>
    <n v="1"/>
    <x v="1"/>
    <n v="2000"/>
    <x v="2"/>
    <x v="0"/>
    <x v="1"/>
    <x v="0"/>
    <n v="270084"/>
    <x v="2"/>
  </r>
  <r>
    <n v="48"/>
    <n v="4514"/>
    <x v="1"/>
    <n v="2"/>
    <n v="1"/>
    <x v="0"/>
    <n v="1952"/>
    <x v="0"/>
    <x v="3"/>
    <x v="3"/>
    <x v="0"/>
    <n v="976920"/>
    <x v="3"/>
  </r>
  <r>
    <n v="49"/>
    <n v="534"/>
    <x v="3"/>
    <n v="1"/>
    <n v="3"/>
    <x v="1"/>
    <n v="1999"/>
    <x v="2"/>
    <x v="0"/>
    <x v="3"/>
    <x v="1"/>
    <n v="771782"/>
    <x v="3"/>
  </r>
  <r>
    <n v="50"/>
    <n v="3652"/>
    <x v="2"/>
    <n v="4"/>
    <n v="4"/>
    <x v="1"/>
    <n v="1935"/>
    <x v="1"/>
    <x v="0"/>
    <x v="2"/>
    <x v="1"/>
    <n v="845016"/>
    <x v="3"/>
  </r>
  <r>
    <n v="51"/>
    <n v="2455"/>
    <x v="0"/>
    <n v="1"/>
    <n v="3"/>
    <x v="0"/>
    <n v="1967"/>
    <x v="0"/>
    <x v="0"/>
    <x v="3"/>
    <x v="0"/>
    <n v="698843"/>
    <x v="3"/>
  </r>
  <r>
    <n v="52"/>
    <n v="2085"/>
    <x v="0"/>
    <n v="2"/>
    <n v="3"/>
    <x v="1"/>
    <n v="1935"/>
    <x v="1"/>
    <x v="2"/>
    <x v="3"/>
    <x v="1"/>
    <n v="405446"/>
    <x v="1"/>
  </r>
  <r>
    <n v="53"/>
    <n v="4443"/>
    <x v="1"/>
    <n v="5"/>
    <n v="1"/>
    <x v="2"/>
    <n v="1951"/>
    <x v="0"/>
    <x v="3"/>
    <x v="0"/>
    <x v="0"/>
    <n v="958840"/>
    <x v="3"/>
  </r>
  <r>
    <n v="54"/>
    <n v="3573"/>
    <x v="2"/>
    <n v="5"/>
    <n v="3"/>
    <x v="2"/>
    <n v="1952"/>
    <x v="0"/>
    <x v="1"/>
    <x v="2"/>
    <x v="0"/>
    <n v="593118"/>
    <x v="1"/>
  </r>
  <r>
    <n v="55"/>
    <n v="1521"/>
    <x v="0"/>
    <n v="5"/>
    <n v="2"/>
    <x v="2"/>
    <n v="1981"/>
    <x v="2"/>
    <x v="0"/>
    <x v="2"/>
    <x v="1"/>
    <n v="266897"/>
    <x v="2"/>
  </r>
  <r>
    <n v="56"/>
    <n v="3961"/>
    <x v="2"/>
    <n v="4"/>
    <n v="3"/>
    <x v="2"/>
    <n v="1949"/>
    <x v="1"/>
    <x v="2"/>
    <x v="3"/>
    <x v="1"/>
    <n v="826522"/>
    <x v="3"/>
  </r>
  <r>
    <n v="57"/>
    <n v="3113"/>
    <x v="2"/>
    <n v="3"/>
    <n v="2"/>
    <x v="1"/>
    <n v="1979"/>
    <x v="2"/>
    <x v="1"/>
    <x v="0"/>
    <x v="0"/>
    <n v="913498"/>
    <x v="3"/>
  </r>
  <r>
    <n v="58"/>
    <n v="4343"/>
    <x v="1"/>
    <n v="3"/>
    <n v="3"/>
    <x v="1"/>
    <n v="1940"/>
    <x v="1"/>
    <x v="0"/>
    <x v="0"/>
    <x v="0"/>
    <n v="840023"/>
    <x v="3"/>
  </r>
  <r>
    <n v="59"/>
    <n v="2000"/>
    <x v="0"/>
    <n v="1"/>
    <n v="4"/>
    <x v="0"/>
    <n v="1917"/>
    <x v="1"/>
    <x v="1"/>
    <x v="2"/>
    <x v="1"/>
    <n v="143878"/>
    <x v="0"/>
  </r>
  <r>
    <n v="60"/>
    <n v="661"/>
    <x v="3"/>
    <n v="4"/>
    <n v="4"/>
    <x v="1"/>
    <n v="1921"/>
    <x v="1"/>
    <x v="0"/>
    <x v="0"/>
    <x v="0"/>
    <n v="175407"/>
    <x v="0"/>
  </r>
  <r>
    <n v="61"/>
    <n v="4797"/>
    <x v="1"/>
    <n v="5"/>
    <n v="1"/>
    <x v="1"/>
    <n v="1965"/>
    <x v="0"/>
    <x v="1"/>
    <x v="1"/>
    <x v="1"/>
    <n v="691157"/>
    <x v="3"/>
  </r>
  <r>
    <n v="62"/>
    <n v="2481"/>
    <x v="0"/>
    <n v="5"/>
    <n v="3"/>
    <x v="1"/>
    <n v="1920"/>
    <x v="1"/>
    <x v="1"/>
    <x v="3"/>
    <x v="1"/>
    <n v="307716"/>
    <x v="2"/>
  </r>
  <r>
    <n v="63"/>
    <n v="1495"/>
    <x v="0"/>
    <n v="2"/>
    <n v="2"/>
    <x v="0"/>
    <n v="1999"/>
    <x v="2"/>
    <x v="3"/>
    <x v="1"/>
    <x v="1"/>
    <n v="857827"/>
    <x v="3"/>
  </r>
  <r>
    <n v="64"/>
    <n v="3842"/>
    <x v="2"/>
    <n v="2"/>
    <n v="2"/>
    <x v="2"/>
    <n v="1943"/>
    <x v="1"/>
    <x v="3"/>
    <x v="2"/>
    <x v="1"/>
    <n v="66738"/>
    <x v="0"/>
  </r>
  <r>
    <n v="65"/>
    <n v="4298"/>
    <x v="1"/>
    <n v="5"/>
    <n v="3"/>
    <x v="1"/>
    <n v="2002"/>
    <x v="3"/>
    <x v="0"/>
    <x v="2"/>
    <x v="1"/>
    <n v="183703"/>
    <x v="0"/>
  </r>
  <r>
    <n v="66"/>
    <n v="1775"/>
    <x v="0"/>
    <n v="5"/>
    <n v="2"/>
    <x v="0"/>
    <n v="1946"/>
    <x v="1"/>
    <x v="2"/>
    <x v="0"/>
    <x v="0"/>
    <n v="723265"/>
    <x v="3"/>
  </r>
  <r>
    <n v="67"/>
    <n v="1516"/>
    <x v="0"/>
    <n v="4"/>
    <n v="4"/>
    <x v="0"/>
    <n v="1938"/>
    <x v="1"/>
    <x v="3"/>
    <x v="0"/>
    <x v="1"/>
    <n v="593344"/>
    <x v="1"/>
  </r>
  <r>
    <n v="68"/>
    <n v="837"/>
    <x v="3"/>
    <n v="3"/>
    <n v="2"/>
    <x v="0"/>
    <n v="1928"/>
    <x v="1"/>
    <x v="1"/>
    <x v="2"/>
    <x v="1"/>
    <n v="815034"/>
    <x v="3"/>
  </r>
  <r>
    <n v="69"/>
    <n v="1378"/>
    <x v="0"/>
    <n v="2"/>
    <n v="1"/>
    <x v="2"/>
    <n v="1953"/>
    <x v="0"/>
    <x v="3"/>
    <x v="2"/>
    <x v="1"/>
    <n v="560241"/>
    <x v="1"/>
  </r>
  <r>
    <n v="70"/>
    <n v="1576"/>
    <x v="0"/>
    <n v="3"/>
    <n v="4"/>
    <x v="1"/>
    <n v="1989"/>
    <x v="2"/>
    <x v="3"/>
    <x v="1"/>
    <x v="1"/>
    <n v="433800"/>
    <x v="1"/>
  </r>
  <r>
    <n v="71"/>
    <n v="4493"/>
    <x v="1"/>
    <n v="4"/>
    <n v="4"/>
    <x v="0"/>
    <n v="1984"/>
    <x v="2"/>
    <x v="0"/>
    <x v="1"/>
    <x v="1"/>
    <n v="689604"/>
    <x v="3"/>
  </r>
  <r>
    <n v="72"/>
    <n v="879"/>
    <x v="3"/>
    <n v="5"/>
    <n v="4"/>
    <x v="2"/>
    <n v="1916"/>
    <x v="1"/>
    <x v="3"/>
    <x v="0"/>
    <x v="1"/>
    <n v="740807"/>
    <x v="3"/>
  </r>
  <r>
    <n v="73"/>
    <n v="992"/>
    <x v="3"/>
    <n v="3"/>
    <n v="3"/>
    <x v="0"/>
    <n v="1979"/>
    <x v="2"/>
    <x v="3"/>
    <x v="1"/>
    <x v="1"/>
    <n v="628706"/>
    <x v="3"/>
  </r>
  <r>
    <n v="74"/>
    <n v="2562"/>
    <x v="2"/>
    <n v="5"/>
    <n v="3"/>
    <x v="0"/>
    <n v="1959"/>
    <x v="0"/>
    <x v="1"/>
    <x v="0"/>
    <x v="0"/>
    <n v="873622"/>
    <x v="3"/>
  </r>
  <r>
    <n v="75"/>
    <n v="4384"/>
    <x v="1"/>
    <n v="5"/>
    <n v="4"/>
    <x v="0"/>
    <n v="1930"/>
    <x v="1"/>
    <x v="3"/>
    <x v="0"/>
    <x v="0"/>
    <n v="76014"/>
    <x v="0"/>
  </r>
  <r>
    <n v="76"/>
    <n v="564"/>
    <x v="3"/>
    <n v="1"/>
    <n v="3"/>
    <x v="0"/>
    <n v="2014"/>
    <x v="3"/>
    <x v="1"/>
    <x v="3"/>
    <x v="0"/>
    <n v="778359"/>
    <x v="3"/>
  </r>
  <r>
    <n v="77"/>
    <n v="3068"/>
    <x v="2"/>
    <n v="3"/>
    <n v="2"/>
    <x v="0"/>
    <n v="1972"/>
    <x v="0"/>
    <x v="3"/>
    <x v="0"/>
    <x v="0"/>
    <n v="813277"/>
    <x v="3"/>
  </r>
  <r>
    <n v="78"/>
    <n v="2527"/>
    <x v="2"/>
    <n v="3"/>
    <n v="3"/>
    <x v="2"/>
    <n v="1994"/>
    <x v="2"/>
    <x v="3"/>
    <x v="1"/>
    <x v="1"/>
    <n v="231350"/>
    <x v="2"/>
  </r>
  <r>
    <n v="79"/>
    <n v="3195"/>
    <x v="2"/>
    <n v="5"/>
    <n v="3"/>
    <x v="1"/>
    <n v="1977"/>
    <x v="2"/>
    <x v="2"/>
    <x v="2"/>
    <x v="0"/>
    <n v="961995"/>
    <x v="3"/>
  </r>
  <r>
    <n v="80"/>
    <n v="1995"/>
    <x v="0"/>
    <n v="4"/>
    <n v="4"/>
    <x v="1"/>
    <n v="1948"/>
    <x v="1"/>
    <x v="3"/>
    <x v="2"/>
    <x v="1"/>
    <n v="838212"/>
    <x v="3"/>
  </r>
  <r>
    <n v="81"/>
    <n v="891"/>
    <x v="3"/>
    <n v="1"/>
    <n v="1"/>
    <x v="1"/>
    <n v="2000"/>
    <x v="2"/>
    <x v="1"/>
    <x v="1"/>
    <x v="0"/>
    <n v="534859"/>
    <x v="1"/>
  </r>
  <r>
    <n v="82"/>
    <n v="4974"/>
    <x v="1"/>
    <n v="5"/>
    <n v="1"/>
    <x v="1"/>
    <n v="1901"/>
    <x v="1"/>
    <x v="1"/>
    <x v="2"/>
    <x v="0"/>
    <n v="764618"/>
    <x v="3"/>
  </r>
  <r>
    <n v="83"/>
    <n v="4061"/>
    <x v="1"/>
    <n v="2"/>
    <n v="1"/>
    <x v="2"/>
    <n v="2015"/>
    <x v="3"/>
    <x v="0"/>
    <x v="0"/>
    <x v="1"/>
    <n v="540339"/>
    <x v="1"/>
  </r>
  <r>
    <n v="84"/>
    <n v="2778"/>
    <x v="2"/>
    <n v="2"/>
    <n v="2"/>
    <x v="2"/>
    <n v="1947"/>
    <x v="1"/>
    <x v="0"/>
    <x v="2"/>
    <x v="1"/>
    <n v="92192"/>
    <x v="0"/>
  </r>
  <r>
    <n v="85"/>
    <n v="3599"/>
    <x v="2"/>
    <n v="1"/>
    <n v="3"/>
    <x v="2"/>
    <n v="2009"/>
    <x v="3"/>
    <x v="2"/>
    <x v="1"/>
    <x v="0"/>
    <n v="941307"/>
    <x v="3"/>
  </r>
  <r>
    <n v="86"/>
    <n v="700"/>
    <x v="3"/>
    <n v="4"/>
    <n v="1"/>
    <x v="0"/>
    <n v="1913"/>
    <x v="1"/>
    <x v="1"/>
    <x v="2"/>
    <x v="0"/>
    <n v="411273"/>
    <x v="1"/>
  </r>
  <r>
    <n v="87"/>
    <n v="3604"/>
    <x v="2"/>
    <n v="5"/>
    <n v="4"/>
    <x v="0"/>
    <n v="1958"/>
    <x v="0"/>
    <x v="1"/>
    <x v="0"/>
    <x v="0"/>
    <n v="93923"/>
    <x v="0"/>
  </r>
  <r>
    <n v="88"/>
    <n v="2954"/>
    <x v="2"/>
    <n v="3"/>
    <n v="1"/>
    <x v="0"/>
    <n v="1996"/>
    <x v="2"/>
    <x v="1"/>
    <x v="0"/>
    <x v="0"/>
    <n v="663484"/>
    <x v="3"/>
  </r>
  <r>
    <n v="89"/>
    <n v="4145"/>
    <x v="1"/>
    <n v="1"/>
    <n v="1"/>
    <x v="1"/>
    <n v="1998"/>
    <x v="2"/>
    <x v="2"/>
    <x v="1"/>
    <x v="1"/>
    <n v="576683"/>
    <x v="1"/>
  </r>
  <r>
    <n v="90"/>
    <n v="1304"/>
    <x v="0"/>
    <n v="4"/>
    <n v="3"/>
    <x v="0"/>
    <n v="1957"/>
    <x v="0"/>
    <x v="1"/>
    <x v="1"/>
    <x v="0"/>
    <n v="414593"/>
    <x v="1"/>
  </r>
  <r>
    <n v="91"/>
    <n v="3231"/>
    <x v="2"/>
    <n v="3"/>
    <n v="3"/>
    <x v="1"/>
    <n v="2002"/>
    <x v="3"/>
    <x v="0"/>
    <x v="1"/>
    <x v="0"/>
    <n v="433891"/>
    <x v="1"/>
  </r>
  <r>
    <n v="92"/>
    <n v="3273"/>
    <x v="2"/>
    <n v="2"/>
    <n v="3"/>
    <x v="0"/>
    <n v="1957"/>
    <x v="0"/>
    <x v="2"/>
    <x v="3"/>
    <x v="0"/>
    <n v="802744"/>
    <x v="3"/>
  </r>
  <r>
    <n v="93"/>
    <n v="2070"/>
    <x v="0"/>
    <n v="2"/>
    <n v="2"/>
    <x v="1"/>
    <n v="2010"/>
    <x v="3"/>
    <x v="0"/>
    <x v="3"/>
    <x v="0"/>
    <n v="458995"/>
    <x v="1"/>
  </r>
  <r>
    <n v="94"/>
    <n v="3190"/>
    <x v="2"/>
    <n v="3"/>
    <n v="2"/>
    <x v="0"/>
    <n v="1950"/>
    <x v="1"/>
    <x v="0"/>
    <x v="0"/>
    <x v="0"/>
    <n v="645316"/>
    <x v="3"/>
  </r>
  <r>
    <n v="95"/>
    <n v="4340"/>
    <x v="1"/>
    <n v="1"/>
    <n v="1"/>
    <x v="0"/>
    <n v="1983"/>
    <x v="2"/>
    <x v="2"/>
    <x v="3"/>
    <x v="1"/>
    <n v="997226"/>
    <x v="3"/>
  </r>
  <r>
    <n v="96"/>
    <n v="1528"/>
    <x v="0"/>
    <n v="2"/>
    <n v="3"/>
    <x v="2"/>
    <n v="1901"/>
    <x v="1"/>
    <x v="3"/>
    <x v="3"/>
    <x v="1"/>
    <n v="450327"/>
    <x v="1"/>
  </r>
  <r>
    <n v="97"/>
    <n v="1002"/>
    <x v="0"/>
    <n v="5"/>
    <n v="1"/>
    <x v="0"/>
    <n v="2014"/>
    <x v="3"/>
    <x v="3"/>
    <x v="2"/>
    <x v="1"/>
    <n v="816751"/>
    <x v="3"/>
  </r>
  <r>
    <n v="98"/>
    <n v="4993"/>
    <x v="1"/>
    <n v="3"/>
    <n v="4"/>
    <x v="0"/>
    <n v="1940"/>
    <x v="1"/>
    <x v="0"/>
    <x v="3"/>
    <x v="1"/>
    <n v="715344"/>
    <x v="3"/>
  </r>
  <r>
    <n v="99"/>
    <n v="1370"/>
    <x v="0"/>
    <n v="3"/>
    <n v="4"/>
    <x v="2"/>
    <n v="1982"/>
    <x v="2"/>
    <x v="3"/>
    <x v="2"/>
    <x v="1"/>
    <n v="929608"/>
    <x v="3"/>
  </r>
  <r>
    <n v="100"/>
    <n v="4988"/>
    <x v="1"/>
    <n v="2"/>
    <n v="3"/>
    <x v="1"/>
    <n v="2022"/>
    <x v="3"/>
    <x v="1"/>
    <x v="1"/>
    <x v="0"/>
    <n v="777688"/>
    <x v="3"/>
  </r>
  <r>
    <n v="101"/>
    <n v="706"/>
    <x v="3"/>
    <n v="1"/>
    <n v="3"/>
    <x v="2"/>
    <n v="2000"/>
    <x v="2"/>
    <x v="2"/>
    <x v="2"/>
    <x v="1"/>
    <n v="305315"/>
    <x v="2"/>
  </r>
  <r>
    <n v="102"/>
    <n v="1984"/>
    <x v="0"/>
    <n v="5"/>
    <n v="4"/>
    <x v="2"/>
    <n v="1981"/>
    <x v="2"/>
    <x v="0"/>
    <x v="2"/>
    <x v="1"/>
    <n v="339068"/>
    <x v="2"/>
  </r>
  <r>
    <n v="103"/>
    <n v="1363"/>
    <x v="0"/>
    <n v="1"/>
    <n v="3"/>
    <x v="1"/>
    <n v="1915"/>
    <x v="1"/>
    <x v="1"/>
    <x v="1"/>
    <x v="0"/>
    <n v="495919"/>
    <x v="1"/>
  </r>
  <r>
    <n v="104"/>
    <n v="3290"/>
    <x v="2"/>
    <n v="4"/>
    <n v="2"/>
    <x v="0"/>
    <n v="1903"/>
    <x v="1"/>
    <x v="3"/>
    <x v="1"/>
    <x v="1"/>
    <n v="344721"/>
    <x v="2"/>
  </r>
  <r>
    <n v="105"/>
    <n v="1063"/>
    <x v="0"/>
    <n v="4"/>
    <n v="2"/>
    <x v="1"/>
    <n v="1911"/>
    <x v="1"/>
    <x v="1"/>
    <x v="0"/>
    <x v="1"/>
    <n v="188783"/>
    <x v="0"/>
  </r>
  <r>
    <n v="106"/>
    <n v="4691"/>
    <x v="1"/>
    <n v="2"/>
    <n v="3"/>
    <x v="0"/>
    <n v="1928"/>
    <x v="1"/>
    <x v="3"/>
    <x v="0"/>
    <x v="1"/>
    <n v="659836"/>
    <x v="3"/>
  </r>
  <r>
    <n v="107"/>
    <n v="2257"/>
    <x v="0"/>
    <n v="2"/>
    <n v="4"/>
    <x v="0"/>
    <n v="1906"/>
    <x v="1"/>
    <x v="0"/>
    <x v="0"/>
    <x v="1"/>
    <n v="307288"/>
    <x v="2"/>
  </r>
  <r>
    <n v="108"/>
    <n v="2178"/>
    <x v="0"/>
    <n v="2"/>
    <n v="1"/>
    <x v="1"/>
    <n v="1913"/>
    <x v="1"/>
    <x v="1"/>
    <x v="0"/>
    <x v="0"/>
    <n v="543085"/>
    <x v="1"/>
  </r>
  <r>
    <n v="109"/>
    <n v="3742"/>
    <x v="2"/>
    <n v="4"/>
    <n v="3"/>
    <x v="2"/>
    <n v="2018"/>
    <x v="3"/>
    <x v="2"/>
    <x v="2"/>
    <x v="0"/>
    <n v="545187"/>
    <x v="1"/>
  </r>
  <r>
    <n v="110"/>
    <n v="1559"/>
    <x v="0"/>
    <n v="1"/>
    <n v="3"/>
    <x v="1"/>
    <n v="1911"/>
    <x v="1"/>
    <x v="0"/>
    <x v="2"/>
    <x v="1"/>
    <n v="699381"/>
    <x v="3"/>
  </r>
  <r>
    <n v="111"/>
    <n v="2222"/>
    <x v="0"/>
    <n v="1"/>
    <n v="1"/>
    <x v="0"/>
    <n v="1998"/>
    <x v="2"/>
    <x v="1"/>
    <x v="0"/>
    <x v="0"/>
    <n v="285835"/>
    <x v="2"/>
  </r>
  <r>
    <n v="112"/>
    <n v="3814"/>
    <x v="2"/>
    <n v="2"/>
    <n v="3"/>
    <x v="1"/>
    <n v="1904"/>
    <x v="1"/>
    <x v="1"/>
    <x v="3"/>
    <x v="1"/>
    <n v="971600"/>
    <x v="3"/>
  </r>
  <r>
    <n v="113"/>
    <n v="3657"/>
    <x v="2"/>
    <n v="5"/>
    <n v="1"/>
    <x v="1"/>
    <n v="1980"/>
    <x v="2"/>
    <x v="3"/>
    <x v="0"/>
    <x v="0"/>
    <n v="902987"/>
    <x v="3"/>
  </r>
  <r>
    <n v="114"/>
    <n v="3125"/>
    <x v="2"/>
    <n v="1"/>
    <n v="4"/>
    <x v="0"/>
    <n v="2021"/>
    <x v="3"/>
    <x v="0"/>
    <x v="3"/>
    <x v="0"/>
    <n v="401992"/>
    <x v="1"/>
  </r>
  <r>
    <n v="115"/>
    <n v="3229"/>
    <x v="2"/>
    <n v="4"/>
    <n v="2"/>
    <x v="2"/>
    <n v="2005"/>
    <x v="3"/>
    <x v="0"/>
    <x v="1"/>
    <x v="0"/>
    <n v="256084"/>
    <x v="2"/>
  </r>
  <r>
    <n v="116"/>
    <n v="2097"/>
    <x v="0"/>
    <n v="3"/>
    <n v="4"/>
    <x v="1"/>
    <n v="1931"/>
    <x v="1"/>
    <x v="0"/>
    <x v="2"/>
    <x v="0"/>
    <n v="844686"/>
    <x v="3"/>
  </r>
  <r>
    <n v="117"/>
    <n v="3560"/>
    <x v="2"/>
    <n v="3"/>
    <n v="2"/>
    <x v="0"/>
    <n v="1973"/>
    <x v="0"/>
    <x v="0"/>
    <x v="2"/>
    <x v="0"/>
    <n v="437554"/>
    <x v="1"/>
  </r>
  <r>
    <n v="118"/>
    <n v="3193"/>
    <x v="2"/>
    <n v="3"/>
    <n v="1"/>
    <x v="0"/>
    <n v="1942"/>
    <x v="1"/>
    <x v="3"/>
    <x v="3"/>
    <x v="0"/>
    <n v="803315"/>
    <x v="3"/>
  </r>
  <r>
    <n v="119"/>
    <n v="4127"/>
    <x v="1"/>
    <n v="5"/>
    <n v="2"/>
    <x v="1"/>
    <n v="1980"/>
    <x v="2"/>
    <x v="2"/>
    <x v="0"/>
    <x v="0"/>
    <n v="520336"/>
    <x v="1"/>
  </r>
  <r>
    <n v="120"/>
    <n v="1863"/>
    <x v="0"/>
    <n v="2"/>
    <n v="4"/>
    <x v="2"/>
    <n v="1968"/>
    <x v="0"/>
    <x v="0"/>
    <x v="2"/>
    <x v="0"/>
    <n v="973469"/>
    <x v="3"/>
  </r>
  <r>
    <n v="121"/>
    <n v="2481"/>
    <x v="0"/>
    <n v="4"/>
    <n v="2"/>
    <x v="1"/>
    <n v="1944"/>
    <x v="1"/>
    <x v="3"/>
    <x v="3"/>
    <x v="0"/>
    <n v="258072"/>
    <x v="2"/>
  </r>
  <r>
    <n v="122"/>
    <n v="2163"/>
    <x v="0"/>
    <n v="5"/>
    <n v="1"/>
    <x v="2"/>
    <n v="2005"/>
    <x v="3"/>
    <x v="2"/>
    <x v="1"/>
    <x v="0"/>
    <n v="298029"/>
    <x v="2"/>
  </r>
  <r>
    <n v="123"/>
    <n v="2029"/>
    <x v="0"/>
    <n v="4"/>
    <n v="2"/>
    <x v="2"/>
    <n v="1908"/>
    <x v="1"/>
    <x v="2"/>
    <x v="1"/>
    <x v="0"/>
    <n v="259047"/>
    <x v="2"/>
  </r>
  <r>
    <n v="124"/>
    <n v="2538"/>
    <x v="2"/>
    <n v="4"/>
    <n v="3"/>
    <x v="2"/>
    <n v="1948"/>
    <x v="1"/>
    <x v="3"/>
    <x v="2"/>
    <x v="1"/>
    <n v="415169"/>
    <x v="1"/>
  </r>
  <r>
    <n v="125"/>
    <n v="3802"/>
    <x v="2"/>
    <n v="2"/>
    <n v="4"/>
    <x v="2"/>
    <n v="1932"/>
    <x v="1"/>
    <x v="0"/>
    <x v="0"/>
    <x v="0"/>
    <n v="180509"/>
    <x v="0"/>
  </r>
  <r>
    <n v="126"/>
    <n v="2737"/>
    <x v="2"/>
    <n v="3"/>
    <n v="3"/>
    <x v="1"/>
    <n v="1999"/>
    <x v="2"/>
    <x v="2"/>
    <x v="3"/>
    <x v="1"/>
    <n v="812072"/>
    <x v="3"/>
  </r>
  <r>
    <n v="127"/>
    <n v="1806"/>
    <x v="0"/>
    <n v="2"/>
    <n v="1"/>
    <x v="0"/>
    <n v="1999"/>
    <x v="2"/>
    <x v="0"/>
    <x v="2"/>
    <x v="0"/>
    <n v="345107"/>
    <x v="2"/>
  </r>
  <r>
    <n v="128"/>
    <n v="4529"/>
    <x v="1"/>
    <n v="5"/>
    <n v="2"/>
    <x v="0"/>
    <n v="1917"/>
    <x v="1"/>
    <x v="0"/>
    <x v="1"/>
    <x v="1"/>
    <n v="577561"/>
    <x v="1"/>
  </r>
  <r>
    <n v="129"/>
    <n v="3175"/>
    <x v="2"/>
    <n v="5"/>
    <n v="3"/>
    <x v="0"/>
    <n v="1908"/>
    <x v="1"/>
    <x v="1"/>
    <x v="0"/>
    <x v="1"/>
    <n v="589618"/>
    <x v="1"/>
  </r>
  <r>
    <n v="130"/>
    <n v="1782"/>
    <x v="0"/>
    <n v="5"/>
    <n v="3"/>
    <x v="0"/>
    <n v="1961"/>
    <x v="0"/>
    <x v="0"/>
    <x v="3"/>
    <x v="1"/>
    <n v="202566"/>
    <x v="2"/>
  </r>
  <r>
    <n v="131"/>
    <n v="1209"/>
    <x v="0"/>
    <n v="2"/>
    <n v="2"/>
    <x v="0"/>
    <n v="1956"/>
    <x v="0"/>
    <x v="1"/>
    <x v="2"/>
    <x v="0"/>
    <n v="650710"/>
    <x v="3"/>
  </r>
  <r>
    <n v="132"/>
    <n v="4913"/>
    <x v="1"/>
    <n v="4"/>
    <n v="2"/>
    <x v="0"/>
    <n v="1928"/>
    <x v="1"/>
    <x v="2"/>
    <x v="3"/>
    <x v="0"/>
    <n v="958521"/>
    <x v="3"/>
  </r>
  <r>
    <n v="133"/>
    <n v="4248"/>
    <x v="1"/>
    <n v="4"/>
    <n v="4"/>
    <x v="1"/>
    <n v="2013"/>
    <x v="3"/>
    <x v="3"/>
    <x v="0"/>
    <x v="0"/>
    <n v="53212"/>
    <x v="0"/>
  </r>
  <r>
    <n v="134"/>
    <n v="1163"/>
    <x v="0"/>
    <n v="1"/>
    <n v="3"/>
    <x v="2"/>
    <n v="1977"/>
    <x v="2"/>
    <x v="1"/>
    <x v="0"/>
    <x v="0"/>
    <n v="282131"/>
    <x v="2"/>
  </r>
  <r>
    <n v="135"/>
    <n v="2498"/>
    <x v="0"/>
    <n v="5"/>
    <n v="3"/>
    <x v="0"/>
    <n v="1924"/>
    <x v="1"/>
    <x v="3"/>
    <x v="1"/>
    <x v="1"/>
    <n v="526657"/>
    <x v="1"/>
  </r>
  <r>
    <n v="136"/>
    <n v="3945"/>
    <x v="2"/>
    <n v="4"/>
    <n v="1"/>
    <x v="1"/>
    <n v="1914"/>
    <x v="1"/>
    <x v="2"/>
    <x v="0"/>
    <x v="0"/>
    <n v="661882"/>
    <x v="3"/>
  </r>
  <r>
    <n v="137"/>
    <n v="4243"/>
    <x v="1"/>
    <n v="1"/>
    <n v="4"/>
    <x v="0"/>
    <n v="1905"/>
    <x v="1"/>
    <x v="0"/>
    <x v="2"/>
    <x v="0"/>
    <n v="182152"/>
    <x v="0"/>
  </r>
  <r>
    <n v="138"/>
    <n v="1995"/>
    <x v="0"/>
    <n v="4"/>
    <n v="1"/>
    <x v="0"/>
    <n v="2019"/>
    <x v="3"/>
    <x v="2"/>
    <x v="3"/>
    <x v="0"/>
    <n v="344819"/>
    <x v="2"/>
  </r>
  <r>
    <n v="139"/>
    <n v="3804"/>
    <x v="2"/>
    <n v="5"/>
    <n v="3"/>
    <x v="2"/>
    <n v="1941"/>
    <x v="1"/>
    <x v="3"/>
    <x v="0"/>
    <x v="0"/>
    <n v="72007"/>
    <x v="0"/>
  </r>
  <r>
    <n v="140"/>
    <n v="4263"/>
    <x v="1"/>
    <n v="3"/>
    <n v="1"/>
    <x v="2"/>
    <n v="1928"/>
    <x v="1"/>
    <x v="2"/>
    <x v="0"/>
    <x v="0"/>
    <n v="688093"/>
    <x v="3"/>
  </r>
  <r>
    <n v="141"/>
    <n v="2353"/>
    <x v="0"/>
    <n v="5"/>
    <n v="3"/>
    <x v="2"/>
    <n v="1978"/>
    <x v="2"/>
    <x v="0"/>
    <x v="2"/>
    <x v="0"/>
    <n v="394785"/>
    <x v="2"/>
  </r>
  <r>
    <n v="142"/>
    <n v="1791"/>
    <x v="0"/>
    <n v="2"/>
    <n v="3"/>
    <x v="0"/>
    <n v="1992"/>
    <x v="2"/>
    <x v="2"/>
    <x v="3"/>
    <x v="0"/>
    <n v="670103"/>
    <x v="3"/>
  </r>
  <r>
    <n v="143"/>
    <n v="4081"/>
    <x v="1"/>
    <n v="4"/>
    <n v="1"/>
    <x v="0"/>
    <n v="1903"/>
    <x v="1"/>
    <x v="0"/>
    <x v="3"/>
    <x v="0"/>
    <n v="883247"/>
    <x v="3"/>
  </r>
  <r>
    <n v="144"/>
    <n v="3957"/>
    <x v="2"/>
    <n v="4"/>
    <n v="1"/>
    <x v="0"/>
    <n v="1981"/>
    <x v="2"/>
    <x v="1"/>
    <x v="1"/>
    <x v="1"/>
    <n v="919914"/>
    <x v="3"/>
  </r>
  <r>
    <n v="145"/>
    <n v="2136"/>
    <x v="0"/>
    <n v="2"/>
    <n v="2"/>
    <x v="2"/>
    <n v="2013"/>
    <x v="3"/>
    <x v="3"/>
    <x v="1"/>
    <x v="1"/>
    <n v="837071"/>
    <x v="3"/>
  </r>
  <r>
    <n v="146"/>
    <n v="4196"/>
    <x v="1"/>
    <n v="2"/>
    <n v="2"/>
    <x v="1"/>
    <n v="1956"/>
    <x v="0"/>
    <x v="0"/>
    <x v="3"/>
    <x v="0"/>
    <n v="375737"/>
    <x v="2"/>
  </r>
  <r>
    <n v="147"/>
    <n v="3499"/>
    <x v="2"/>
    <n v="3"/>
    <n v="2"/>
    <x v="0"/>
    <n v="1948"/>
    <x v="1"/>
    <x v="0"/>
    <x v="2"/>
    <x v="0"/>
    <n v="562164"/>
    <x v="1"/>
  </r>
  <r>
    <n v="148"/>
    <n v="3652"/>
    <x v="2"/>
    <n v="4"/>
    <n v="3"/>
    <x v="0"/>
    <n v="1943"/>
    <x v="1"/>
    <x v="2"/>
    <x v="2"/>
    <x v="0"/>
    <n v="128038"/>
    <x v="0"/>
  </r>
  <r>
    <n v="149"/>
    <n v="1198"/>
    <x v="0"/>
    <n v="4"/>
    <n v="1"/>
    <x v="0"/>
    <n v="2002"/>
    <x v="3"/>
    <x v="1"/>
    <x v="1"/>
    <x v="0"/>
    <n v="406043"/>
    <x v="1"/>
  </r>
  <r>
    <n v="150"/>
    <n v="2660"/>
    <x v="2"/>
    <n v="3"/>
    <n v="4"/>
    <x v="1"/>
    <n v="1979"/>
    <x v="2"/>
    <x v="0"/>
    <x v="0"/>
    <x v="1"/>
    <n v="840168"/>
    <x v="3"/>
  </r>
  <r>
    <n v="151"/>
    <n v="4597"/>
    <x v="1"/>
    <n v="1"/>
    <n v="3"/>
    <x v="0"/>
    <n v="1974"/>
    <x v="0"/>
    <x v="1"/>
    <x v="2"/>
    <x v="1"/>
    <n v="827794"/>
    <x v="3"/>
  </r>
  <r>
    <n v="152"/>
    <n v="1354"/>
    <x v="0"/>
    <n v="3"/>
    <n v="4"/>
    <x v="1"/>
    <n v="1913"/>
    <x v="1"/>
    <x v="1"/>
    <x v="0"/>
    <x v="0"/>
    <n v="66473"/>
    <x v="0"/>
  </r>
  <r>
    <n v="153"/>
    <n v="3974"/>
    <x v="2"/>
    <n v="5"/>
    <n v="1"/>
    <x v="0"/>
    <n v="1902"/>
    <x v="1"/>
    <x v="2"/>
    <x v="2"/>
    <x v="1"/>
    <n v="703059"/>
    <x v="3"/>
  </r>
  <r>
    <n v="154"/>
    <n v="2207"/>
    <x v="0"/>
    <n v="4"/>
    <n v="3"/>
    <x v="1"/>
    <n v="2014"/>
    <x v="3"/>
    <x v="0"/>
    <x v="3"/>
    <x v="1"/>
    <n v="175801"/>
    <x v="0"/>
  </r>
  <r>
    <n v="155"/>
    <n v="3277"/>
    <x v="2"/>
    <n v="2"/>
    <n v="4"/>
    <x v="0"/>
    <n v="2013"/>
    <x v="3"/>
    <x v="2"/>
    <x v="1"/>
    <x v="0"/>
    <n v="944030"/>
    <x v="3"/>
  </r>
  <r>
    <n v="156"/>
    <n v="2233"/>
    <x v="0"/>
    <n v="5"/>
    <n v="4"/>
    <x v="2"/>
    <n v="1961"/>
    <x v="0"/>
    <x v="3"/>
    <x v="0"/>
    <x v="0"/>
    <n v="660911"/>
    <x v="3"/>
  </r>
  <r>
    <n v="157"/>
    <n v="4010"/>
    <x v="1"/>
    <n v="4"/>
    <n v="2"/>
    <x v="2"/>
    <n v="2005"/>
    <x v="3"/>
    <x v="3"/>
    <x v="0"/>
    <x v="0"/>
    <n v="558252"/>
    <x v="1"/>
  </r>
  <r>
    <n v="158"/>
    <n v="702"/>
    <x v="3"/>
    <n v="3"/>
    <n v="2"/>
    <x v="2"/>
    <n v="1963"/>
    <x v="0"/>
    <x v="0"/>
    <x v="3"/>
    <x v="1"/>
    <n v="275097"/>
    <x v="2"/>
  </r>
  <r>
    <n v="159"/>
    <n v="3755"/>
    <x v="2"/>
    <n v="5"/>
    <n v="2"/>
    <x v="2"/>
    <n v="2001"/>
    <x v="3"/>
    <x v="1"/>
    <x v="2"/>
    <x v="1"/>
    <n v="348964"/>
    <x v="2"/>
  </r>
  <r>
    <n v="160"/>
    <n v="4718"/>
    <x v="1"/>
    <n v="4"/>
    <n v="3"/>
    <x v="0"/>
    <n v="1944"/>
    <x v="1"/>
    <x v="0"/>
    <x v="0"/>
    <x v="0"/>
    <n v="265933"/>
    <x v="2"/>
  </r>
  <r>
    <n v="161"/>
    <n v="4996"/>
    <x v="1"/>
    <n v="1"/>
    <n v="1"/>
    <x v="2"/>
    <n v="2005"/>
    <x v="3"/>
    <x v="0"/>
    <x v="2"/>
    <x v="0"/>
    <n v="369733"/>
    <x v="2"/>
  </r>
  <r>
    <n v="162"/>
    <n v="1266"/>
    <x v="0"/>
    <n v="1"/>
    <n v="1"/>
    <x v="1"/>
    <n v="1981"/>
    <x v="2"/>
    <x v="3"/>
    <x v="3"/>
    <x v="1"/>
    <n v="771167"/>
    <x v="3"/>
  </r>
  <r>
    <n v="163"/>
    <n v="4889"/>
    <x v="1"/>
    <n v="2"/>
    <n v="2"/>
    <x v="2"/>
    <n v="1957"/>
    <x v="0"/>
    <x v="3"/>
    <x v="1"/>
    <x v="1"/>
    <n v="330558"/>
    <x v="2"/>
  </r>
  <r>
    <n v="164"/>
    <n v="2827"/>
    <x v="2"/>
    <n v="4"/>
    <n v="2"/>
    <x v="2"/>
    <n v="1919"/>
    <x v="1"/>
    <x v="1"/>
    <x v="0"/>
    <x v="0"/>
    <n v="439522"/>
    <x v="1"/>
  </r>
  <r>
    <n v="165"/>
    <n v="3431"/>
    <x v="2"/>
    <n v="1"/>
    <n v="2"/>
    <x v="2"/>
    <n v="1957"/>
    <x v="0"/>
    <x v="1"/>
    <x v="2"/>
    <x v="1"/>
    <n v="74220"/>
    <x v="0"/>
  </r>
  <r>
    <n v="166"/>
    <n v="697"/>
    <x v="3"/>
    <n v="3"/>
    <n v="4"/>
    <x v="0"/>
    <n v="2011"/>
    <x v="3"/>
    <x v="0"/>
    <x v="0"/>
    <x v="0"/>
    <n v="634819"/>
    <x v="3"/>
  </r>
  <r>
    <n v="167"/>
    <n v="2430"/>
    <x v="0"/>
    <n v="4"/>
    <n v="2"/>
    <x v="2"/>
    <n v="1988"/>
    <x v="2"/>
    <x v="2"/>
    <x v="2"/>
    <x v="0"/>
    <n v="422146"/>
    <x v="1"/>
  </r>
  <r>
    <n v="168"/>
    <n v="4082"/>
    <x v="1"/>
    <n v="3"/>
    <n v="4"/>
    <x v="1"/>
    <n v="1956"/>
    <x v="0"/>
    <x v="0"/>
    <x v="2"/>
    <x v="1"/>
    <n v="557409"/>
    <x v="1"/>
  </r>
  <r>
    <n v="169"/>
    <n v="1108"/>
    <x v="0"/>
    <n v="3"/>
    <n v="1"/>
    <x v="2"/>
    <n v="2001"/>
    <x v="3"/>
    <x v="1"/>
    <x v="2"/>
    <x v="1"/>
    <n v="747785"/>
    <x v="3"/>
  </r>
  <r>
    <n v="170"/>
    <n v="3772"/>
    <x v="2"/>
    <n v="1"/>
    <n v="3"/>
    <x v="2"/>
    <n v="1976"/>
    <x v="2"/>
    <x v="2"/>
    <x v="3"/>
    <x v="1"/>
    <n v="59387"/>
    <x v="0"/>
  </r>
  <r>
    <n v="171"/>
    <n v="1647"/>
    <x v="0"/>
    <n v="4"/>
    <n v="3"/>
    <x v="2"/>
    <n v="1967"/>
    <x v="0"/>
    <x v="3"/>
    <x v="1"/>
    <x v="0"/>
    <n v="295752"/>
    <x v="2"/>
  </r>
  <r>
    <n v="172"/>
    <n v="4782"/>
    <x v="1"/>
    <n v="5"/>
    <n v="3"/>
    <x v="1"/>
    <n v="2018"/>
    <x v="3"/>
    <x v="1"/>
    <x v="0"/>
    <x v="0"/>
    <n v="651103"/>
    <x v="3"/>
  </r>
  <r>
    <n v="173"/>
    <n v="3897"/>
    <x v="2"/>
    <n v="1"/>
    <n v="3"/>
    <x v="2"/>
    <n v="1977"/>
    <x v="2"/>
    <x v="1"/>
    <x v="1"/>
    <x v="0"/>
    <n v="601872"/>
    <x v="3"/>
  </r>
  <r>
    <n v="174"/>
    <n v="3011"/>
    <x v="2"/>
    <n v="1"/>
    <n v="4"/>
    <x v="1"/>
    <n v="1996"/>
    <x v="2"/>
    <x v="2"/>
    <x v="2"/>
    <x v="0"/>
    <n v="619071"/>
    <x v="3"/>
  </r>
  <r>
    <n v="175"/>
    <n v="2294"/>
    <x v="0"/>
    <n v="4"/>
    <n v="4"/>
    <x v="1"/>
    <n v="1991"/>
    <x v="2"/>
    <x v="1"/>
    <x v="2"/>
    <x v="0"/>
    <n v="745169"/>
    <x v="3"/>
  </r>
  <r>
    <n v="176"/>
    <n v="1159"/>
    <x v="0"/>
    <n v="4"/>
    <n v="2"/>
    <x v="2"/>
    <n v="1951"/>
    <x v="0"/>
    <x v="1"/>
    <x v="1"/>
    <x v="0"/>
    <n v="759687"/>
    <x v="3"/>
  </r>
  <r>
    <n v="177"/>
    <n v="3311"/>
    <x v="2"/>
    <n v="3"/>
    <n v="4"/>
    <x v="1"/>
    <n v="1936"/>
    <x v="1"/>
    <x v="1"/>
    <x v="1"/>
    <x v="1"/>
    <n v="698782"/>
    <x v="3"/>
  </r>
  <r>
    <n v="178"/>
    <n v="1869"/>
    <x v="0"/>
    <n v="4"/>
    <n v="2"/>
    <x v="0"/>
    <n v="1907"/>
    <x v="1"/>
    <x v="1"/>
    <x v="0"/>
    <x v="0"/>
    <n v="690102"/>
    <x v="3"/>
  </r>
  <r>
    <n v="179"/>
    <n v="2486"/>
    <x v="0"/>
    <n v="3"/>
    <n v="2"/>
    <x v="2"/>
    <n v="1943"/>
    <x v="1"/>
    <x v="1"/>
    <x v="2"/>
    <x v="0"/>
    <n v="300139"/>
    <x v="2"/>
  </r>
  <r>
    <n v="180"/>
    <n v="646"/>
    <x v="3"/>
    <n v="1"/>
    <n v="3"/>
    <x v="2"/>
    <n v="1997"/>
    <x v="2"/>
    <x v="1"/>
    <x v="1"/>
    <x v="0"/>
    <n v="967184"/>
    <x v="3"/>
  </r>
  <r>
    <n v="181"/>
    <n v="3719"/>
    <x v="2"/>
    <n v="2"/>
    <n v="4"/>
    <x v="1"/>
    <n v="2007"/>
    <x v="3"/>
    <x v="1"/>
    <x v="3"/>
    <x v="0"/>
    <n v="550228"/>
    <x v="1"/>
  </r>
  <r>
    <n v="182"/>
    <n v="3411"/>
    <x v="2"/>
    <n v="5"/>
    <n v="4"/>
    <x v="1"/>
    <n v="1904"/>
    <x v="1"/>
    <x v="1"/>
    <x v="2"/>
    <x v="1"/>
    <n v="716217"/>
    <x v="3"/>
  </r>
  <r>
    <n v="183"/>
    <n v="2234"/>
    <x v="0"/>
    <n v="1"/>
    <n v="2"/>
    <x v="2"/>
    <n v="2017"/>
    <x v="3"/>
    <x v="3"/>
    <x v="2"/>
    <x v="0"/>
    <n v="747621"/>
    <x v="3"/>
  </r>
  <r>
    <n v="184"/>
    <n v="2343"/>
    <x v="0"/>
    <n v="4"/>
    <n v="2"/>
    <x v="0"/>
    <n v="1968"/>
    <x v="0"/>
    <x v="1"/>
    <x v="0"/>
    <x v="1"/>
    <n v="910020"/>
    <x v="3"/>
  </r>
  <r>
    <n v="185"/>
    <n v="988"/>
    <x v="3"/>
    <n v="5"/>
    <n v="1"/>
    <x v="1"/>
    <n v="1930"/>
    <x v="1"/>
    <x v="3"/>
    <x v="3"/>
    <x v="1"/>
    <n v="984499"/>
    <x v="3"/>
  </r>
  <r>
    <n v="186"/>
    <n v="3476"/>
    <x v="2"/>
    <n v="2"/>
    <n v="1"/>
    <x v="1"/>
    <n v="1944"/>
    <x v="1"/>
    <x v="3"/>
    <x v="0"/>
    <x v="0"/>
    <n v="296509"/>
    <x v="2"/>
  </r>
  <r>
    <n v="187"/>
    <n v="2459"/>
    <x v="0"/>
    <n v="2"/>
    <n v="2"/>
    <x v="0"/>
    <n v="1908"/>
    <x v="1"/>
    <x v="0"/>
    <x v="3"/>
    <x v="0"/>
    <n v="63580"/>
    <x v="0"/>
  </r>
  <r>
    <n v="188"/>
    <n v="2885"/>
    <x v="2"/>
    <n v="3"/>
    <n v="1"/>
    <x v="0"/>
    <n v="2005"/>
    <x v="3"/>
    <x v="0"/>
    <x v="0"/>
    <x v="1"/>
    <n v="592528"/>
    <x v="1"/>
  </r>
  <r>
    <n v="189"/>
    <n v="3419"/>
    <x v="2"/>
    <n v="5"/>
    <n v="1"/>
    <x v="2"/>
    <n v="1931"/>
    <x v="1"/>
    <x v="3"/>
    <x v="3"/>
    <x v="1"/>
    <n v="828639"/>
    <x v="3"/>
  </r>
  <r>
    <n v="190"/>
    <n v="2302"/>
    <x v="0"/>
    <n v="3"/>
    <n v="2"/>
    <x v="0"/>
    <n v="1932"/>
    <x v="1"/>
    <x v="3"/>
    <x v="3"/>
    <x v="0"/>
    <n v="395590"/>
    <x v="2"/>
  </r>
  <r>
    <n v="191"/>
    <n v="4561"/>
    <x v="1"/>
    <n v="1"/>
    <n v="2"/>
    <x v="2"/>
    <n v="1966"/>
    <x v="0"/>
    <x v="1"/>
    <x v="3"/>
    <x v="1"/>
    <n v="518968"/>
    <x v="1"/>
  </r>
  <r>
    <n v="192"/>
    <n v="3869"/>
    <x v="2"/>
    <n v="5"/>
    <n v="4"/>
    <x v="0"/>
    <n v="1929"/>
    <x v="1"/>
    <x v="0"/>
    <x v="1"/>
    <x v="0"/>
    <n v="940965"/>
    <x v="3"/>
  </r>
  <r>
    <n v="193"/>
    <n v="762"/>
    <x v="3"/>
    <n v="1"/>
    <n v="2"/>
    <x v="1"/>
    <n v="2013"/>
    <x v="3"/>
    <x v="2"/>
    <x v="2"/>
    <x v="0"/>
    <n v="828559"/>
    <x v="3"/>
  </r>
  <r>
    <n v="194"/>
    <n v="1123"/>
    <x v="0"/>
    <n v="3"/>
    <n v="2"/>
    <x v="2"/>
    <n v="1975"/>
    <x v="0"/>
    <x v="0"/>
    <x v="3"/>
    <x v="1"/>
    <n v="533663"/>
    <x v="1"/>
  </r>
  <r>
    <n v="195"/>
    <n v="1516"/>
    <x v="0"/>
    <n v="5"/>
    <n v="3"/>
    <x v="2"/>
    <n v="1928"/>
    <x v="1"/>
    <x v="3"/>
    <x v="1"/>
    <x v="0"/>
    <n v="478082"/>
    <x v="1"/>
  </r>
  <r>
    <n v="196"/>
    <n v="4143"/>
    <x v="1"/>
    <n v="3"/>
    <n v="4"/>
    <x v="2"/>
    <n v="1902"/>
    <x v="1"/>
    <x v="3"/>
    <x v="1"/>
    <x v="0"/>
    <n v="655262"/>
    <x v="3"/>
  </r>
  <r>
    <n v="197"/>
    <n v="2549"/>
    <x v="2"/>
    <n v="5"/>
    <n v="4"/>
    <x v="0"/>
    <n v="1989"/>
    <x v="2"/>
    <x v="1"/>
    <x v="0"/>
    <x v="0"/>
    <n v="647689"/>
    <x v="3"/>
  </r>
  <r>
    <n v="198"/>
    <n v="4223"/>
    <x v="1"/>
    <n v="3"/>
    <n v="4"/>
    <x v="1"/>
    <n v="1956"/>
    <x v="0"/>
    <x v="1"/>
    <x v="2"/>
    <x v="1"/>
    <n v="263165"/>
    <x v="2"/>
  </r>
  <r>
    <n v="199"/>
    <n v="3608"/>
    <x v="2"/>
    <n v="2"/>
    <n v="3"/>
    <x v="2"/>
    <n v="1929"/>
    <x v="1"/>
    <x v="0"/>
    <x v="2"/>
    <x v="1"/>
    <n v="455427"/>
    <x v="1"/>
  </r>
  <r>
    <n v="200"/>
    <n v="4590"/>
    <x v="1"/>
    <n v="3"/>
    <n v="2"/>
    <x v="2"/>
    <n v="1908"/>
    <x v="1"/>
    <x v="1"/>
    <x v="0"/>
    <x v="1"/>
    <n v="502201"/>
    <x v="1"/>
  </r>
  <r>
    <n v="201"/>
    <n v="2556"/>
    <x v="2"/>
    <n v="2"/>
    <n v="4"/>
    <x v="2"/>
    <n v="1925"/>
    <x v="1"/>
    <x v="2"/>
    <x v="2"/>
    <x v="0"/>
    <n v="214340"/>
    <x v="2"/>
  </r>
  <r>
    <n v="202"/>
    <n v="3670"/>
    <x v="2"/>
    <n v="3"/>
    <n v="4"/>
    <x v="2"/>
    <n v="1901"/>
    <x v="1"/>
    <x v="2"/>
    <x v="0"/>
    <x v="1"/>
    <n v="840078"/>
    <x v="3"/>
  </r>
  <r>
    <n v="203"/>
    <n v="2182"/>
    <x v="0"/>
    <n v="5"/>
    <n v="1"/>
    <x v="1"/>
    <n v="1961"/>
    <x v="0"/>
    <x v="1"/>
    <x v="1"/>
    <x v="1"/>
    <n v="760731"/>
    <x v="3"/>
  </r>
  <r>
    <n v="204"/>
    <n v="2755"/>
    <x v="2"/>
    <n v="5"/>
    <n v="4"/>
    <x v="0"/>
    <n v="1902"/>
    <x v="1"/>
    <x v="2"/>
    <x v="1"/>
    <x v="1"/>
    <n v="822411"/>
    <x v="3"/>
  </r>
  <r>
    <n v="205"/>
    <n v="1654"/>
    <x v="0"/>
    <n v="5"/>
    <n v="2"/>
    <x v="1"/>
    <n v="1945"/>
    <x v="1"/>
    <x v="2"/>
    <x v="3"/>
    <x v="0"/>
    <n v="354960"/>
    <x v="2"/>
  </r>
  <r>
    <n v="206"/>
    <n v="4999"/>
    <x v="1"/>
    <n v="4"/>
    <n v="2"/>
    <x v="2"/>
    <n v="1967"/>
    <x v="0"/>
    <x v="0"/>
    <x v="0"/>
    <x v="0"/>
    <n v="139460"/>
    <x v="0"/>
  </r>
  <r>
    <n v="207"/>
    <n v="3691"/>
    <x v="2"/>
    <n v="1"/>
    <n v="1"/>
    <x v="1"/>
    <n v="1924"/>
    <x v="1"/>
    <x v="2"/>
    <x v="1"/>
    <x v="1"/>
    <n v="356256"/>
    <x v="2"/>
  </r>
  <r>
    <n v="208"/>
    <n v="2196"/>
    <x v="0"/>
    <n v="5"/>
    <n v="4"/>
    <x v="2"/>
    <n v="1950"/>
    <x v="1"/>
    <x v="3"/>
    <x v="1"/>
    <x v="1"/>
    <n v="101048"/>
    <x v="0"/>
  </r>
  <r>
    <n v="209"/>
    <n v="4491"/>
    <x v="1"/>
    <n v="2"/>
    <n v="4"/>
    <x v="0"/>
    <n v="1912"/>
    <x v="1"/>
    <x v="3"/>
    <x v="0"/>
    <x v="1"/>
    <n v="780806"/>
    <x v="3"/>
  </r>
  <r>
    <n v="210"/>
    <n v="2148"/>
    <x v="0"/>
    <n v="5"/>
    <n v="4"/>
    <x v="0"/>
    <n v="2002"/>
    <x v="3"/>
    <x v="0"/>
    <x v="1"/>
    <x v="0"/>
    <n v="182850"/>
    <x v="0"/>
  </r>
  <r>
    <n v="211"/>
    <n v="1945"/>
    <x v="0"/>
    <n v="4"/>
    <n v="3"/>
    <x v="0"/>
    <n v="1943"/>
    <x v="1"/>
    <x v="1"/>
    <x v="2"/>
    <x v="1"/>
    <n v="882184"/>
    <x v="3"/>
  </r>
  <r>
    <n v="212"/>
    <n v="4699"/>
    <x v="1"/>
    <n v="2"/>
    <n v="4"/>
    <x v="2"/>
    <n v="1934"/>
    <x v="1"/>
    <x v="0"/>
    <x v="1"/>
    <x v="0"/>
    <n v="528193"/>
    <x v="1"/>
  </r>
  <r>
    <n v="213"/>
    <n v="4423"/>
    <x v="1"/>
    <n v="4"/>
    <n v="2"/>
    <x v="1"/>
    <n v="1954"/>
    <x v="0"/>
    <x v="1"/>
    <x v="0"/>
    <x v="0"/>
    <n v="907158"/>
    <x v="3"/>
  </r>
  <r>
    <n v="214"/>
    <n v="753"/>
    <x v="3"/>
    <n v="2"/>
    <n v="2"/>
    <x v="0"/>
    <n v="1986"/>
    <x v="2"/>
    <x v="1"/>
    <x v="2"/>
    <x v="0"/>
    <n v="786200"/>
    <x v="3"/>
  </r>
  <r>
    <n v="215"/>
    <n v="3683"/>
    <x v="2"/>
    <n v="3"/>
    <n v="3"/>
    <x v="2"/>
    <n v="1908"/>
    <x v="1"/>
    <x v="1"/>
    <x v="2"/>
    <x v="1"/>
    <n v="994793"/>
    <x v="3"/>
  </r>
  <r>
    <n v="216"/>
    <n v="3057"/>
    <x v="2"/>
    <n v="1"/>
    <n v="3"/>
    <x v="2"/>
    <n v="1901"/>
    <x v="1"/>
    <x v="1"/>
    <x v="1"/>
    <x v="1"/>
    <n v="356932"/>
    <x v="2"/>
  </r>
  <r>
    <n v="217"/>
    <n v="598"/>
    <x v="3"/>
    <n v="1"/>
    <n v="4"/>
    <x v="1"/>
    <n v="1960"/>
    <x v="0"/>
    <x v="1"/>
    <x v="3"/>
    <x v="0"/>
    <n v="316891"/>
    <x v="2"/>
  </r>
  <r>
    <n v="218"/>
    <n v="2700"/>
    <x v="2"/>
    <n v="4"/>
    <n v="1"/>
    <x v="0"/>
    <n v="2017"/>
    <x v="3"/>
    <x v="0"/>
    <x v="2"/>
    <x v="0"/>
    <n v="574333"/>
    <x v="1"/>
  </r>
  <r>
    <n v="219"/>
    <n v="3461"/>
    <x v="2"/>
    <n v="1"/>
    <n v="3"/>
    <x v="2"/>
    <n v="1940"/>
    <x v="1"/>
    <x v="1"/>
    <x v="0"/>
    <x v="0"/>
    <n v="582046"/>
    <x v="1"/>
  </r>
  <r>
    <n v="220"/>
    <n v="4933"/>
    <x v="1"/>
    <n v="4"/>
    <n v="3"/>
    <x v="1"/>
    <n v="1943"/>
    <x v="1"/>
    <x v="2"/>
    <x v="3"/>
    <x v="0"/>
    <n v="829685"/>
    <x v="3"/>
  </r>
  <r>
    <n v="221"/>
    <n v="4277"/>
    <x v="1"/>
    <n v="4"/>
    <n v="4"/>
    <x v="0"/>
    <n v="1963"/>
    <x v="0"/>
    <x v="2"/>
    <x v="3"/>
    <x v="1"/>
    <n v="961508"/>
    <x v="3"/>
  </r>
  <r>
    <n v="222"/>
    <n v="3369"/>
    <x v="2"/>
    <n v="4"/>
    <n v="4"/>
    <x v="1"/>
    <n v="1930"/>
    <x v="1"/>
    <x v="1"/>
    <x v="2"/>
    <x v="1"/>
    <n v="728797"/>
    <x v="3"/>
  </r>
  <r>
    <n v="223"/>
    <n v="3734"/>
    <x v="2"/>
    <n v="1"/>
    <n v="3"/>
    <x v="1"/>
    <n v="2007"/>
    <x v="3"/>
    <x v="2"/>
    <x v="1"/>
    <x v="0"/>
    <n v="724945"/>
    <x v="3"/>
  </r>
  <r>
    <n v="224"/>
    <n v="4291"/>
    <x v="1"/>
    <n v="4"/>
    <n v="1"/>
    <x v="2"/>
    <n v="1946"/>
    <x v="1"/>
    <x v="3"/>
    <x v="3"/>
    <x v="0"/>
    <n v="190926"/>
    <x v="0"/>
  </r>
  <r>
    <n v="225"/>
    <n v="1456"/>
    <x v="0"/>
    <n v="1"/>
    <n v="3"/>
    <x v="2"/>
    <n v="1901"/>
    <x v="1"/>
    <x v="0"/>
    <x v="1"/>
    <x v="0"/>
    <n v="233148"/>
    <x v="2"/>
  </r>
  <r>
    <n v="226"/>
    <n v="4567"/>
    <x v="1"/>
    <n v="4"/>
    <n v="4"/>
    <x v="2"/>
    <n v="1995"/>
    <x v="2"/>
    <x v="0"/>
    <x v="2"/>
    <x v="1"/>
    <n v="893382"/>
    <x v="3"/>
  </r>
  <r>
    <n v="227"/>
    <n v="660"/>
    <x v="3"/>
    <n v="5"/>
    <n v="4"/>
    <x v="1"/>
    <n v="1981"/>
    <x v="2"/>
    <x v="1"/>
    <x v="0"/>
    <x v="0"/>
    <n v="722709"/>
    <x v="3"/>
  </r>
  <r>
    <n v="228"/>
    <n v="4993"/>
    <x v="1"/>
    <n v="4"/>
    <n v="3"/>
    <x v="2"/>
    <n v="1976"/>
    <x v="2"/>
    <x v="1"/>
    <x v="3"/>
    <x v="1"/>
    <n v="801588"/>
    <x v="3"/>
  </r>
  <r>
    <n v="229"/>
    <n v="1800"/>
    <x v="0"/>
    <n v="2"/>
    <n v="1"/>
    <x v="1"/>
    <n v="2009"/>
    <x v="3"/>
    <x v="3"/>
    <x v="0"/>
    <x v="0"/>
    <n v="726708"/>
    <x v="3"/>
  </r>
  <r>
    <n v="230"/>
    <n v="4487"/>
    <x v="1"/>
    <n v="4"/>
    <n v="3"/>
    <x v="1"/>
    <n v="1968"/>
    <x v="0"/>
    <x v="1"/>
    <x v="1"/>
    <x v="1"/>
    <n v="215368"/>
    <x v="2"/>
  </r>
  <r>
    <n v="231"/>
    <n v="2027"/>
    <x v="0"/>
    <n v="3"/>
    <n v="3"/>
    <x v="2"/>
    <n v="1957"/>
    <x v="0"/>
    <x v="2"/>
    <x v="1"/>
    <x v="1"/>
    <n v="544496"/>
    <x v="1"/>
  </r>
  <r>
    <n v="232"/>
    <n v="1718"/>
    <x v="0"/>
    <n v="4"/>
    <n v="4"/>
    <x v="0"/>
    <n v="2005"/>
    <x v="3"/>
    <x v="3"/>
    <x v="0"/>
    <x v="0"/>
    <n v="69455"/>
    <x v="0"/>
  </r>
  <r>
    <n v="233"/>
    <n v="4996"/>
    <x v="1"/>
    <n v="2"/>
    <n v="1"/>
    <x v="0"/>
    <n v="1943"/>
    <x v="1"/>
    <x v="2"/>
    <x v="2"/>
    <x v="1"/>
    <n v="784184"/>
    <x v="3"/>
  </r>
  <r>
    <n v="234"/>
    <n v="3604"/>
    <x v="2"/>
    <n v="2"/>
    <n v="2"/>
    <x v="0"/>
    <n v="1973"/>
    <x v="0"/>
    <x v="0"/>
    <x v="2"/>
    <x v="1"/>
    <n v="515139"/>
    <x v="1"/>
  </r>
  <r>
    <n v="235"/>
    <n v="3235"/>
    <x v="2"/>
    <n v="1"/>
    <n v="1"/>
    <x v="1"/>
    <n v="1955"/>
    <x v="0"/>
    <x v="2"/>
    <x v="3"/>
    <x v="1"/>
    <n v="281897"/>
    <x v="2"/>
  </r>
  <r>
    <n v="236"/>
    <n v="1454"/>
    <x v="0"/>
    <n v="5"/>
    <n v="3"/>
    <x v="1"/>
    <n v="1942"/>
    <x v="1"/>
    <x v="0"/>
    <x v="3"/>
    <x v="1"/>
    <n v="482509"/>
    <x v="1"/>
  </r>
  <r>
    <n v="237"/>
    <n v="3946"/>
    <x v="2"/>
    <n v="4"/>
    <n v="3"/>
    <x v="1"/>
    <n v="1988"/>
    <x v="2"/>
    <x v="2"/>
    <x v="2"/>
    <x v="0"/>
    <n v="542646"/>
    <x v="1"/>
  </r>
  <r>
    <n v="238"/>
    <n v="1545"/>
    <x v="0"/>
    <n v="1"/>
    <n v="3"/>
    <x v="2"/>
    <n v="1933"/>
    <x v="1"/>
    <x v="0"/>
    <x v="2"/>
    <x v="0"/>
    <n v="662840"/>
    <x v="3"/>
  </r>
  <r>
    <n v="239"/>
    <n v="2193"/>
    <x v="0"/>
    <n v="5"/>
    <n v="1"/>
    <x v="1"/>
    <n v="2000"/>
    <x v="2"/>
    <x v="1"/>
    <x v="0"/>
    <x v="0"/>
    <n v="882548"/>
    <x v="3"/>
  </r>
  <r>
    <n v="240"/>
    <n v="3936"/>
    <x v="2"/>
    <n v="4"/>
    <n v="4"/>
    <x v="2"/>
    <n v="1929"/>
    <x v="1"/>
    <x v="2"/>
    <x v="1"/>
    <x v="0"/>
    <n v="432605"/>
    <x v="1"/>
  </r>
  <r>
    <n v="241"/>
    <n v="1062"/>
    <x v="0"/>
    <n v="3"/>
    <n v="3"/>
    <x v="2"/>
    <n v="1970"/>
    <x v="0"/>
    <x v="0"/>
    <x v="1"/>
    <x v="0"/>
    <n v="614772"/>
    <x v="3"/>
  </r>
  <r>
    <n v="242"/>
    <n v="2985"/>
    <x v="2"/>
    <n v="4"/>
    <n v="3"/>
    <x v="0"/>
    <n v="1969"/>
    <x v="0"/>
    <x v="2"/>
    <x v="3"/>
    <x v="1"/>
    <n v="997719"/>
    <x v="3"/>
  </r>
  <r>
    <n v="243"/>
    <n v="3854"/>
    <x v="2"/>
    <n v="2"/>
    <n v="1"/>
    <x v="0"/>
    <n v="2017"/>
    <x v="3"/>
    <x v="3"/>
    <x v="2"/>
    <x v="1"/>
    <n v="393782"/>
    <x v="2"/>
  </r>
  <r>
    <n v="244"/>
    <n v="725"/>
    <x v="3"/>
    <n v="2"/>
    <n v="2"/>
    <x v="0"/>
    <n v="1954"/>
    <x v="0"/>
    <x v="1"/>
    <x v="0"/>
    <x v="1"/>
    <n v="708764"/>
    <x v="3"/>
  </r>
  <r>
    <n v="245"/>
    <n v="1459"/>
    <x v="0"/>
    <n v="3"/>
    <n v="2"/>
    <x v="2"/>
    <n v="1966"/>
    <x v="0"/>
    <x v="0"/>
    <x v="3"/>
    <x v="1"/>
    <n v="218332"/>
    <x v="2"/>
  </r>
  <r>
    <n v="246"/>
    <n v="3567"/>
    <x v="2"/>
    <n v="1"/>
    <n v="4"/>
    <x v="2"/>
    <n v="1912"/>
    <x v="1"/>
    <x v="3"/>
    <x v="0"/>
    <x v="0"/>
    <n v="150647"/>
    <x v="0"/>
  </r>
  <r>
    <n v="247"/>
    <n v="1315"/>
    <x v="0"/>
    <n v="5"/>
    <n v="4"/>
    <x v="2"/>
    <n v="1902"/>
    <x v="1"/>
    <x v="2"/>
    <x v="2"/>
    <x v="0"/>
    <n v="639930"/>
    <x v="3"/>
  </r>
  <r>
    <n v="248"/>
    <n v="3620"/>
    <x v="2"/>
    <n v="4"/>
    <n v="3"/>
    <x v="1"/>
    <n v="1925"/>
    <x v="1"/>
    <x v="3"/>
    <x v="2"/>
    <x v="1"/>
    <n v="786091"/>
    <x v="3"/>
  </r>
  <r>
    <n v="249"/>
    <n v="516"/>
    <x v="3"/>
    <n v="2"/>
    <n v="1"/>
    <x v="2"/>
    <n v="1956"/>
    <x v="0"/>
    <x v="2"/>
    <x v="2"/>
    <x v="0"/>
    <n v="882441"/>
    <x v="3"/>
  </r>
  <r>
    <n v="250"/>
    <n v="1743"/>
    <x v="0"/>
    <n v="1"/>
    <n v="3"/>
    <x v="0"/>
    <n v="1923"/>
    <x v="1"/>
    <x v="1"/>
    <x v="1"/>
    <x v="1"/>
    <n v="178824"/>
    <x v="0"/>
  </r>
  <r>
    <n v="251"/>
    <n v="2705"/>
    <x v="2"/>
    <n v="3"/>
    <n v="4"/>
    <x v="0"/>
    <n v="1952"/>
    <x v="0"/>
    <x v="3"/>
    <x v="2"/>
    <x v="1"/>
    <n v="823202"/>
    <x v="3"/>
  </r>
  <r>
    <n v="252"/>
    <n v="3024"/>
    <x v="2"/>
    <n v="2"/>
    <n v="1"/>
    <x v="2"/>
    <n v="1969"/>
    <x v="0"/>
    <x v="1"/>
    <x v="3"/>
    <x v="0"/>
    <n v="866037"/>
    <x v="3"/>
  </r>
  <r>
    <n v="253"/>
    <n v="1569"/>
    <x v="0"/>
    <n v="3"/>
    <n v="1"/>
    <x v="2"/>
    <n v="1942"/>
    <x v="1"/>
    <x v="0"/>
    <x v="1"/>
    <x v="0"/>
    <n v="685167"/>
    <x v="3"/>
  </r>
  <r>
    <n v="254"/>
    <n v="3944"/>
    <x v="2"/>
    <n v="4"/>
    <n v="4"/>
    <x v="0"/>
    <n v="1959"/>
    <x v="0"/>
    <x v="2"/>
    <x v="0"/>
    <x v="0"/>
    <n v="695115"/>
    <x v="3"/>
  </r>
  <r>
    <n v="255"/>
    <n v="3065"/>
    <x v="2"/>
    <n v="5"/>
    <n v="2"/>
    <x v="2"/>
    <n v="1957"/>
    <x v="0"/>
    <x v="2"/>
    <x v="3"/>
    <x v="0"/>
    <n v="317724"/>
    <x v="2"/>
  </r>
  <r>
    <n v="256"/>
    <n v="1560"/>
    <x v="0"/>
    <n v="2"/>
    <n v="2"/>
    <x v="0"/>
    <n v="1948"/>
    <x v="1"/>
    <x v="1"/>
    <x v="3"/>
    <x v="0"/>
    <n v="951334"/>
    <x v="3"/>
  </r>
  <r>
    <n v="257"/>
    <n v="2827"/>
    <x v="2"/>
    <n v="2"/>
    <n v="1"/>
    <x v="1"/>
    <n v="1941"/>
    <x v="1"/>
    <x v="1"/>
    <x v="0"/>
    <x v="0"/>
    <n v="317544"/>
    <x v="2"/>
  </r>
  <r>
    <n v="258"/>
    <n v="3920"/>
    <x v="2"/>
    <n v="4"/>
    <n v="3"/>
    <x v="0"/>
    <n v="1975"/>
    <x v="0"/>
    <x v="0"/>
    <x v="1"/>
    <x v="0"/>
    <n v="745003"/>
    <x v="3"/>
  </r>
  <r>
    <n v="259"/>
    <n v="801"/>
    <x v="3"/>
    <n v="1"/>
    <n v="2"/>
    <x v="1"/>
    <n v="2012"/>
    <x v="3"/>
    <x v="3"/>
    <x v="3"/>
    <x v="1"/>
    <n v="801545"/>
    <x v="3"/>
  </r>
  <r>
    <n v="260"/>
    <n v="4776"/>
    <x v="1"/>
    <n v="5"/>
    <n v="3"/>
    <x v="2"/>
    <n v="1999"/>
    <x v="2"/>
    <x v="2"/>
    <x v="3"/>
    <x v="0"/>
    <n v="932464"/>
    <x v="3"/>
  </r>
  <r>
    <n v="261"/>
    <n v="1106"/>
    <x v="0"/>
    <n v="2"/>
    <n v="2"/>
    <x v="2"/>
    <n v="1965"/>
    <x v="0"/>
    <x v="2"/>
    <x v="3"/>
    <x v="1"/>
    <n v="177319"/>
    <x v="0"/>
  </r>
  <r>
    <n v="262"/>
    <n v="3670"/>
    <x v="2"/>
    <n v="5"/>
    <n v="2"/>
    <x v="1"/>
    <n v="1910"/>
    <x v="1"/>
    <x v="0"/>
    <x v="1"/>
    <x v="1"/>
    <n v="562193"/>
    <x v="1"/>
  </r>
  <r>
    <n v="263"/>
    <n v="1199"/>
    <x v="0"/>
    <n v="2"/>
    <n v="3"/>
    <x v="2"/>
    <n v="2002"/>
    <x v="3"/>
    <x v="0"/>
    <x v="1"/>
    <x v="0"/>
    <n v="529389"/>
    <x v="1"/>
  </r>
  <r>
    <n v="264"/>
    <n v="1639"/>
    <x v="0"/>
    <n v="5"/>
    <n v="4"/>
    <x v="1"/>
    <n v="1997"/>
    <x v="2"/>
    <x v="1"/>
    <x v="1"/>
    <x v="1"/>
    <n v="156960"/>
    <x v="0"/>
  </r>
  <r>
    <n v="265"/>
    <n v="690"/>
    <x v="3"/>
    <n v="3"/>
    <n v="2"/>
    <x v="2"/>
    <n v="1989"/>
    <x v="2"/>
    <x v="1"/>
    <x v="3"/>
    <x v="0"/>
    <n v="89015"/>
    <x v="0"/>
  </r>
  <r>
    <n v="266"/>
    <n v="2800"/>
    <x v="2"/>
    <n v="2"/>
    <n v="2"/>
    <x v="0"/>
    <n v="1917"/>
    <x v="1"/>
    <x v="3"/>
    <x v="2"/>
    <x v="1"/>
    <n v="383857"/>
    <x v="2"/>
  </r>
  <r>
    <n v="267"/>
    <n v="1480"/>
    <x v="0"/>
    <n v="5"/>
    <n v="3"/>
    <x v="2"/>
    <n v="1984"/>
    <x v="2"/>
    <x v="0"/>
    <x v="0"/>
    <x v="1"/>
    <n v="778165"/>
    <x v="3"/>
  </r>
  <r>
    <n v="268"/>
    <n v="3475"/>
    <x v="2"/>
    <n v="1"/>
    <n v="4"/>
    <x v="0"/>
    <n v="1999"/>
    <x v="2"/>
    <x v="3"/>
    <x v="2"/>
    <x v="1"/>
    <n v="982478"/>
    <x v="3"/>
  </r>
  <r>
    <n v="269"/>
    <n v="1684"/>
    <x v="0"/>
    <n v="3"/>
    <n v="2"/>
    <x v="0"/>
    <n v="2003"/>
    <x v="3"/>
    <x v="0"/>
    <x v="1"/>
    <x v="0"/>
    <n v="195109"/>
    <x v="0"/>
  </r>
  <r>
    <n v="270"/>
    <n v="3827"/>
    <x v="2"/>
    <n v="3"/>
    <n v="2"/>
    <x v="1"/>
    <n v="1951"/>
    <x v="0"/>
    <x v="2"/>
    <x v="3"/>
    <x v="1"/>
    <n v="527508"/>
    <x v="1"/>
  </r>
  <r>
    <n v="271"/>
    <n v="3894"/>
    <x v="2"/>
    <n v="1"/>
    <n v="4"/>
    <x v="2"/>
    <n v="1945"/>
    <x v="1"/>
    <x v="0"/>
    <x v="3"/>
    <x v="1"/>
    <n v="836351"/>
    <x v="3"/>
  </r>
  <r>
    <n v="272"/>
    <n v="627"/>
    <x v="3"/>
    <n v="5"/>
    <n v="2"/>
    <x v="1"/>
    <n v="1943"/>
    <x v="1"/>
    <x v="0"/>
    <x v="2"/>
    <x v="1"/>
    <n v="983671"/>
    <x v="3"/>
  </r>
  <r>
    <n v="273"/>
    <n v="2565"/>
    <x v="2"/>
    <n v="4"/>
    <n v="4"/>
    <x v="2"/>
    <n v="1921"/>
    <x v="1"/>
    <x v="2"/>
    <x v="2"/>
    <x v="0"/>
    <n v="138754"/>
    <x v="0"/>
  </r>
  <r>
    <n v="274"/>
    <n v="2316"/>
    <x v="0"/>
    <n v="1"/>
    <n v="4"/>
    <x v="0"/>
    <n v="1952"/>
    <x v="0"/>
    <x v="0"/>
    <x v="0"/>
    <x v="1"/>
    <n v="271775"/>
    <x v="2"/>
  </r>
  <r>
    <n v="275"/>
    <n v="1069"/>
    <x v="0"/>
    <n v="5"/>
    <n v="3"/>
    <x v="0"/>
    <n v="1958"/>
    <x v="0"/>
    <x v="3"/>
    <x v="3"/>
    <x v="0"/>
    <n v="355292"/>
    <x v="2"/>
  </r>
  <r>
    <n v="276"/>
    <n v="2395"/>
    <x v="0"/>
    <n v="1"/>
    <n v="1"/>
    <x v="2"/>
    <n v="1993"/>
    <x v="2"/>
    <x v="1"/>
    <x v="2"/>
    <x v="1"/>
    <n v="777513"/>
    <x v="3"/>
  </r>
  <r>
    <n v="277"/>
    <n v="3233"/>
    <x v="2"/>
    <n v="1"/>
    <n v="4"/>
    <x v="2"/>
    <n v="2013"/>
    <x v="3"/>
    <x v="1"/>
    <x v="0"/>
    <x v="1"/>
    <n v="726894"/>
    <x v="3"/>
  </r>
  <r>
    <n v="278"/>
    <n v="4363"/>
    <x v="1"/>
    <n v="2"/>
    <n v="3"/>
    <x v="1"/>
    <n v="2006"/>
    <x v="3"/>
    <x v="3"/>
    <x v="1"/>
    <x v="1"/>
    <n v="796355"/>
    <x v="3"/>
  </r>
  <r>
    <n v="279"/>
    <n v="4514"/>
    <x v="1"/>
    <n v="5"/>
    <n v="1"/>
    <x v="2"/>
    <n v="2023"/>
    <x v="3"/>
    <x v="2"/>
    <x v="2"/>
    <x v="0"/>
    <n v="959222"/>
    <x v="3"/>
  </r>
  <r>
    <n v="280"/>
    <n v="3401"/>
    <x v="2"/>
    <n v="4"/>
    <n v="2"/>
    <x v="2"/>
    <n v="1929"/>
    <x v="1"/>
    <x v="0"/>
    <x v="1"/>
    <x v="1"/>
    <n v="922510"/>
    <x v="3"/>
  </r>
  <r>
    <n v="281"/>
    <n v="2186"/>
    <x v="0"/>
    <n v="2"/>
    <n v="1"/>
    <x v="2"/>
    <n v="1907"/>
    <x v="1"/>
    <x v="3"/>
    <x v="0"/>
    <x v="1"/>
    <n v="106879"/>
    <x v="0"/>
  </r>
  <r>
    <n v="282"/>
    <n v="3509"/>
    <x v="2"/>
    <n v="1"/>
    <n v="4"/>
    <x v="1"/>
    <n v="1997"/>
    <x v="2"/>
    <x v="1"/>
    <x v="1"/>
    <x v="1"/>
    <n v="169894"/>
    <x v="0"/>
  </r>
  <r>
    <n v="283"/>
    <n v="654"/>
    <x v="3"/>
    <n v="1"/>
    <n v="4"/>
    <x v="2"/>
    <n v="1956"/>
    <x v="0"/>
    <x v="1"/>
    <x v="3"/>
    <x v="1"/>
    <n v="640127"/>
    <x v="3"/>
  </r>
  <r>
    <n v="284"/>
    <n v="3037"/>
    <x v="2"/>
    <n v="1"/>
    <n v="4"/>
    <x v="0"/>
    <n v="2010"/>
    <x v="3"/>
    <x v="3"/>
    <x v="3"/>
    <x v="0"/>
    <n v="79756"/>
    <x v="0"/>
  </r>
  <r>
    <n v="285"/>
    <n v="1909"/>
    <x v="0"/>
    <n v="5"/>
    <n v="4"/>
    <x v="1"/>
    <n v="1972"/>
    <x v="0"/>
    <x v="1"/>
    <x v="1"/>
    <x v="1"/>
    <n v="718043"/>
    <x v="3"/>
  </r>
  <r>
    <n v="286"/>
    <n v="4557"/>
    <x v="1"/>
    <n v="5"/>
    <n v="4"/>
    <x v="1"/>
    <n v="2014"/>
    <x v="3"/>
    <x v="3"/>
    <x v="3"/>
    <x v="1"/>
    <n v="230557"/>
    <x v="2"/>
  </r>
  <r>
    <n v="287"/>
    <n v="1284"/>
    <x v="0"/>
    <n v="2"/>
    <n v="3"/>
    <x v="0"/>
    <n v="1919"/>
    <x v="1"/>
    <x v="1"/>
    <x v="0"/>
    <x v="1"/>
    <n v="279303"/>
    <x v="2"/>
  </r>
  <r>
    <n v="288"/>
    <n v="3675"/>
    <x v="2"/>
    <n v="4"/>
    <n v="4"/>
    <x v="0"/>
    <n v="2003"/>
    <x v="3"/>
    <x v="3"/>
    <x v="3"/>
    <x v="1"/>
    <n v="454241"/>
    <x v="1"/>
  </r>
  <r>
    <n v="289"/>
    <n v="4841"/>
    <x v="1"/>
    <n v="2"/>
    <n v="3"/>
    <x v="0"/>
    <n v="1924"/>
    <x v="1"/>
    <x v="0"/>
    <x v="1"/>
    <x v="0"/>
    <n v="724075"/>
    <x v="3"/>
  </r>
  <r>
    <n v="290"/>
    <n v="3306"/>
    <x v="2"/>
    <n v="3"/>
    <n v="2"/>
    <x v="2"/>
    <n v="1918"/>
    <x v="1"/>
    <x v="0"/>
    <x v="1"/>
    <x v="1"/>
    <n v="541599"/>
    <x v="1"/>
  </r>
  <r>
    <n v="291"/>
    <n v="1037"/>
    <x v="0"/>
    <n v="1"/>
    <n v="4"/>
    <x v="0"/>
    <n v="1904"/>
    <x v="1"/>
    <x v="0"/>
    <x v="1"/>
    <x v="1"/>
    <n v="545283"/>
    <x v="1"/>
  </r>
  <r>
    <n v="292"/>
    <n v="2341"/>
    <x v="0"/>
    <n v="1"/>
    <n v="4"/>
    <x v="2"/>
    <n v="1974"/>
    <x v="0"/>
    <x v="0"/>
    <x v="2"/>
    <x v="0"/>
    <n v="667231"/>
    <x v="3"/>
  </r>
  <r>
    <n v="293"/>
    <n v="2955"/>
    <x v="2"/>
    <n v="1"/>
    <n v="1"/>
    <x v="1"/>
    <n v="1978"/>
    <x v="2"/>
    <x v="1"/>
    <x v="1"/>
    <x v="1"/>
    <n v="792476"/>
    <x v="3"/>
  </r>
  <r>
    <n v="294"/>
    <n v="1024"/>
    <x v="0"/>
    <n v="2"/>
    <n v="2"/>
    <x v="1"/>
    <n v="1971"/>
    <x v="0"/>
    <x v="2"/>
    <x v="0"/>
    <x v="1"/>
    <n v="198188"/>
    <x v="0"/>
  </r>
  <r>
    <n v="295"/>
    <n v="3450"/>
    <x v="2"/>
    <n v="2"/>
    <n v="4"/>
    <x v="0"/>
    <n v="1982"/>
    <x v="2"/>
    <x v="3"/>
    <x v="3"/>
    <x v="1"/>
    <n v="611032"/>
    <x v="3"/>
  </r>
  <r>
    <n v="296"/>
    <n v="4631"/>
    <x v="1"/>
    <n v="1"/>
    <n v="4"/>
    <x v="2"/>
    <n v="1986"/>
    <x v="2"/>
    <x v="2"/>
    <x v="3"/>
    <x v="0"/>
    <n v="174697"/>
    <x v="0"/>
  </r>
  <r>
    <n v="297"/>
    <n v="4615"/>
    <x v="1"/>
    <n v="2"/>
    <n v="2"/>
    <x v="0"/>
    <n v="1926"/>
    <x v="1"/>
    <x v="1"/>
    <x v="2"/>
    <x v="1"/>
    <n v="530795"/>
    <x v="1"/>
  </r>
  <r>
    <n v="298"/>
    <n v="2868"/>
    <x v="2"/>
    <n v="5"/>
    <n v="3"/>
    <x v="0"/>
    <n v="1939"/>
    <x v="1"/>
    <x v="1"/>
    <x v="2"/>
    <x v="0"/>
    <n v="690360"/>
    <x v="3"/>
  </r>
  <r>
    <n v="299"/>
    <n v="4347"/>
    <x v="1"/>
    <n v="5"/>
    <n v="4"/>
    <x v="2"/>
    <n v="1995"/>
    <x v="2"/>
    <x v="2"/>
    <x v="0"/>
    <x v="0"/>
    <n v="445340"/>
    <x v="1"/>
  </r>
  <r>
    <n v="300"/>
    <n v="4995"/>
    <x v="1"/>
    <n v="2"/>
    <n v="1"/>
    <x v="0"/>
    <n v="1925"/>
    <x v="1"/>
    <x v="2"/>
    <x v="1"/>
    <x v="0"/>
    <n v="286028"/>
    <x v="2"/>
  </r>
  <r>
    <n v="301"/>
    <n v="3201"/>
    <x v="2"/>
    <n v="1"/>
    <n v="4"/>
    <x v="1"/>
    <n v="1926"/>
    <x v="1"/>
    <x v="1"/>
    <x v="2"/>
    <x v="0"/>
    <n v="743411"/>
    <x v="3"/>
  </r>
  <r>
    <n v="302"/>
    <n v="1471"/>
    <x v="0"/>
    <n v="2"/>
    <n v="1"/>
    <x v="0"/>
    <n v="1961"/>
    <x v="0"/>
    <x v="1"/>
    <x v="3"/>
    <x v="0"/>
    <n v="57176"/>
    <x v="0"/>
  </r>
  <r>
    <n v="303"/>
    <n v="1666"/>
    <x v="0"/>
    <n v="2"/>
    <n v="1"/>
    <x v="2"/>
    <n v="1982"/>
    <x v="2"/>
    <x v="3"/>
    <x v="2"/>
    <x v="0"/>
    <n v="927742"/>
    <x v="3"/>
  </r>
  <r>
    <n v="304"/>
    <n v="3274"/>
    <x v="2"/>
    <n v="2"/>
    <n v="4"/>
    <x v="2"/>
    <n v="1949"/>
    <x v="1"/>
    <x v="0"/>
    <x v="2"/>
    <x v="0"/>
    <n v="826653"/>
    <x v="3"/>
  </r>
  <r>
    <n v="305"/>
    <n v="2482"/>
    <x v="0"/>
    <n v="3"/>
    <n v="4"/>
    <x v="1"/>
    <n v="1941"/>
    <x v="1"/>
    <x v="0"/>
    <x v="1"/>
    <x v="1"/>
    <n v="508034"/>
    <x v="1"/>
  </r>
  <r>
    <n v="306"/>
    <n v="1353"/>
    <x v="0"/>
    <n v="5"/>
    <n v="1"/>
    <x v="2"/>
    <n v="1928"/>
    <x v="1"/>
    <x v="3"/>
    <x v="2"/>
    <x v="1"/>
    <n v="563611"/>
    <x v="1"/>
  </r>
  <r>
    <n v="307"/>
    <n v="4646"/>
    <x v="1"/>
    <n v="4"/>
    <n v="2"/>
    <x v="2"/>
    <n v="1938"/>
    <x v="1"/>
    <x v="2"/>
    <x v="0"/>
    <x v="0"/>
    <n v="199748"/>
    <x v="0"/>
  </r>
  <r>
    <n v="308"/>
    <n v="4236"/>
    <x v="1"/>
    <n v="4"/>
    <n v="2"/>
    <x v="1"/>
    <n v="1959"/>
    <x v="0"/>
    <x v="1"/>
    <x v="3"/>
    <x v="0"/>
    <n v="95177"/>
    <x v="0"/>
  </r>
  <r>
    <n v="309"/>
    <n v="4269"/>
    <x v="1"/>
    <n v="3"/>
    <n v="4"/>
    <x v="0"/>
    <n v="1940"/>
    <x v="1"/>
    <x v="2"/>
    <x v="1"/>
    <x v="0"/>
    <n v="533512"/>
    <x v="1"/>
  </r>
  <r>
    <n v="310"/>
    <n v="1074"/>
    <x v="0"/>
    <n v="2"/>
    <n v="3"/>
    <x v="1"/>
    <n v="1932"/>
    <x v="1"/>
    <x v="0"/>
    <x v="3"/>
    <x v="0"/>
    <n v="160623"/>
    <x v="0"/>
  </r>
  <r>
    <n v="311"/>
    <n v="3761"/>
    <x v="2"/>
    <n v="3"/>
    <n v="2"/>
    <x v="0"/>
    <n v="1982"/>
    <x v="2"/>
    <x v="0"/>
    <x v="0"/>
    <x v="0"/>
    <n v="575285"/>
    <x v="1"/>
  </r>
  <r>
    <n v="312"/>
    <n v="1648"/>
    <x v="0"/>
    <n v="3"/>
    <n v="4"/>
    <x v="1"/>
    <n v="2000"/>
    <x v="2"/>
    <x v="2"/>
    <x v="0"/>
    <x v="0"/>
    <n v="502546"/>
    <x v="1"/>
  </r>
  <r>
    <n v="313"/>
    <n v="2215"/>
    <x v="0"/>
    <n v="1"/>
    <n v="2"/>
    <x v="0"/>
    <n v="1982"/>
    <x v="2"/>
    <x v="0"/>
    <x v="2"/>
    <x v="1"/>
    <n v="546184"/>
    <x v="1"/>
  </r>
  <r>
    <n v="314"/>
    <n v="4354"/>
    <x v="1"/>
    <n v="5"/>
    <n v="3"/>
    <x v="1"/>
    <n v="1996"/>
    <x v="2"/>
    <x v="1"/>
    <x v="2"/>
    <x v="1"/>
    <n v="694467"/>
    <x v="3"/>
  </r>
  <r>
    <n v="315"/>
    <n v="2991"/>
    <x v="2"/>
    <n v="4"/>
    <n v="4"/>
    <x v="0"/>
    <n v="2010"/>
    <x v="3"/>
    <x v="3"/>
    <x v="2"/>
    <x v="0"/>
    <n v="297439"/>
    <x v="2"/>
  </r>
  <r>
    <n v="316"/>
    <n v="3160"/>
    <x v="2"/>
    <n v="2"/>
    <n v="3"/>
    <x v="1"/>
    <n v="1915"/>
    <x v="1"/>
    <x v="2"/>
    <x v="3"/>
    <x v="0"/>
    <n v="694691"/>
    <x v="3"/>
  </r>
  <r>
    <n v="317"/>
    <n v="3624"/>
    <x v="2"/>
    <n v="4"/>
    <n v="4"/>
    <x v="0"/>
    <n v="1922"/>
    <x v="1"/>
    <x v="1"/>
    <x v="0"/>
    <x v="0"/>
    <n v="978735"/>
    <x v="3"/>
  </r>
  <r>
    <n v="318"/>
    <n v="3551"/>
    <x v="2"/>
    <n v="4"/>
    <n v="3"/>
    <x v="1"/>
    <n v="1906"/>
    <x v="1"/>
    <x v="1"/>
    <x v="1"/>
    <x v="1"/>
    <n v="145287"/>
    <x v="0"/>
  </r>
  <r>
    <n v="319"/>
    <n v="504"/>
    <x v="3"/>
    <n v="5"/>
    <n v="2"/>
    <x v="2"/>
    <n v="1925"/>
    <x v="1"/>
    <x v="0"/>
    <x v="2"/>
    <x v="0"/>
    <n v="169574"/>
    <x v="0"/>
  </r>
  <r>
    <n v="320"/>
    <n v="1376"/>
    <x v="0"/>
    <n v="4"/>
    <n v="2"/>
    <x v="0"/>
    <n v="1995"/>
    <x v="2"/>
    <x v="1"/>
    <x v="3"/>
    <x v="1"/>
    <n v="830751"/>
    <x v="3"/>
  </r>
  <r>
    <n v="321"/>
    <n v="1491"/>
    <x v="0"/>
    <n v="4"/>
    <n v="3"/>
    <x v="1"/>
    <n v="1911"/>
    <x v="1"/>
    <x v="2"/>
    <x v="2"/>
    <x v="1"/>
    <n v="171509"/>
    <x v="0"/>
  </r>
  <r>
    <n v="322"/>
    <n v="4642"/>
    <x v="1"/>
    <n v="3"/>
    <n v="3"/>
    <x v="0"/>
    <n v="1971"/>
    <x v="0"/>
    <x v="1"/>
    <x v="0"/>
    <x v="1"/>
    <n v="397591"/>
    <x v="2"/>
  </r>
  <r>
    <n v="323"/>
    <n v="4864"/>
    <x v="1"/>
    <n v="5"/>
    <n v="3"/>
    <x v="0"/>
    <n v="1904"/>
    <x v="1"/>
    <x v="3"/>
    <x v="1"/>
    <x v="0"/>
    <n v="945954"/>
    <x v="3"/>
  </r>
  <r>
    <n v="324"/>
    <n v="4965"/>
    <x v="1"/>
    <n v="1"/>
    <n v="4"/>
    <x v="1"/>
    <n v="2005"/>
    <x v="3"/>
    <x v="1"/>
    <x v="0"/>
    <x v="0"/>
    <n v="499181"/>
    <x v="1"/>
  </r>
  <r>
    <n v="325"/>
    <n v="1135"/>
    <x v="0"/>
    <n v="2"/>
    <n v="2"/>
    <x v="0"/>
    <n v="1991"/>
    <x v="2"/>
    <x v="1"/>
    <x v="3"/>
    <x v="1"/>
    <n v="393288"/>
    <x v="2"/>
  </r>
  <r>
    <n v="326"/>
    <n v="2193"/>
    <x v="0"/>
    <n v="4"/>
    <n v="4"/>
    <x v="1"/>
    <n v="2016"/>
    <x v="3"/>
    <x v="3"/>
    <x v="2"/>
    <x v="1"/>
    <n v="822793"/>
    <x v="3"/>
  </r>
  <r>
    <n v="327"/>
    <n v="2182"/>
    <x v="0"/>
    <n v="2"/>
    <n v="2"/>
    <x v="2"/>
    <n v="1968"/>
    <x v="0"/>
    <x v="1"/>
    <x v="0"/>
    <x v="1"/>
    <n v="242589"/>
    <x v="2"/>
  </r>
  <r>
    <n v="328"/>
    <n v="619"/>
    <x v="3"/>
    <n v="1"/>
    <n v="1"/>
    <x v="0"/>
    <n v="1948"/>
    <x v="1"/>
    <x v="1"/>
    <x v="3"/>
    <x v="1"/>
    <n v="929125"/>
    <x v="3"/>
  </r>
  <r>
    <n v="329"/>
    <n v="1330"/>
    <x v="0"/>
    <n v="2"/>
    <n v="4"/>
    <x v="2"/>
    <n v="1925"/>
    <x v="1"/>
    <x v="0"/>
    <x v="2"/>
    <x v="0"/>
    <n v="406459"/>
    <x v="1"/>
  </r>
  <r>
    <n v="330"/>
    <n v="4175"/>
    <x v="1"/>
    <n v="1"/>
    <n v="2"/>
    <x v="0"/>
    <n v="1904"/>
    <x v="1"/>
    <x v="2"/>
    <x v="1"/>
    <x v="1"/>
    <n v="538720"/>
    <x v="1"/>
  </r>
  <r>
    <n v="331"/>
    <n v="1869"/>
    <x v="0"/>
    <n v="3"/>
    <n v="2"/>
    <x v="0"/>
    <n v="1921"/>
    <x v="1"/>
    <x v="0"/>
    <x v="0"/>
    <x v="0"/>
    <n v="863819"/>
    <x v="3"/>
  </r>
  <r>
    <n v="332"/>
    <n v="1240"/>
    <x v="0"/>
    <n v="4"/>
    <n v="4"/>
    <x v="0"/>
    <n v="1978"/>
    <x v="2"/>
    <x v="2"/>
    <x v="2"/>
    <x v="1"/>
    <n v="54090"/>
    <x v="0"/>
  </r>
  <r>
    <n v="333"/>
    <n v="616"/>
    <x v="3"/>
    <n v="1"/>
    <n v="4"/>
    <x v="1"/>
    <n v="1912"/>
    <x v="1"/>
    <x v="3"/>
    <x v="2"/>
    <x v="0"/>
    <n v="957278"/>
    <x v="3"/>
  </r>
  <r>
    <n v="334"/>
    <n v="3338"/>
    <x v="2"/>
    <n v="2"/>
    <n v="2"/>
    <x v="2"/>
    <n v="1927"/>
    <x v="1"/>
    <x v="3"/>
    <x v="2"/>
    <x v="1"/>
    <n v="468161"/>
    <x v="1"/>
  </r>
  <r>
    <n v="335"/>
    <n v="1650"/>
    <x v="0"/>
    <n v="4"/>
    <n v="4"/>
    <x v="0"/>
    <n v="1932"/>
    <x v="1"/>
    <x v="3"/>
    <x v="2"/>
    <x v="0"/>
    <n v="876671"/>
    <x v="3"/>
  </r>
  <r>
    <n v="336"/>
    <n v="2431"/>
    <x v="0"/>
    <n v="3"/>
    <n v="3"/>
    <x v="1"/>
    <n v="2006"/>
    <x v="3"/>
    <x v="2"/>
    <x v="0"/>
    <x v="0"/>
    <n v="53743"/>
    <x v="0"/>
  </r>
  <r>
    <n v="337"/>
    <n v="1512"/>
    <x v="0"/>
    <n v="4"/>
    <n v="4"/>
    <x v="0"/>
    <n v="1922"/>
    <x v="1"/>
    <x v="2"/>
    <x v="2"/>
    <x v="0"/>
    <n v="80924"/>
    <x v="0"/>
  </r>
  <r>
    <n v="338"/>
    <n v="2164"/>
    <x v="0"/>
    <n v="1"/>
    <n v="4"/>
    <x v="1"/>
    <n v="1996"/>
    <x v="2"/>
    <x v="2"/>
    <x v="3"/>
    <x v="1"/>
    <n v="191268"/>
    <x v="0"/>
  </r>
  <r>
    <n v="339"/>
    <n v="1581"/>
    <x v="0"/>
    <n v="3"/>
    <n v="4"/>
    <x v="0"/>
    <n v="2006"/>
    <x v="3"/>
    <x v="3"/>
    <x v="0"/>
    <x v="0"/>
    <n v="966592"/>
    <x v="3"/>
  </r>
  <r>
    <n v="340"/>
    <n v="1012"/>
    <x v="0"/>
    <n v="2"/>
    <n v="2"/>
    <x v="2"/>
    <n v="1917"/>
    <x v="1"/>
    <x v="2"/>
    <x v="2"/>
    <x v="1"/>
    <n v="928247"/>
    <x v="3"/>
  </r>
  <r>
    <n v="341"/>
    <n v="3349"/>
    <x v="2"/>
    <n v="3"/>
    <n v="3"/>
    <x v="2"/>
    <n v="2013"/>
    <x v="3"/>
    <x v="1"/>
    <x v="0"/>
    <x v="0"/>
    <n v="679600"/>
    <x v="3"/>
  </r>
  <r>
    <n v="342"/>
    <n v="1059"/>
    <x v="0"/>
    <n v="3"/>
    <n v="1"/>
    <x v="0"/>
    <n v="2016"/>
    <x v="3"/>
    <x v="0"/>
    <x v="3"/>
    <x v="0"/>
    <n v="381004"/>
    <x v="2"/>
  </r>
  <r>
    <n v="343"/>
    <n v="4172"/>
    <x v="1"/>
    <n v="5"/>
    <n v="1"/>
    <x v="1"/>
    <n v="1929"/>
    <x v="1"/>
    <x v="3"/>
    <x v="3"/>
    <x v="1"/>
    <n v="790537"/>
    <x v="3"/>
  </r>
  <r>
    <n v="344"/>
    <n v="3843"/>
    <x v="2"/>
    <n v="3"/>
    <n v="3"/>
    <x v="0"/>
    <n v="1925"/>
    <x v="1"/>
    <x v="0"/>
    <x v="0"/>
    <x v="0"/>
    <n v="798378"/>
    <x v="3"/>
  </r>
  <r>
    <n v="345"/>
    <n v="4570"/>
    <x v="1"/>
    <n v="3"/>
    <n v="3"/>
    <x v="1"/>
    <n v="1915"/>
    <x v="1"/>
    <x v="1"/>
    <x v="2"/>
    <x v="0"/>
    <n v="279602"/>
    <x v="2"/>
  </r>
  <r>
    <n v="346"/>
    <n v="1970"/>
    <x v="0"/>
    <n v="4"/>
    <n v="3"/>
    <x v="0"/>
    <n v="1976"/>
    <x v="2"/>
    <x v="2"/>
    <x v="2"/>
    <x v="1"/>
    <n v="392543"/>
    <x v="2"/>
  </r>
  <r>
    <n v="347"/>
    <n v="1080"/>
    <x v="0"/>
    <n v="2"/>
    <n v="2"/>
    <x v="1"/>
    <n v="1938"/>
    <x v="1"/>
    <x v="0"/>
    <x v="3"/>
    <x v="0"/>
    <n v="885227"/>
    <x v="3"/>
  </r>
  <r>
    <n v="348"/>
    <n v="2794"/>
    <x v="2"/>
    <n v="4"/>
    <n v="1"/>
    <x v="2"/>
    <n v="1932"/>
    <x v="1"/>
    <x v="1"/>
    <x v="2"/>
    <x v="0"/>
    <n v="887985"/>
    <x v="3"/>
  </r>
  <r>
    <n v="349"/>
    <n v="3647"/>
    <x v="2"/>
    <n v="4"/>
    <n v="3"/>
    <x v="0"/>
    <n v="1925"/>
    <x v="1"/>
    <x v="1"/>
    <x v="3"/>
    <x v="0"/>
    <n v="558928"/>
    <x v="1"/>
  </r>
  <r>
    <n v="350"/>
    <n v="4749"/>
    <x v="1"/>
    <n v="1"/>
    <n v="2"/>
    <x v="2"/>
    <n v="1947"/>
    <x v="1"/>
    <x v="0"/>
    <x v="2"/>
    <x v="0"/>
    <n v="153976"/>
    <x v="0"/>
  </r>
  <r>
    <n v="351"/>
    <n v="2179"/>
    <x v="0"/>
    <n v="4"/>
    <n v="1"/>
    <x v="2"/>
    <n v="1964"/>
    <x v="0"/>
    <x v="3"/>
    <x v="3"/>
    <x v="1"/>
    <n v="205183"/>
    <x v="2"/>
  </r>
  <r>
    <n v="352"/>
    <n v="4006"/>
    <x v="1"/>
    <n v="5"/>
    <n v="4"/>
    <x v="0"/>
    <n v="2012"/>
    <x v="3"/>
    <x v="0"/>
    <x v="1"/>
    <x v="0"/>
    <n v="687854"/>
    <x v="3"/>
  </r>
  <r>
    <n v="353"/>
    <n v="3244"/>
    <x v="2"/>
    <n v="5"/>
    <n v="2"/>
    <x v="0"/>
    <n v="1937"/>
    <x v="1"/>
    <x v="3"/>
    <x v="2"/>
    <x v="0"/>
    <n v="307443"/>
    <x v="2"/>
  </r>
  <r>
    <n v="354"/>
    <n v="3856"/>
    <x v="2"/>
    <n v="1"/>
    <n v="1"/>
    <x v="1"/>
    <n v="1901"/>
    <x v="1"/>
    <x v="2"/>
    <x v="2"/>
    <x v="0"/>
    <n v="694256"/>
    <x v="3"/>
  </r>
  <r>
    <n v="355"/>
    <n v="4545"/>
    <x v="1"/>
    <n v="2"/>
    <n v="2"/>
    <x v="1"/>
    <n v="2012"/>
    <x v="3"/>
    <x v="3"/>
    <x v="2"/>
    <x v="0"/>
    <n v="111600"/>
    <x v="0"/>
  </r>
  <r>
    <n v="356"/>
    <n v="1743"/>
    <x v="0"/>
    <n v="2"/>
    <n v="1"/>
    <x v="2"/>
    <n v="1905"/>
    <x v="1"/>
    <x v="2"/>
    <x v="0"/>
    <x v="0"/>
    <n v="624310"/>
    <x v="3"/>
  </r>
  <r>
    <n v="357"/>
    <n v="3618"/>
    <x v="2"/>
    <n v="4"/>
    <n v="1"/>
    <x v="1"/>
    <n v="1945"/>
    <x v="1"/>
    <x v="0"/>
    <x v="2"/>
    <x v="0"/>
    <n v="708559"/>
    <x v="3"/>
  </r>
  <r>
    <n v="358"/>
    <n v="2641"/>
    <x v="2"/>
    <n v="4"/>
    <n v="4"/>
    <x v="1"/>
    <n v="1949"/>
    <x v="1"/>
    <x v="2"/>
    <x v="0"/>
    <x v="0"/>
    <n v="887329"/>
    <x v="3"/>
  </r>
  <r>
    <n v="359"/>
    <n v="3559"/>
    <x v="2"/>
    <n v="4"/>
    <n v="2"/>
    <x v="0"/>
    <n v="1937"/>
    <x v="1"/>
    <x v="1"/>
    <x v="0"/>
    <x v="0"/>
    <n v="874470"/>
    <x v="3"/>
  </r>
  <r>
    <n v="360"/>
    <n v="3459"/>
    <x v="2"/>
    <n v="2"/>
    <n v="3"/>
    <x v="1"/>
    <n v="2005"/>
    <x v="3"/>
    <x v="2"/>
    <x v="3"/>
    <x v="1"/>
    <n v="173323"/>
    <x v="0"/>
  </r>
  <r>
    <n v="361"/>
    <n v="2765"/>
    <x v="2"/>
    <n v="3"/>
    <n v="4"/>
    <x v="2"/>
    <n v="1987"/>
    <x v="2"/>
    <x v="3"/>
    <x v="0"/>
    <x v="1"/>
    <n v="236110"/>
    <x v="2"/>
  </r>
  <r>
    <n v="362"/>
    <n v="2979"/>
    <x v="2"/>
    <n v="5"/>
    <n v="4"/>
    <x v="1"/>
    <n v="1917"/>
    <x v="1"/>
    <x v="3"/>
    <x v="0"/>
    <x v="1"/>
    <n v="694566"/>
    <x v="3"/>
  </r>
  <r>
    <n v="363"/>
    <n v="2135"/>
    <x v="0"/>
    <n v="3"/>
    <n v="1"/>
    <x v="2"/>
    <n v="1926"/>
    <x v="1"/>
    <x v="3"/>
    <x v="1"/>
    <x v="1"/>
    <n v="947486"/>
    <x v="3"/>
  </r>
  <r>
    <n v="364"/>
    <n v="2257"/>
    <x v="0"/>
    <n v="3"/>
    <n v="3"/>
    <x v="0"/>
    <n v="1940"/>
    <x v="1"/>
    <x v="2"/>
    <x v="2"/>
    <x v="0"/>
    <n v="320041"/>
    <x v="2"/>
  </r>
  <r>
    <n v="365"/>
    <n v="4952"/>
    <x v="1"/>
    <n v="2"/>
    <n v="2"/>
    <x v="2"/>
    <n v="1971"/>
    <x v="0"/>
    <x v="3"/>
    <x v="0"/>
    <x v="0"/>
    <n v="638829"/>
    <x v="3"/>
  </r>
  <r>
    <n v="366"/>
    <n v="2570"/>
    <x v="2"/>
    <n v="3"/>
    <n v="3"/>
    <x v="1"/>
    <n v="1991"/>
    <x v="2"/>
    <x v="3"/>
    <x v="2"/>
    <x v="1"/>
    <n v="156968"/>
    <x v="0"/>
  </r>
  <r>
    <n v="367"/>
    <n v="3349"/>
    <x v="2"/>
    <n v="1"/>
    <n v="3"/>
    <x v="0"/>
    <n v="1973"/>
    <x v="0"/>
    <x v="1"/>
    <x v="0"/>
    <x v="1"/>
    <n v="589180"/>
    <x v="1"/>
  </r>
  <r>
    <n v="368"/>
    <n v="3751"/>
    <x v="2"/>
    <n v="4"/>
    <n v="3"/>
    <x v="1"/>
    <n v="1916"/>
    <x v="1"/>
    <x v="2"/>
    <x v="3"/>
    <x v="1"/>
    <n v="975775"/>
    <x v="3"/>
  </r>
  <r>
    <n v="369"/>
    <n v="4230"/>
    <x v="1"/>
    <n v="1"/>
    <n v="3"/>
    <x v="0"/>
    <n v="2018"/>
    <x v="3"/>
    <x v="1"/>
    <x v="1"/>
    <x v="0"/>
    <n v="74815"/>
    <x v="0"/>
  </r>
  <r>
    <n v="370"/>
    <n v="2989"/>
    <x v="2"/>
    <n v="5"/>
    <n v="3"/>
    <x v="0"/>
    <n v="1961"/>
    <x v="0"/>
    <x v="3"/>
    <x v="0"/>
    <x v="0"/>
    <n v="882044"/>
    <x v="3"/>
  </r>
  <r>
    <n v="371"/>
    <n v="2131"/>
    <x v="0"/>
    <n v="4"/>
    <n v="1"/>
    <x v="1"/>
    <n v="1928"/>
    <x v="1"/>
    <x v="3"/>
    <x v="2"/>
    <x v="1"/>
    <n v="476573"/>
    <x v="1"/>
  </r>
  <r>
    <n v="372"/>
    <n v="3316"/>
    <x v="2"/>
    <n v="3"/>
    <n v="1"/>
    <x v="1"/>
    <n v="1957"/>
    <x v="0"/>
    <x v="3"/>
    <x v="3"/>
    <x v="1"/>
    <n v="518304"/>
    <x v="1"/>
  </r>
  <r>
    <n v="373"/>
    <n v="1515"/>
    <x v="0"/>
    <n v="5"/>
    <n v="4"/>
    <x v="0"/>
    <n v="1969"/>
    <x v="0"/>
    <x v="2"/>
    <x v="2"/>
    <x v="1"/>
    <n v="852699"/>
    <x v="3"/>
  </r>
  <r>
    <n v="374"/>
    <n v="1848"/>
    <x v="0"/>
    <n v="4"/>
    <n v="1"/>
    <x v="0"/>
    <n v="1977"/>
    <x v="2"/>
    <x v="0"/>
    <x v="3"/>
    <x v="1"/>
    <n v="854700"/>
    <x v="3"/>
  </r>
  <r>
    <n v="375"/>
    <n v="3587"/>
    <x v="2"/>
    <n v="3"/>
    <n v="4"/>
    <x v="1"/>
    <n v="1921"/>
    <x v="1"/>
    <x v="3"/>
    <x v="1"/>
    <x v="1"/>
    <n v="688751"/>
    <x v="3"/>
  </r>
  <r>
    <n v="376"/>
    <n v="3339"/>
    <x v="2"/>
    <n v="1"/>
    <n v="4"/>
    <x v="2"/>
    <n v="2017"/>
    <x v="3"/>
    <x v="3"/>
    <x v="3"/>
    <x v="0"/>
    <n v="981767"/>
    <x v="3"/>
  </r>
  <r>
    <n v="377"/>
    <n v="835"/>
    <x v="3"/>
    <n v="4"/>
    <n v="2"/>
    <x v="1"/>
    <n v="1905"/>
    <x v="1"/>
    <x v="3"/>
    <x v="2"/>
    <x v="1"/>
    <n v="514151"/>
    <x v="1"/>
  </r>
  <r>
    <n v="378"/>
    <n v="1395"/>
    <x v="0"/>
    <n v="3"/>
    <n v="3"/>
    <x v="0"/>
    <n v="1925"/>
    <x v="1"/>
    <x v="3"/>
    <x v="2"/>
    <x v="0"/>
    <n v="931779"/>
    <x v="3"/>
  </r>
  <r>
    <n v="379"/>
    <n v="4046"/>
    <x v="1"/>
    <n v="1"/>
    <n v="1"/>
    <x v="1"/>
    <n v="1938"/>
    <x v="1"/>
    <x v="2"/>
    <x v="0"/>
    <x v="1"/>
    <n v="240732"/>
    <x v="2"/>
  </r>
  <r>
    <n v="380"/>
    <n v="1351"/>
    <x v="0"/>
    <n v="5"/>
    <n v="2"/>
    <x v="2"/>
    <n v="1911"/>
    <x v="1"/>
    <x v="0"/>
    <x v="3"/>
    <x v="1"/>
    <n v="246599"/>
    <x v="2"/>
  </r>
  <r>
    <n v="381"/>
    <n v="2187"/>
    <x v="0"/>
    <n v="5"/>
    <n v="1"/>
    <x v="1"/>
    <n v="1998"/>
    <x v="2"/>
    <x v="0"/>
    <x v="2"/>
    <x v="0"/>
    <n v="244451"/>
    <x v="2"/>
  </r>
  <r>
    <n v="382"/>
    <n v="2431"/>
    <x v="0"/>
    <n v="5"/>
    <n v="4"/>
    <x v="0"/>
    <n v="1913"/>
    <x v="1"/>
    <x v="0"/>
    <x v="0"/>
    <x v="1"/>
    <n v="406686"/>
    <x v="1"/>
  </r>
  <r>
    <n v="383"/>
    <n v="4246"/>
    <x v="1"/>
    <n v="5"/>
    <n v="1"/>
    <x v="1"/>
    <n v="1921"/>
    <x v="1"/>
    <x v="3"/>
    <x v="1"/>
    <x v="0"/>
    <n v="746631"/>
    <x v="3"/>
  </r>
  <r>
    <n v="384"/>
    <n v="2927"/>
    <x v="2"/>
    <n v="2"/>
    <n v="3"/>
    <x v="0"/>
    <n v="1950"/>
    <x v="1"/>
    <x v="3"/>
    <x v="2"/>
    <x v="0"/>
    <n v="378756"/>
    <x v="2"/>
  </r>
  <r>
    <n v="385"/>
    <n v="2068"/>
    <x v="0"/>
    <n v="4"/>
    <n v="4"/>
    <x v="0"/>
    <n v="1922"/>
    <x v="1"/>
    <x v="0"/>
    <x v="0"/>
    <x v="1"/>
    <n v="188307"/>
    <x v="0"/>
  </r>
  <r>
    <n v="386"/>
    <n v="4500"/>
    <x v="1"/>
    <n v="4"/>
    <n v="4"/>
    <x v="1"/>
    <n v="1947"/>
    <x v="1"/>
    <x v="0"/>
    <x v="2"/>
    <x v="1"/>
    <n v="138757"/>
    <x v="0"/>
  </r>
  <r>
    <n v="387"/>
    <n v="3238"/>
    <x v="2"/>
    <n v="2"/>
    <n v="2"/>
    <x v="0"/>
    <n v="1970"/>
    <x v="0"/>
    <x v="3"/>
    <x v="3"/>
    <x v="0"/>
    <n v="459633"/>
    <x v="1"/>
  </r>
  <r>
    <n v="388"/>
    <n v="3998"/>
    <x v="2"/>
    <n v="3"/>
    <n v="3"/>
    <x v="0"/>
    <n v="2003"/>
    <x v="3"/>
    <x v="3"/>
    <x v="0"/>
    <x v="0"/>
    <n v="934507"/>
    <x v="3"/>
  </r>
  <r>
    <n v="389"/>
    <n v="4413"/>
    <x v="1"/>
    <n v="3"/>
    <n v="4"/>
    <x v="2"/>
    <n v="1949"/>
    <x v="1"/>
    <x v="1"/>
    <x v="3"/>
    <x v="1"/>
    <n v="346753"/>
    <x v="2"/>
  </r>
  <r>
    <n v="390"/>
    <n v="1566"/>
    <x v="0"/>
    <n v="5"/>
    <n v="3"/>
    <x v="2"/>
    <n v="1988"/>
    <x v="2"/>
    <x v="1"/>
    <x v="1"/>
    <x v="0"/>
    <n v="939217"/>
    <x v="3"/>
  </r>
  <r>
    <n v="391"/>
    <n v="4880"/>
    <x v="1"/>
    <n v="1"/>
    <n v="1"/>
    <x v="2"/>
    <n v="1912"/>
    <x v="1"/>
    <x v="1"/>
    <x v="3"/>
    <x v="1"/>
    <n v="304200"/>
    <x v="2"/>
  </r>
  <r>
    <n v="392"/>
    <n v="2944"/>
    <x v="2"/>
    <n v="3"/>
    <n v="3"/>
    <x v="2"/>
    <n v="1984"/>
    <x v="2"/>
    <x v="0"/>
    <x v="0"/>
    <x v="0"/>
    <n v="597933"/>
    <x v="1"/>
  </r>
  <r>
    <n v="393"/>
    <n v="4607"/>
    <x v="1"/>
    <n v="1"/>
    <n v="4"/>
    <x v="0"/>
    <n v="2004"/>
    <x v="3"/>
    <x v="2"/>
    <x v="2"/>
    <x v="1"/>
    <n v="506089"/>
    <x v="1"/>
  </r>
  <r>
    <n v="394"/>
    <n v="3873"/>
    <x v="2"/>
    <n v="4"/>
    <n v="2"/>
    <x v="1"/>
    <n v="1909"/>
    <x v="1"/>
    <x v="3"/>
    <x v="0"/>
    <x v="0"/>
    <n v="769918"/>
    <x v="3"/>
  </r>
  <r>
    <n v="395"/>
    <n v="4469"/>
    <x v="1"/>
    <n v="1"/>
    <n v="4"/>
    <x v="0"/>
    <n v="2016"/>
    <x v="3"/>
    <x v="1"/>
    <x v="3"/>
    <x v="0"/>
    <n v="374377"/>
    <x v="2"/>
  </r>
  <r>
    <n v="396"/>
    <n v="3046"/>
    <x v="2"/>
    <n v="4"/>
    <n v="3"/>
    <x v="0"/>
    <n v="1954"/>
    <x v="0"/>
    <x v="2"/>
    <x v="3"/>
    <x v="1"/>
    <n v="423587"/>
    <x v="1"/>
  </r>
  <r>
    <n v="397"/>
    <n v="1253"/>
    <x v="0"/>
    <n v="2"/>
    <n v="3"/>
    <x v="0"/>
    <n v="2022"/>
    <x v="3"/>
    <x v="3"/>
    <x v="2"/>
    <x v="0"/>
    <n v="204473"/>
    <x v="2"/>
  </r>
  <r>
    <n v="398"/>
    <n v="2582"/>
    <x v="2"/>
    <n v="2"/>
    <n v="4"/>
    <x v="1"/>
    <n v="1908"/>
    <x v="1"/>
    <x v="2"/>
    <x v="1"/>
    <x v="0"/>
    <n v="844203"/>
    <x v="3"/>
  </r>
  <r>
    <n v="399"/>
    <n v="3274"/>
    <x v="2"/>
    <n v="5"/>
    <n v="3"/>
    <x v="2"/>
    <n v="1978"/>
    <x v="2"/>
    <x v="0"/>
    <x v="0"/>
    <x v="0"/>
    <n v="517667"/>
    <x v="1"/>
  </r>
  <r>
    <n v="400"/>
    <n v="3396"/>
    <x v="2"/>
    <n v="3"/>
    <n v="1"/>
    <x v="0"/>
    <n v="1951"/>
    <x v="0"/>
    <x v="0"/>
    <x v="2"/>
    <x v="0"/>
    <n v="522650"/>
    <x v="1"/>
  </r>
  <r>
    <n v="401"/>
    <n v="4685"/>
    <x v="1"/>
    <n v="5"/>
    <n v="4"/>
    <x v="0"/>
    <n v="1901"/>
    <x v="1"/>
    <x v="0"/>
    <x v="2"/>
    <x v="0"/>
    <n v="510665"/>
    <x v="1"/>
  </r>
  <r>
    <n v="402"/>
    <n v="1275"/>
    <x v="0"/>
    <n v="4"/>
    <n v="2"/>
    <x v="2"/>
    <n v="1924"/>
    <x v="1"/>
    <x v="1"/>
    <x v="2"/>
    <x v="0"/>
    <n v="414745"/>
    <x v="1"/>
  </r>
  <r>
    <n v="403"/>
    <n v="2125"/>
    <x v="0"/>
    <n v="5"/>
    <n v="4"/>
    <x v="0"/>
    <n v="1912"/>
    <x v="1"/>
    <x v="3"/>
    <x v="0"/>
    <x v="0"/>
    <n v="535820"/>
    <x v="1"/>
  </r>
  <r>
    <n v="404"/>
    <n v="3569"/>
    <x v="2"/>
    <n v="1"/>
    <n v="1"/>
    <x v="1"/>
    <n v="1997"/>
    <x v="2"/>
    <x v="0"/>
    <x v="0"/>
    <x v="1"/>
    <n v="445158"/>
    <x v="1"/>
  </r>
  <r>
    <n v="405"/>
    <n v="917"/>
    <x v="3"/>
    <n v="4"/>
    <n v="1"/>
    <x v="0"/>
    <n v="1950"/>
    <x v="1"/>
    <x v="1"/>
    <x v="0"/>
    <x v="0"/>
    <n v="725748"/>
    <x v="3"/>
  </r>
  <r>
    <n v="406"/>
    <n v="614"/>
    <x v="3"/>
    <n v="2"/>
    <n v="1"/>
    <x v="0"/>
    <n v="1957"/>
    <x v="0"/>
    <x v="1"/>
    <x v="1"/>
    <x v="0"/>
    <n v="961656"/>
    <x v="3"/>
  </r>
  <r>
    <n v="407"/>
    <n v="1116"/>
    <x v="0"/>
    <n v="3"/>
    <n v="1"/>
    <x v="2"/>
    <n v="1933"/>
    <x v="1"/>
    <x v="1"/>
    <x v="2"/>
    <x v="1"/>
    <n v="657539"/>
    <x v="3"/>
  </r>
  <r>
    <n v="408"/>
    <n v="4474"/>
    <x v="1"/>
    <n v="4"/>
    <n v="1"/>
    <x v="0"/>
    <n v="1934"/>
    <x v="1"/>
    <x v="1"/>
    <x v="3"/>
    <x v="0"/>
    <n v="631330"/>
    <x v="3"/>
  </r>
  <r>
    <n v="409"/>
    <n v="3767"/>
    <x v="2"/>
    <n v="4"/>
    <n v="2"/>
    <x v="0"/>
    <n v="2001"/>
    <x v="3"/>
    <x v="0"/>
    <x v="3"/>
    <x v="0"/>
    <n v="890172"/>
    <x v="3"/>
  </r>
  <r>
    <n v="410"/>
    <n v="1325"/>
    <x v="0"/>
    <n v="1"/>
    <n v="3"/>
    <x v="1"/>
    <n v="1902"/>
    <x v="1"/>
    <x v="1"/>
    <x v="2"/>
    <x v="1"/>
    <n v="246945"/>
    <x v="2"/>
  </r>
  <r>
    <n v="411"/>
    <n v="2016"/>
    <x v="0"/>
    <n v="3"/>
    <n v="1"/>
    <x v="2"/>
    <n v="2005"/>
    <x v="3"/>
    <x v="0"/>
    <x v="3"/>
    <x v="0"/>
    <n v="621312"/>
    <x v="3"/>
  </r>
  <r>
    <n v="412"/>
    <n v="3646"/>
    <x v="2"/>
    <n v="2"/>
    <n v="1"/>
    <x v="2"/>
    <n v="2019"/>
    <x v="3"/>
    <x v="0"/>
    <x v="1"/>
    <x v="0"/>
    <n v="728810"/>
    <x v="3"/>
  </r>
  <r>
    <n v="413"/>
    <n v="912"/>
    <x v="3"/>
    <n v="4"/>
    <n v="4"/>
    <x v="1"/>
    <n v="1958"/>
    <x v="0"/>
    <x v="1"/>
    <x v="1"/>
    <x v="1"/>
    <n v="631253"/>
    <x v="3"/>
  </r>
  <r>
    <n v="414"/>
    <n v="1228"/>
    <x v="0"/>
    <n v="4"/>
    <n v="2"/>
    <x v="0"/>
    <n v="1969"/>
    <x v="0"/>
    <x v="0"/>
    <x v="0"/>
    <x v="1"/>
    <n v="322201"/>
    <x v="2"/>
  </r>
  <r>
    <n v="415"/>
    <n v="3848"/>
    <x v="2"/>
    <n v="1"/>
    <n v="2"/>
    <x v="2"/>
    <n v="2018"/>
    <x v="3"/>
    <x v="3"/>
    <x v="0"/>
    <x v="0"/>
    <n v="798609"/>
    <x v="3"/>
  </r>
  <r>
    <n v="416"/>
    <n v="3308"/>
    <x v="2"/>
    <n v="5"/>
    <n v="3"/>
    <x v="2"/>
    <n v="1947"/>
    <x v="1"/>
    <x v="3"/>
    <x v="0"/>
    <x v="0"/>
    <n v="845415"/>
    <x v="3"/>
  </r>
  <r>
    <n v="417"/>
    <n v="1175"/>
    <x v="0"/>
    <n v="2"/>
    <n v="2"/>
    <x v="0"/>
    <n v="1963"/>
    <x v="0"/>
    <x v="2"/>
    <x v="0"/>
    <x v="1"/>
    <n v="442613"/>
    <x v="1"/>
  </r>
  <r>
    <n v="418"/>
    <n v="3965"/>
    <x v="2"/>
    <n v="3"/>
    <n v="4"/>
    <x v="0"/>
    <n v="2012"/>
    <x v="3"/>
    <x v="3"/>
    <x v="0"/>
    <x v="0"/>
    <n v="594283"/>
    <x v="1"/>
  </r>
  <r>
    <n v="419"/>
    <n v="3004"/>
    <x v="2"/>
    <n v="4"/>
    <n v="4"/>
    <x v="2"/>
    <n v="1918"/>
    <x v="1"/>
    <x v="0"/>
    <x v="3"/>
    <x v="1"/>
    <n v="164587"/>
    <x v="0"/>
  </r>
  <r>
    <n v="420"/>
    <n v="3467"/>
    <x v="2"/>
    <n v="4"/>
    <n v="3"/>
    <x v="0"/>
    <n v="1966"/>
    <x v="0"/>
    <x v="0"/>
    <x v="3"/>
    <x v="1"/>
    <n v="283076"/>
    <x v="2"/>
  </r>
  <r>
    <n v="421"/>
    <n v="3286"/>
    <x v="2"/>
    <n v="2"/>
    <n v="4"/>
    <x v="2"/>
    <n v="1981"/>
    <x v="2"/>
    <x v="3"/>
    <x v="0"/>
    <x v="1"/>
    <n v="796988"/>
    <x v="3"/>
  </r>
  <r>
    <n v="422"/>
    <n v="1622"/>
    <x v="0"/>
    <n v="5"/>
    <n v="1"/>
    <x v="0"/>
    <n v="2002"/>
    <x v="3"/>
    <x v="1"/>
    <x v="1"/>
    <x v="0"/>
    <n v="520897"/>
    <x v="1"/>
  </r>
  <r>
    <n v="423"/>
    <n v="4579"/>
    <x v="1"/>
    <n v="4"/>
    <n v="1"/>
    <x v="0"/>
    <n v="1972"/>
    <x v="0"/>
    <x v="1"/>
    <x v="3"/>
    <x v="1"/>
    <n v="88886"/>
    <x v="0"/>
  </r>
  <r>
    <n v="424"/>
    <n v="2071"/>
    <x v="0"/>
    <n v="2"/>
    <n v="4"/>
    <x v="1"/>
    <n v="2015"/>
    <x v="3"/>
    <x v="0"/>
    <x v="1"/>
    <x v="1"/>
    <n v="401169"/>
    <x v="1"/>
  </r>
  <r>
    <n v="425"/>
    <n v="2643"/>
    <x v="2"/>
    <n v="1"/>
    <n v="3"/>
    <x v="0"/>
    <n v="1975"/>
    <x v="0"/>
    <x v="1"/>
    <x v="1"/>
    <x v="1"/>
    <n v="539788"/>
    <x v="1"/>
  </r>
  <r>
    <n v="426"/>
    <n v="2187"/>
    <x v="0"/>
    <n v="5"/>
    <n v="2"/>
    <x v="1"/>
    <n v="1904"/>
    <x v="1"/>
    <x v="2"/>
    <x v="2"/>
    <x v="0"/>
    <n v="145149"/>
    <x v="0"/>
  </r>
  <r>
    <n v="427"/>
    <n v="4632"/>
    <x v="1"/>
    <n v="3"/>
    <n v="3"/>
    <x v="0"/>
    <n v="1966"/>
    <x v="0"/>
    <x v="2"/>
    <x v="2"/>
    <x v="0"/>
    <n v="668308"/>
    <x v="3"/>
  </r>
  <r>
    <n v="428"/>
    <n v="4351"/>
    <x v="1"/>
    <n v="4"/>
    <n v="2"/>
    <x v="2"/>
    <n v="1910"/>
    <x v="1"/>
    <x v="3"/>
    <x v="0"/>
    <x v="0"/>
    <n v="576961"/>
    <x v="1"/>
  </r>
  <r>
    <n v="429"/>
    <n v="3940"/>
    <x v="2"/>
    <n v="2"/>
    <n v="4"/>
    <x v="2"/>
    <n v="2020"/>
    <x v="3"/>
    <x v="3"/>
    <x v="1"/>
    <x v="1"/>
    <n v="913945"/>
    <x v="3"/>
  </r>
  <r>
    <n v="430"/>
    <n v="4266"/>
    <x v="1"/>
    <n v="1"/>
    <n v="4"/>
    <x v="0"/>
    <n v="1993"/>
    <x v="2"/>
    <x v="1"/>
    <x v="3"/>
    <x v="0"/>
    <n v="73466"/>
    <x v="0"/>
  </r>
  <r>
    <n v="431"/>
    <n v="2826"/>
    <x v="2"/>
    <n v="3"/>
    <n v="1"/>
    <x v="0"/>
    <n v="1967"/>
    <x v="0"/>
    <x v="0"/>
    <x v="2"/>
    <x v="0"/>
    <n v="287626"/>
    <x v="2"/>
  </r>
  <r>
    <n v="432"/>
    <n v="3414"/>
    <x v="2"/>
    <n v="2"/>
    <n v="2"/>
    <x v="2"/>
    <n v="1968"/>
    <x v="0"/>
    <x v="3"/>
    <x v="2"/>
    <x v="1"/>
    <n v="928977"/>
    <x v="3"/>
  </r>
  <r>
    <n v="433"/>
    <n v="4452"/>
    <x v="1"/>
    <n v="2"/>
    <n v="3"/>
    <x v="0"/>
    <n v="1900"/>
    <x v="1"/>
    <x v="2"/>
    <x v="1"/>
    <x v="1"/>
    <n v="559966"/>
    <x v="1"/>
  </r>
  <r>
    <n v="434"/>
    <n v="1095"/>
    <x v="0"/>
    <n v="3"/>
    <n v="4"/>
    <x v="1"/>
    <n v="1990"/>
    <x v="2"/>
    <x v="3"/>
    <x v="2"/>
    <x v="0"/>
    <n v="624694"/>
    <x v="3"/>
  </r>
  <r>
    <n v="435"/>
    <n v="1228"/>
    <x v="0"/>
    <n v="1"/>
    <n v="3"/>
    <x v="1"/>
    <n v="1991"/>
    <x v="2"/>
    <x v="3"/>
    <x v="2"/>
    <x v="0"/>
    <n v="446904"/>
    <x v="1"/>
  </r>
  <r>
    <n v="436"/>
    <n v="1865"/>
    <x v="0"/>
    <n v="1"/>
    <n v="1"/>
    <x v="1"/>
    <n v="1962"/>
    <x v="0"/>
    <x v="2"/>
    <x v="3"/>
    <x v="1"/>
    <n v="643572"/>
    <x v="3"/>
  </r>
  <r>
    <n v="437"/>
    <n v="4992"/>
    <x v="1"/>
    <n v="5"/>
    <n v="2"/>
    <x v="1"/>
    <n v="1928"/>
    <x v="1"/>
    <x v="0"/>
    <x v="1"/>
    <x v="0"/>
    <n v="810006"/>
    <x v="3"/>
  </r>
  <r>
    <n v="438"/>
    <n v="1198"/>
    <x v="0"/>
    <n v="4"/>
    <n v="2"/>
    <x v="1"/>
    <n v="1981"/>
    <x v="2"/>
    <x v="3"/>
    <x v="2"/>
    <x v="1"/>
    <n v="951011"/>
    <x v="3"/>
  </r>
  <r>
    <n v="439"/>
    <n v="895"/>
    <x v="3"/>
    <n v="3"/>
    <n v="4"/>
    <x v="0"/>
    <n v="1911"/>
    <x v="1"/>
    <x v="3"/>
    <x v="1"/>
    <x v="1"/>
    <n v="587953"/>
    <x v="1"/>
  </r>
  <r>
    <n v="440"/>
    <n v="4671"/>
    <x v="1"/>
    <n v="3"/>
    <n v="2"/>
    <x v="0"/>
    <n v="1976"/>
    <x v="2"/>
    <x v="3"/>
    <x v="2"/>
    <x v="0"/>
    <n v="594929"/>
    <x v="1"/>
  </r>
  <r>
    <n v="441"/>
    <n v="4860"/>
    <x v="1"/>
    <n v="3"/>
    <n v="4"/>
    <x v="1"/>
    <n v="1940"/>
    <x v="1"/>
    <x v="1"/>
    <x v="3"/>
    <x v="0"/>
    <n v="475716"/>
    <x v="1"/>
  </r>
  <r>
    <n v="442"/>
    <n v="3002"/>
    <x v="2"/>
    <n v="1"/>
    <n v="1"/>
    <x v="0"/>
    <n v="1901"/>
    <x v="1"/>
    <x v="3"/>
    <x v="1"/>
    <x v="0"/>
    <n v="610085"/>
    <x v="3"/>
  </r>
  <r>
    <n v="443"/>
    <n v="2319"/>
    <x v="0"/>
    <n v="4"/>
    <n v="2"/>
    <x v="0"/>
    <n v="1936"/>
    <x v="1"/>
    <x v="2"/>
    <x v="2"/>
    <x v="0"/>
    <n v="790126"/>
    <x v="3"/>
  </r>
  <r>
    <n v="444"/>
    <n v="1217"/>
    <x v="0"/>
    <n v="5"/>
    <n v="4"/>
    <x v="1"/>
    <n v="1944"/>
    <x v="1"/>
    <x v="0"/>
    <x v="3"/>
    <x v="1"/>
    <n v="358094"/>
    <x v="2"/>
  </r>
  <r>
    <n v="445"/>
    <n v="3282"/>
    <x v="2"/>
    <n v="2"/>
    <n v="3"/>
    <x v="0"/>
    <n v="1979"/>
    <x v="2"/>
    <x v="0"/>
    <x v="2"/>
    <x v="0"/>
    <n v="992550"/>
    <x v="3"/>
  </r>
  <r>
    <n v="446"/>
    <n v="4077"/>
    <x v="1"/>
    <n v="2"/>
    <n v="4"/>
    <x v="0"/>
    <n v="1947"/>
    <x v="1"/>
    <x v="2"/>
    <x v="1"/>
    <x v="0"/>
    <n v="965986"/>
    <x v="3"/>
  </r>
  <r>
    <n v="447"/>
    <n v="643"/>
    <x v="3"/>
    <n v="3"/>
    <n v="2"/>
    <x v="0"/>
    <n v="1923"/>
    <x v="1"/>
    <x v="1"/>
    <x v="2"/>
    <x v="0"/>
    <n v="676627"/>
    <x v="3"/>
  </r>
  <r>
    <n v="448"/>
    <n v="3640"/>
    <x v="2"/>
    <n v="4"/>
    <n v="1"/>
    <x v="1"/>
    <n v="1998"/>
    <x v="2"/>
    <x v="2"/>
    <x v="1"/>
    <x v="1"/>
    <n v="687719"/>
    <x v="3"/>
  </r>
  <r>
    <n v="449"/>
    <n v="4991"/>
    <x v="1"/>
    <n v="1"/>
    <n v="2"/>
    <x v="0"/>
    <n v="1921"/>
    <x v="1"/>
    <x v="0"/>
    <x v="1"/>
    <x v="0"/>
    <n v="282275"/>
    <x v="2"/>
  </r>
  <r>
    <n v="450"/>
    <n v="3438"/>
    <x v="2"/>
    <n v="4"/>
    <n v="2"/>
    <x v="2"/>
    <n v="1999"/>
    <x v="2"/>
    <x v="2"/>
    <x v="2"/>
    <x v="0"/>
    <n v="452854"/>
    <x v="1"/>
  </r>
  <r>
    <n v="451"/>
    <n v="4136"/>
    <x v="1"/>
    <n v="4"/>
    <n v="4"/>
    <x v="2"/>
    <n v="1910"/>
    <x v="1"/>
    <x v="1"/>
    <x v="3"/>
    <x v="1"/>
    <n v="857605"/>
    <x v="3"/>
  </r>
  <r>
    <n v="452"/>
    <n v="3722"/>
    <x v="2"/>
    <n v="1"/>
    <n v="3"/>
    <x v="1"/>
    <n v="2018"/>
    <x v="3"/>
    <x v="0"/>
    <x v="0"/>
    <x v="1"/>
    <n v="718582"/>
    <x v="3"/>
  </r>
  <r>
    <n v="453"/>
    <n v="1667"/>
    <x v="0"/>
    <n v="3"/>
    <n v="2"/>
    <x v="2"/>
    <n v="1957"/>
    <x v="0"/>
    <x v="1"/>
    <x v="3"/>
    <x v="1"/>
    <n v="231136"/>
    <x v="2"/>
  </r>
  <r>
    <n v="454"/>
    <n v="3116"/>
    <x v="2"/>
    <n v="4"/>
    <n v="3"/>
    <x v="1"/>
    <n v="1945"/>
    <x v="1"/>
    <x v="2"/>
    <x v="3"/>
    <x v="1"/>
    <n v="218082"/>
    <x v="2"/>
  </r>
  <r>
    <n v="455"/>
    <n v="1562"/>
    <x v="0"/>
    <n v="2"/>
    <n v="4"/>
    <x v="2"/>
    <n v="1928"/>
    <x v="1"/>
    <x v="3"/>
    <x v="2"/>
    <x v="1"/>
    <n v="303301"/>
    <x v="2"/>
  </r>
  <r>
    <n v="456"/>
    <n v="2656"/>
    <x v="2"/>
    <n v="1"/>
    <n v="3"/>
    <x v="2"/>
    <n v="1934"/>
    <x v="1"/>
    <x v="2"/>
    <x v="3"/>
    <x v="0"/>
    <n v="592383"/>
    <x v="1"/>
  </r>
  <r>
    <n v="457"/>
    <n v="3482"/>
    <x v="2"/>
    <n v="5"/>
    <n v="4"/>
    <x v="2"/>
    <n v="2011"/>
    <x v="3"/>
    <x v="1"/>
    <x v="3"/>
    <x v="1"/>
    <n v="173554"/>
    <x v="0"/>
  </r>
  <r>
    <n v="458"/>
    <n v="3794"/>
    <x v="2"/>
    <n v="3"/>
    <n v="1"/>
    <x v="1"/>
    <n v="2017"/>
    <x v="3"/>
    <x v="2"/>
    <x v="0"/>
    <x v="1"/>
    <n v="444655"/>
    <x v="1"/>
  </r>
  <r>
    <n v="459"/>
    <n v="1656"/>
    <x v="0"/>
    <n v="1"/>
    <n v="3"/>
    <x v="1"/>
    <n v="1914"/>
    <x v="1"/>
    <x v="3"/>
    <x v="3"/>
    <x v="1"/>
    <n v="962046"/>
    <x v="3"/>
  </r>
  <r>
    <n v="460"/>
    <n v="1232"/>
    <x v="0"/>
    <n v="5"/>
    <n v="3"/>
    <x v="0"/>
    <n v="1959"/>
    <x v="0"/>
    <x v="1"/>
    <x v="0"/>
    <x v="1"/>
    <n v="809277"/>
    <x v="3"/>
  </r>
  <r>
    <n v="461"/>
    <n v="4830"/>
    <x v="1"/>
    <n v="5"/>
    <n v="1"/>
    <x v="1"/>
    <n v="1994"/>
    <x v="2"/>
    <x v="2"/>
    <x v="2"/>
    <x v="1"/>
    <n v="528766"/>
    <x v="1"/>
  </r>
  <r>
    <n v="462"/>
    <n v="1453"/>
    <x v="0"/>
    <n v="4"/>
    <n v="3"/>
    <x v="2"/>
    <n v="1941"/>
    <x v="1"/>
    <x v="1"/>
    <x v="0"/>
    <x v="1"/>
    <n v="972879"/>
    <x v="3"/>
  </r>
  <r>
    <n v="463"/>
    <n v="3039"/>
    <x v="2"/>
    <n v="4"/>
    <n v="1"/>
    <x v="2"/>
    <n v="2004"/>
    <x v="3"/>
    <x v="1"/>
    <x v="1"/>
    <x v="1"/>
    <n v="663311"/>
    <x v="3"/>
  </r>
  <r>
    <n v="464"/>
    <n v="3824"/>
    <x v="2"/>
    <n v="4"/>
    <n v="2"/>
    <x v="1"/>
    <n v="1942"/>
    <x v="1"/>
    <x v="0"/>
    <x v="1"/>
    <x v="1"/>
    <n v="681469"/>
    <x v="3"/>
  </r>
  <r>
    <n v="465"/>
    <n v="3801"/>
    <x v="2"/>
    <n v="1"/>
    <n v="4"/>
    <x v="1"/>
    <n v="1979"/>
    <x v="2"/>
    <x v="0"/>
    <x v="0"/>
    <x v="0"/>
    <n v="272310"/>
    <x v="2"/>
  </r>
  <r>
    <n v="466"/>
    <n v="2042"/>
    <x v="0"/>
    <n v="1"/>
    <n v="1"/>
    <x v="1"/>
    <n v="1973"/>
    <x v="0"/>
    <x v="1"/>
    <x v="1"/>
    <x v="0"/>
    <n v="857032"/>
    <x v="3"/>
  </r>
  <r>
    <n v="467"/>
    <n v="1691"/>
    <x v="0"/>
    <n v="3"/>
    <n v="3"/>
    <x v="0"/>
    <n v="1948"/>
    <x v="1"/>
    <x v="2"/>
    <x v="2"/>
    <x v="0"/>
    <n v="838898"/>
    <x v="3"/>
  </r>
  <r>
    <n v="468"/>
    <n v="3493"/>
    <x v="2"/>
    <n v="4"/>
    <n v="1"/>
    <x v="2"/>
    <n v="1963"/>
    <x v="0"/>
    <x v="2"/>
    <x v="1"/>
    <x v="1"/>
    <n v="830637"/>
    <x v="3"/>
  </r>
  <r>
    <n v="469"/>
    <n v="3181"/>
    <x v="2"/>
    <n v="5"/>
    <n v="3"/>
    <x v="0"/>
    <n v="1931"/>
    <x v="1"/>
    <x v="2"/>
    <x v="0"/>
    <x v="1"/>
    <n v="549344"/>
    <x v="1"/>
  </r>
  <r>
    <n v="470"/>
    <n v="1717"/>
    <x v="0"/>
    <n v="2"/>
    <n v="2"/>
    <x v="0"/>
    <n v="1963"/>
    <x v="0"/>
    <x v="3"/>
    <x v="2"/>
    <x v="1"/>
    <n v="750457"/>
    <x v="3"/>
  </r>
  <r>
    <n v="471"/>
    <n v="2040"/>
    <x v="0"/>
    <n v="3"/>
    <n v="1"/>
    <x v="2"/>
    <n v="2014"/>
    <x v="3"/>
    <x v="1"/>
    <x v="1"/>
    <x v="0"/>
    <n v="946366"/>
    <x v="3"/>
  </r>
  <r>
    <n v="472"/>
    <n v="3736"/>
    <x v="2"/>
    <n v="1"/>
    <n v="2"/>
    <x v="2"/>
    <n v="1901"/>
    <x v="1"/>
    <x v="1"/>
    <x v="2"/>
    <x v="1"/>
    <n v="627564"/>
    <x v="3"/>
  </r>
  <r>
    <n v="473"/>
    <n v="2886"/>
    <x v="2"/>
    <n v="3"/>
    <n v="4"/>
    <x v="1"/>
    <n v="1923"/>
    <x v="1"/>
    <x v="3"/>
    <x v="0"/>
    <x v="1"/>
    <n v="493333"/>
    <x v="1"/>
  </r>
  <r>
    <n v="474"/>
    <n v="4219"/>
    <x v="1"/>
    <n v="3"/>
    <n v="3"/>
    <x v="1"/>
    <n v="1986"/>
    <x v="2"/>
    <x v="1"/>
    <x v="1"/>
    <x v="1"/>
    <n v="490187"/>
    <x v="1"/>
  </r>
  <r>
    <n v="475"/>
    <n v="1888"/>
    <x v="0"/>
    <n v="3"/>
    <n v="3"/>
    <x v="0"/>
    <n v="1965"/>
    <x v="0"/>
    <x v="1"/>
    <x v="2"/>
    <x v="0"/>
    <n v="319072"/>
    <x v="2"/>
  </r>
  <r>
    <n v="476"/>
    <n v="2356"/>
    <x v="0"/>
    <n v="3"/>
    <n v="2"/>
    <x v="1"/>
    <n v="1937"/>
    <x v="1"/>
    <x v="3"/>
    <x v="2"/>
    <x v="0"/>
    <n v="891741"/>
    <x v="3"/>
  </r>
  <r>
    <n v="477"/>
    <n v="1865"/>
    <x v="0"/>
    <n v="2"/>
    <n v="4"/>
    <x v="1"/>
    <n v="1930"/>
    <x v="1"/>
    <x v="0"/>
    <x v="1"/>
    <x v="1"/>
    <n v="255719"/>
    <x v="2"/>
  </r>
  <r>
    <n v="478"/>
    <n v="999"/>
    <x v="3"/>
    <n v="4"/>
    <n v="1"/>
    <x v="2"/>
    <n v="2014"/>
    <x v="3"/>
    <x v="1"/>
    <x v="2"/>
    <x v="0"/>
    <n v="746248"/>
    <x v="3"/>
  </r>
  <r>
    <n v="479"/>
    <n v="2180"/>
    <x v="0"/>
    <n v="5"/>
    <n v="1"/>
    <x v="2"/>
    <n v="2003"/>
    <x v="3"/>
    <x v="3"/>
    <x v="2"/>
    <x v="1"/>
    <n v="800385"/>
    <x v="3"/>
  </r>
  <r>
    <n v="480"/>
    <n v="1010"/>
    <x v="0"/>
    <n v="3"/>
    <n v="3"/>
    <x v="1"/>
    <n v="1925"/>
    <x v="1"/>
    <x v="2"/>
    <x v="0"/>
    <x v="1"/>
    <n v="749192"/>
    <x v="3"/>
  </r>
  <r>
    <n v="481"/>
    <n v="4812"/>
    <x v="1"/>
    <n v="3"/>
    <n v="2"/>
    <x v="2"/>
    <n v="1928"/>
    <x v="1"/>
    <x v="0"/>
    <x v="0"/>
    <x v="0"/>
    <n v="166196"/>
    <x v="0"/>
  </r>
  <r>
    <n v="482"/>
    <n v="1824"/>
    <x v="0"/>
    <n v="3"/>
    <n v="2"/>
    <x v="1"/>
    <n v="1966"/>
    <x v="0"/>
    <x v="2"/>
    <x v="0"/>
    <x v="0"/>
    <n v="59404"/>
    <x v="0"/>
  </r>
  <r>
    <n v="483"/>
    <n v="1655"/>
    <x v="0"/>
    <n v="4"/>
    <n v="1"/>
    <x v="2"/>
    <n v="2021"/>
    <x v="3"/>
    <x v="1"/>
    <x v="0"/>
    <x v="0"/>
    <n v="476855"/>
    <x v="1"/>
  </r>
  <r>
    <n v="484"/>
    <n v="2327"/>
    <x v="0"/>
    <n v="1"/>
    <n v="4"/>
    <x v="2"/>
    <n v="1977"/>
    <x v="2"/>
    <x v="0"/>
    <x v="0"/>
    <x v="0"/>
    <n v="783478"/>
    <x v="3"/>
  </r>
  <r>
    <n v="485"/>
    <n v="3641"/>
    <x v="2"/>
    <n v="1"/>
    <n v="4"/>
    <x v="2"/>
    <n v="1924"/>
    <x v="1"/>
    <x v="3"/>
    <x v="0"/>
    <x v="1"/>
    <n v="503814"/>
    <x v="1"/>
  </r>
  <r>
    <n v="486"/>
    <n v="3986"/>
    <x v="2"/>
    <n v="2"/>
    <n v="1"/>
    <x v="2"/>
    <n v="1947"/>
    <x v="1"/>
    <x v="1"/>
    <x v="1"/>
    <x v="1"/>
    <n v="687475"/>
    <x v="3"/>
  </r>
  <r>
    <n v="487"/>
    <n v="2310"/>
    <x v="0"/>
    <n v="1"/>
    <n v="1"/>
    <x v="1"/>
    <n v="1964"/>
    <x v="0"/>
    <x v="3"/>
    <x v="0"/>
    <x v="0"/>
    <n v="946881"/>
    <x v="3"/>
  </r>
  <r>
    <n v="488"/>
    <n v="3423"/>
    <x v="2"/>
    <n v="3"/>
    <n v="2"/>
    <x v="0"/>
    <n v="1952"/>
    <x v="0"/>
    <x v="0"/>
    <x v="2"/>
    <x v="0"/>
    <n v="601972"/>
    <x v="3"/>
  </r>
  <r>
    <n v="489"/>
    <n v="2714"/>
    <x v="2"/>
    <n v="3"/>
    <n v="4"/>
    <x v="2"/>
    <n v="1966"/>
    <x v="0"/>
    <x v="2"/>
    <x v="1"/>
    <x v="1"/>
    <n v="642879"/>
    <x v="3"/>
  </r>
  <r>
    <n v="490"/>
    <n v="4686"/>
    <x v="1"/>
    <n v="3"/>
    <n v="1"/>
    <x v="1"/>
    <n v="2017"/>
    <x v="3"/>
    <x v="1"/>
    <x v="2"/>
    <x v="1"/>
    <n v="431965"/>
    <x v="1"/>
  </r>
  <r>
    <n v="491"/>
    <n v="1213"/>
    <x v="0"/>
    <n v="2"/>
    <n v="1"/>
    <x v="1"/>
    <n v="1989"/>
    <x v="2"/>
    <x v="1"/>
    <x v="0"/>
    <x v="1"/>
    <n v="783082"/>
    <x v="3"/>
  </r>
  <r>
    <n v="492"/>
    <n v="4102"/>
    <x v="1"/>
    <n v="3"/>
    <n v="3"/>
    <x v="2"/>
    <n v="1917"/>
    <x v="1"/>
    <x v="3"/>
    <x v="0"/>
    <x v="1"/>
    <n v="314826"/>
    <x v="2"/>
  </r>
  <r>
    <n v="493"/>
    <n v="4634"/>
    <x v="1"/>
    <n v="1"/>
    <n v="1"/>
    <x v="0"/>
    <n v="1908"/>
    <x v="1"/>
    <x v="0"/>
    <x v="2"/>
    <x v="0"/>
    <n v="161186"/>
    <x v="0"/>
  </r>
  <r>
    <n v="494"/>
    <n v="4022"/>
    <x v="1"/>
    <n v="4"/>
    <n v="1"/>
    <x v="2"/>
    <n v="1937"/>
    <x v="1"/>
    <x v="3"/>
    <x v="2"/>
    <x v="0"/>
    <n v="817469"/>
    <x v="3"/>
  </r>
  <r>
    <n v="495"/>
    <n v="4768"/>
    <x v="1"/>
    <n v="4"/>
    <n v="4"/>
    <x v="1"/>
    <n v="1986"/>
    <x v="2"/>
    <x v="0"/>
    <x v="2"/>
    <x v="0"/>
    <n v="596120"/>
    <x v="1"/>
  </r>
  <r>
    <n v="496"/>
    <n v="1743"/>
    <x v="0"/>
    <n v="5"/>
    <n v="2"/>
    <x v="0"/>
    <n v="1920"/>
    <x v="1"/>
    <x v="1"/>
    <x v="3"/>
    <x v="1"/>
    <n v="591285"/>
    <x v="1"/>
  </r>
  <r>
    <n v="497"/>
    <n v="4209"/>
    <x v="1"/>
    <n v="1"/>
    <n v="4"/>
    <x v="1"/>
    <n v="2020"/>
    <x v="3"/>
    <x v="0"/>
    <x v="3"/>
    <x v="1"/>
    <n v="346784"/>
    <x v="2"/>
  </r>
  <r>
    <n v="498"/>
    <n v="1581"/>
    <x v="0"/>
    <n v="3"/>
    <n v="2"/>
    <x v="2"/>
    <n v="1964"/>
    <x v="0"/>
    <x v="1"/>
    <x v="3"/>
    <x v="0"/>
    <n v="520098"/>
    <x v="1"/>
  </r>
  <r>
    <n v="499"/>
    <n v="955"/>
    <x v="3"/>
    <n v="4"/>
    <n v="3"/>
    <x v="0"/>
    <n v="1920"/>
    <x v="1"/>
    <x v="0"/>
    <x v="3"/>
    <x v="0"/>
    <n v="90491"/>
    <x v="0"/>
  </r>
  <r>
    <n v="500"/>
    <n v="1394"/>
    <x v="0"/>
    <n v="1"/>
    <n v="1"/>
    <x v="1"/>
    <n v="1926"/>
    <x v="1"/>
    <x v="2"/>
    <x v="1"/>
    <x v="0"/>
    <n v="113043"/>
    <x v="0"/>
  </r>
  <r>
    <n v="501"/>
    <n v="1884"/>
    <x v="0"/>
    <n v="4"/>
    <n v="3"/>
    <x v="1"/>
    <n v="2005"/>
    <x v="3"/>
    <x v="0"/>
    <x v="0"/>
    <x v="1"/>
    <n v="948607"/>
    <x v="3"/>
  </r>
  <r>
    <n v="502"/>
    <n v="2458"/>
    <x v="0"/>
    <n v="3"/>
    <n v="2"/>
    <x v="1"/>
    <n v="2022"/>
    <x v="3"/>
    <x v="2"/>
    <x v="2"/>
    <x v="0"/>
    <n v="178568"/>
    <x v="0"/>
  </r>
  <r>
    <n v="503"/>
    <n v="3572"/>
    <x v="2"/>
    <n v="4"/>
    <n v="4"/>
    <x v="2"/>
    <n v="1969"/>
    <x v="0"/>
    <x v="0"/>
    <x v="0"/>
    <x v="1"/>
    <n v="426394"/>
    <x v="1"/>
  </r>
  <r>
    <n v="504"/>
    <n v="2496"/>
    <x v="0"/>
    <n v="5"/>
    <n v="4"/>
    <x v="0"/>
    <n v="2018"/>
    <x v="3"/>
    <x v="0"/>
    <x v="2"/>
    <x v="0"/>
    <n v="647013"/>
    <x v="3"/>
  </r>
  <r>
    <n v="505"/>
    <n v="4785"/>
    <x v="1"/>
    <n v="5"/>
    <n v="3"/>
    <x v="2"/>
    <n v="1943"/>
    <x v="1"/>
    <x v="3"/>
    <x v="0"/>
    <x v="0"/>
    <n v="178131"/>
    <x v="0"/>
  </r>
  <r>
    <n v="506"/>
    <n v="1004"/>
    <x v="0"/>
    <n v="4"/>
    <n v="2"/>
    <x v="2"/>
    <n v="1999"/>
    <x v="2"/>
    <x v="3"/>
    <x v="1"/>
    <x v="0"/>
    <n v="95520"/>
    <x v="0"/>
  </r>
  <r>
    <n v="507"/>
    <n v="1714"/>
    <x v="0"/>
    <n v="1"/>
    <n v="3"/>
    <x v="2"/>
    <n v="1927"/>
    <x v="1"/>
    <x v="1"/>
    <x v="3"/>
    <x v="1"/>
    <n v="375063"/>
    <x v="2"/>
  </r>
  <r>
    <n v="508"/>
    <n v="2031"/>
    <x v="0"/>
    <n v="1"/>
    <n v="3"/>
    <x v="0"/>
    <n v="1944"/>
    <x v="1"/>
    <x v="3"/>
    <x v="0"/>
    <x v="1"/>
    <n v="684157"/>
    <x v="3"/>
  </r>
  <r>
    <n v="509"/>
    <n v="3940"/>
    <x v="2"/>
    <n v="1"/>
    <n v="1"/>
    <x v="2"/>
    <n v="1916"/>
    <x v="1"/>
    <x v="0"/>
    <x v="2"/>
    <x v="1"/>
    <n v="638730"/>
    <x v="3"/>
  </r>
  <r>
    <n v="510"/>
    <n v="1323"/>
    <x v="0"/>
    <n v="4"/>
    <n v="3"/>
    <x v="2"/>
    <n v="2022"/>
    <x v="3"/>
    <x v="3"/>
    <x v="0"/>
    <x v="1"/>
    <n v="835313"/>
    <x v="3"/>
  </r>
  <r>
    <n v="511"/>
    <n v="1428"/>
    <x v="0"/>
    <n v="1"/>
    <n v="1"/>
    <x v="2"/>
    <n v="1939"/>
    <x v="1"/>
    <x v="0"/>
    <x v="1"/>
    <x v="1"/>
    <n v="202842"/>
    <x v="2"/>
  </r>
  <r>
    <n v="512"/>
    <n v="633"/>
    <x v="3"/>
    <n v="3"/>
    <n v="1"/>
    <x v="2"/>
    <n v="2021"/>
    <x v="3"/>
    <x v="2"/>
    <x v="1"/>
    <x v="1"/>
    <n v="417390"/>
    <x v="1"/>
  </r>
  <r>
    <n v="513"/>
    <n v="2605"/>
    <x v="2"/>
    <n v="5"/>
    <n v="4"/>
    <x v="1"/>
    <n v="2015"/>
    <x v="3"/>
    <x v="0"/>
    <x v="0"/>
    <x v="0"/>
    <n v="752858"/>
    <x v="3"/>
  </r>
  <r>
    <n v="514"/>
    <n v="4127"/>
    <x v="1"/>
    <n v="3"/>
    <n v="1"/>
    <x v="2"/>
    <n v="1902"/>
    <x v="1"/>
    <x v="1"/>
    <x v="3"/>
    <x v="1"/>
    <n v="421831"/>
    <x v="1"/>
  </r>
  <r>
    <n v="515"/>
    <n v="2352"/>
    <x v="0"/>
    <n v="1"/>
    <n v="1"/>
    <x v="1"/>
    <n v="1975"/>
    <x v="0"/>
    <x v="2"/>
    <x v="2"/>
    <x v="0"/>
    <n v="572485"/>
    <x v="1"/>
  </r>
  <r>
    <n v="516"/>
    <n v="4675"/>
    <x v="1"/>
    <n v="3"/>
    <n v="4"/>
    <x v="2"/>
    <n v="2002"/>
    <x v="3"/>
    <x v="1"/>
    <x v="1"/>
    <x v="1"/>
    <n v="697735"/>
    <x v="3"/>
  </r>
  <r>
    <n v="517"/>
    <n v="3433"/>
    <x v="2"/>
    <n v="1"/>
    <n v="3"/>
    <x v="0"/>
    <n v="1975"/>
    <x v="0"/>
    <x v="1"/>
    <x v="1"/>
    <x v="0"/>
    <n v="635765"/>
    <x v="3"/>
  </r>
  <r>
    <n v="518"/>
    <n v="3784"/>
    <x v="2"/>
    <n v="4"/>
    <n v="2"/>
    <x v="1"/>
    <n v="1965"/>
    <x v="0"/>
    <x v="1"/>
    <x v="0"/>
    <x v="0"/>
    <n v="574532"/>
    <x v="1"/>
  </r>
  <r>
    <n v="519"/>
    <n v="4798"/>
    <x v="1"/>
    <n v="3"/>
    <n v="2"/>
    <x v="1"/>
    <n v="2019"/>
    <x v="3"/>
    <x v="3"/>
    <x v="1"/>
    <x v="1"/>
    <n v="915885"/>
    <x v="3"/>
  </r>
  <r>
    <n v="520"/>
    <n v="3311"/>
    <x v="2"/>
    <n v="4"/>
    <n v="2"/>
    <x v="1"/>
    <n v="1945"/>
    <x v="1"/>
    <x v="1"/>
    <x v="1"/>
    <x v="0"/>
    <n v="500953"/>
    <x v="1"/>
  </r>
  <r>
    <n v="521"/>
    <n v="1750"/>
    <x v="0"/>
    <n v="4"/>
    <n v="3"/>
    <x v="1"/>
    <n v="1985"/>
    <x v="2"/>
    <x v="2"/>
    <x v="2"/>
    <x v="1"/>
    <n v="227561"/>
    <x v="2"/>
  </r>
  <r>
    <n v="522"/>
    <n v="4012"/>
    <x v="1"/>
    <n v="2"/>
    <n v="1"/>
    <x v="0"/>
    <n v="1986"/>
    <x v="2"/>
    <x v="0"/>
    <x v="3"/>
    <x v="1"/>
    <n v="964394"/>
    <x v="3"/>
  </r>
  <r>
    <n v="523"/>
    <n v="1756"/>
    <x v="0"/>
    <n v="1"/>
    <n v="2"/>
    <x v="2"/>
    <n v="1929"/>
    <x v="1"/>
    <x v="1"/>
    <x v="2"/>
    <x v="1"/>
    <n v="907735"/>
    <x v="3"/>
  </r>
  <r>
    <n v="524"/>
    <n v="3876"/>
    <x v="2"/>
    <n v="5"/>
    <n v="3"/>
    <x v="1"/>
    <n v="1968"/>
    <x v="0"/>
    <x v="2"/>
    <x v="3"/>
    <x v="1"/>
    <n v="340534"/>
    <x v="2"/>
  </r>
  <r>
    <n v="525"/>
    <n v="3986"/>
    <x v="2"/>
    <n v="1"/>
    <n v="1"/>
    <x v="0"/>
    <n v="1908"/>
    <x v="1"/>
    <x v="1"/>
    <x v="2"/>
    <x v="0"/>
    <n v="584535"/>
    <x v="1"/>
  </r>
  <r>
    <n v="526"/>
    <n v="4084"/>
    <x v="1"/>
    <n v="5"/>
    <n v="4"/>
    <x v="1"/>
    <n v="1984"/>
    <x v="2"/>
    <x v="0"/>
    <x v="0"/>
    <x v="1"/>
    <n v="250123"/>
    <x v="2"/>
  </r>
  <r>
    <n v="527"/>
    <n v="1896"/>
    <x v="0"/>
    <n v="1"/>
    <n v="2"/>
    <x v="2"/>
    <n v="1910"/>
    <x v="1"/>
    <x v="2"/>
    <x v="1"/>
    <x v="0"/>
    <n v="765079"/>
    <x v="3"/>
  </r>
  <r>
    <n v="528"/>
    <n v="4137"/>
    <x v="1"/>
    <n v="4"/>
    <n v="1"/>
    <x v="1"/>
    <n v="1968"/>
    <x v="0"/>
    <x v="2"/>
    <x v="3"/>
    <x v="0"/>
    <n v="477894"/>
    <x v="1"/>
  </r>
  <r>
    <n v="529"/>
    <n v="3830"/>
    <x v="2"/>
    <n v="3"/>
    <n v="2"/>
    <x v="0"/>
    <n v="1998"/>
    <x v="2"/>
    <x v="0"/>
    <x v="0"/>
    <x v="0"/>
    <n v="531018"/>
    <x v="1"/>
  </r>
  <r>
    <n v="530"/>
    <n v="3203"/>
    <x v="2"/>
    <n v="3"/>
    <n v="2"/>
    <x v="2"/>
    <n v="1990"/>
    <x v="2"/>
    <x v="2"/>
    <x v="1"/>
    <x v="1"/>
    <n v="257358"/>
    <x v="2"/>
  </r>
  <r>
    <n v="531"/>
    <n v="970"/>
    <x v="3"/>
    <n v="2"/>
    <n v="2"/>
    <x v="0"/>
    <n v="2012"/>
    <x v="3"/>
    <x v="0"/>
    <x v="1"/>
    <x v="0"/>
    <n v="866015"/>
    <x v="3"/>
  </r>
  <r>
    <n v="532"/>
    <n v="1853"/>
    <x v="0"/>
    <n v="5"/>
    <n v="1"/>
    <x v="2"/>
    <n v="1965"/>
    <x v="0"/>
    <x v="2"/>
    <x v="1"/>
    <x v="1"/>
    <n v="566456"/>
    <x v="1"/>
  </r>
  <r>
    <n v="533"/>
    <n v="3283"/>
    <x v="2"/>
    <n v="5"/>
    <n v="3"/>
    <x v="2"/>
    <n v="1987"/>
    <x v="2"/>
    <x v="2"/>
    <x v="2"/>
    <x v="0"/>
    <n v="189148"/>
    <x v="0"/>
  </r>
  <r>
    <n v="534"/>
    <n v="3331"/>
    <x v="2"/>
    <n v="5"/>
    <n v="1"/>
    <x v="2"/>
    <n v="1930"/>
    <x v="1"/>
    <x v="0"/>
    <x v="0"/>
    <x v="1"/>
    <n v="985510"/>
    <x v="3"/>
  </r>
  <r>
    <n v="535"/>
    <n v="857"/>
    <x v="3"/>
    <n v="4"/>
    <n v="2"/>
    <x v="1"/>
    <n v="1932"/>
    <x v="1"/>
    <x v="0"/>
    <x v="0"/>
    <x v="1"/>
    <n v="196123"/>
    <x v="0"/>
  </r>
  <r>
    <n v="536"/>
    <n v="3519"/>
    <x v="2"/>
    <n v="5"/>
    <n v="1"/>
    <x v="0"/>
    <n v="1938"/>
    <x v="1"/>
    <x v="2"/>
    <x v="1"/>
    <x v="1"/>
    <n v="447530"/>
    <x v="1"/>
  </r>
  <r>
    <n v="537"/>
    <n v="1167"/>
    <x v="0"/>
    <n v="3"/>
    <n v="4"/>
    <x v="0"/>
    <n v="1993"/>
    <x v="2"/>
    <x v="2"/>
    <x v="3"/>
    <x v="1"/>
    <n v="602958"/>
    <x v="3"/>
  </r>
  <r>
    <n v="538"/>
    <n v="4968"/>
    <x v="1"/>
    <n v="4"/>
    <n v="3"/>
    <x v="0"/>
    <n v="1945"/>
    <x v="1"/>
    <x v="0"/>
    <x v="0"/>
    <x v="0"/>
    <n v="543973"/>
    <x v="1"/>
  </r>
  <r>
    <n v="539"/>
    <n v="1645"/>
    <x v="0"/>
    <n v="1"/>
    <n v="1"/>
    <x v="2"/>
    <n v="1936"/>
    <x v="1"/>
    <x v="3"/>
    <x v="2"/>
    <x v="0"/>
    <n v="961352"/>
    <x v="3"/>
  </r>
  <r>
    <n v="540"/>
    <n v="4685"/>
    <x v="1"/>
    <n v="5"/>
    <n v="4"/>
    <x v="1"/>
    <n v="2014"/>
    <x v="3"/>
    <x v="0"/>
    <x v="3"/>
    <x v="1"/>
    <n v="60236"/>
    <x v="0"/>
  </r>
  <r>
    <n v="541"/>
    <n v="4219"/>
    <x v="1"/>
    <n v="5"/>
    <n v="3"/>
    <x v="2"/>
    <n v="1991"/>
    <x v="2"/>
    <x v="2"/>
    <x v="3"/>
    <x v="0"/>
    <n v="85568"/>
    <x v="0"/>
  </r>
  <r>
    <n v="542"/>
    <n v="3245"/>
    <x v="2"/>
    <n v="1"/>
    <n v="4"/>
    <x v="0"/>
    <n v="1959"/>
    <x v="0"/>
    <x v="2"/>
    <x v="3"/>
    <x v="1"/>
    <n v="681615"/>
    <x v="3"/>
  </r>
  <r>
    <n v="543"/>
    <n v="1039"/>
    <x v="0"/>
    <n v="5"/>
    <n v="3"/>
    <x v="1"/>
    <n v="1930"/>
    <x v="1"/>
    <x v="2"/>
    <x v="3"/>
    <x v="1"/>
    <n v="305745"/>
    <x v="2"/>
  </r>
  <r>
    <n v="544"/>
    <n v="3279"/>
    <x v="2"/>
    <n v="1"/>
    <n v="1"/>
    <x v="1"/>
    <n v="1910"/>
    <x v="1"/>
    <x v="0"/>
    <x v="0"/>
    <x v="0"/>
    <n v="422332"/>
    <x v="1"/>
  </r>
  <r>
    <n v="545"/>
    <n v="4636"/>
    <x v="1"/>
    <n v="4"/>
    <n v="4"/>
    <x v="1"/>
    <n v="1986"/>
    <x v="2"/>
    <x v="2"/>
    <x v="1"/>
    <x v="1"/>
    <n v="535119"/>
    <x v="1"/>
  </r>
  <r>
    <n v="546"/>
    <n v="4275"/>
    <x v="1"/>
    <n v="3"/>
    <n v="2"/>
    <x v="0"/>
    <n v="2020"/>
    <x v="3"/>
    <x v="3"/>
    <x v="3"/>
    <x v="1"/>
    <n v="328496"/>
    <x v="2"/>
  </r>
  <r>
    <n v="547"/>
    <n v="3008"/>
    <x v="2"/>
    <n v="1"/>
    <n v="4"/>
    <x v="1"/>
    <n v="1901"/>
    <x v="1"/>
    <x v="1"/>
    <x v="2"/>
    <x v="1"/>
    <n v="700009"/>
    <x v="3"/>
  </r>
  <r>
    <n v="548"/>
    <n v="3279"/>
    <x v="2"/>
    <n v="2"/>
    <n v="3"/>
    <x v="1"/>
    <n v="2003"/>
    <x v="3"/>
    <x v="3"/>
    <x v="2"/>
    <x v="1"/>
    <n v="309291"/>
    <x v="2"/>
  </r>
  <r>
    <n v="549"/>
    <n v="1424"/>
    <x v="0"/>
    <n v="1"/>
    <n v="1"/>
    <x v="2"/>
    <n v="2004"/>
    <x v="3"/>
    <x v="0"/>
    <x v="1"/>
    <x v="1"/>
    <n v="488866"/>
    <x v="1"/>
  </r>
  <r>
    <n v="550"/>
    <n v="3456"/>
    <x v="2"/>
    <n v="5"/>
    <n v="3"/>
    <x v="2"/>
    <n v="1926"/>
    <x v="1"/>
    <x v="2"/>
    <x v="0"/>
    <x v="0"/>
    <n v="453562"/>
    <x v="1"/>
  </r>
  <r>
    <n v="551"/>
    <n v="2081"/>
    <x v="0"/>
    <n v="4"/>
    <n v="4"/>
    <x v="1"/>
    <n v="1998"/>
    <x v="2"/>
    <x v="0"/>
    <x v="1"/>
    <x v="0"/>
    <n v="730516"/>
    <x v="3"/>
  </r>
  <r>
    <n v="552"/>
    <n v="3824"/>
    <x v="2"/>
    <n v="4"/>
    <n v="4"/>
    <x v="1"/>
    <n v="1901"/>
    <x v="1"/>
    <x v="1"/>
    <x v="3"/>
    <x v="0"/>
    <n v="105904"/>
    <x v="0"/>
  </r>
  <r>
    <n v="553"/>
    <n v="4985"/>
    <x v="1"/>
    <n v="1"/>
    <n v="2"/>
    <x v="2"/>
    <n v="2002"/>
    <x v="3"/>
    <x v="0"/>
    <x v="0"/>
    <x v="1"/>
    <n v="981539"/>
    <x v="3"/>
  </r>
  <r>
    <n v="554"/>
    <n v="755"/>
    <x v="3"/>
    <n v="3"/>
    <n v="1"/>
    <x v="2"/>
    <n v="2000"/>
    <x v="2"/>
    <x v="2"/>
    <x v="0"/>
    <x v="1"/>
    <n v="958573"/>
    <x v="3"/>
  </r>
  <r>
    <n v="555"/>
    <n v="2338"/>
    <x v="0"/>
    <n v="2"/>
    <n v="1"/>
    <x v="2"/>
    <n v="1920"/>
    <x v="1"/>
    <x v="1"/>
    <x v="3"/>
    <x v="1"/>
    <n v="328252"/>
    <x v="2"/>
  </r>
  <r>
    <n v="556"/>
    <n v="2444"/>
    <x v="0"/>
    <n v="4"/>
    <n v="4"/>
    <x v="0"/>
    <n v="1957"/>
    <x v="0"/>
    <x v="1"/>
    <x v="2"/>
    <x v="1"/>
    <n v="572247"/>
    <x v="1"/>
  </r>
  <r>
    <n v="557"/>
    <n v="509"/>
    <x v="3"/>
    <n v="5"/>
    <n v="1"/>
    <x v="0"/>
    <n v="1904"/>
    <x v="1"/>
    <x v="2"/>
    <x v="3"/>
    <x v="1"/>
    <n v="839285"/>
    <x v="3"/>
  </r>
  <r>
    <n v="558"/>
    <n v="3371"/>
    <x v="2"/>
    <n v="5"/>
    <n v="2"/>
    <x v="2"/>
    <n v="1951"/>
    <x v="0"/>
    <x v="2"/>
    <x v="1"/>
    <x v="1"/>
    <n v="396300"/>
    <x v="2"/>
  </r>
  <r>
    <n v="559"/>
    <n v="1297"/>
    <x v="0"/>
    <n v="3"/>
    <n v="3"/>
    <x v="1"/>
    <n v="1944"/>
    <x v="1"/>
    <x v="2"/>
    <x v="3"/>
    <x v="0"/>
    <n v="316320"/>
    <x v="2"/>
  </r>
  <r>
    <n v="560"/>
    <n v="1515"/>
    <x v="0"/>
    <n v="4"/>
    <n v="1"/>
    <x v="2"/>
    <n v="1984"/>
    <x v="2"/>
    <x v="0"/>
    <x v="2"/>
    <x v="1"/>
    <n v="674747"/>
    <x v="3"/>
  </r>
  <r>
    <n v="561"/>
    <n v="2324"/>
    <x v="0"/>
    <n v="1"/>
    <n v="4"/>
    <x v="0"/>
    <n v="1992"/>
    <x v="2"/>
    <x v="3"/>
    <x v="3"/>
    <x v="0"/>
    <n v="469136"/>
    <x v="1"/>
  </r>
  <r>
    <n v="562"/>
    <n v="4969"/>
    <x v="1"/>
    <n v="5"/>
    <n v="3"/>
    <x v="1"/>
    <n v="1919"/>
    <x v="1"/>
    <x v="0"/>
    <x v="1"/>
    <x v="1"/>
    <n v="235922"/>
    <x v="2"/>
  </r>
  <r>
    <n v="563"/>
    <n v="3636"/>
    <x v="2"/>
    <n v="3"/>
    <n v="3"/>
    <x v="0"/>
    <n v="1960"/>
    <x v="0"/>
    <x v="0"/>
    <x v="1"/>
    <x v="0"/>
    <n v="187901"/>
    <x v="0"/>
  </r>
  <r>
    <n v="564"/>
    <n v="2693"/>
    <x v="2"/>
    <n v="4"/>
    <n v="2"/>
    <x v="1"/>
    <n v="1937"/>
    <x v="1"/>
    <x v="3"/>
    <x v="2"/>
    <x v="1"/>
    <n v="173225"/>
    <x v="0"/>
  </r>
  <r>
    <n v="565"/>
    <n v="723"/>
    <x v="3"/>
    <n v="4"/>
    <n v="4"/>
    <x v="0"/>
    <n v="1919"/>
    <x v="1"/>
    <x v="2"/>
    <x v="1"/>
    <x v="0"/>
    <n v="543406"/>
    <x v="1"/>
  </r>
  <r>
    <n v="566"/>
    <n v="4658"/>
    <x v="1"/>
    <n v="4"/>
    <n v="1"/>
    <x v="1"/>
    <n v="2013"/>
    <x v="3"/>
    <x v="2"/>
    <x v="1"/>
    <x v="0"/>
    <n v="810135"/>
    <x v="3"/>
  </r>
  <r>
    <n v="567"/>
    <n v="4425"/>
    <x v="1"/>
    <n v="4"/>
    <n v="4"/>
    <x v="1"/>
    <n v="1924"/>
    <x v="1"/>
    <x v="3"/>
    <x v="3"/>
    <x v="1"/>
    <n v="271738"/>
    <x v="2"/>
  </r>
  <r>
    <n v="568"/>
    <n v="4500"/>
    <x v="1"/>
    <n v="4"/>
    <n v="3"/>
    <x v="1"/>
    <n v="1901"/>
    <x v="1"/>
    <x v="3"/>
    <x v="0"/>
    <x v="1"/>
    <n v="954890"/>
    <x v="3"/>
  </r>
  <r>
    <n v="569"/>
    <n v="2133"/>
    <x v="0"/>
    <n v="5"/>
    <n v="4"/>
    <x v="1"/>
    <n v="2020"/>
    <x v="3"/>
    <x v="0"/>
    <x v="1"/>
    <x v="0"/>
    <n v="685181"/>
    <x v="3"/>
  </r>
  <r>
    <n v="570"/>
    <n v="2652"/>
    <x v="2"/>
    <n v="3"/>
    <n v="1"/>
    <x v="0"/>
    <n v="1931"/>
    <x v="1"/>
    <x v="1"/>
    <x v="1"/>
    <x v="1"/>
    <n v="910359"/>
    <x v="3"/>
  </r>
  <r>
    <n v="571"/>
    <n v="1010"/>
    <x v="0"/>
    <n v="4"/>
    <n v="1"/>
    <x v="0"/>
    <n v="1925"/>
    <x v="1"/>
    <x v="3"/>
    <x v="2"/>
    <x v="1"/>
    <n v="528076"/>
    <x v="1"/>
  </r>
  <r>
    <n v="572"/>
    <n v="884"/>
    <x v="3"/>
    <n v="2"/>
    <n v="2"/>
    <x v="1"/>
    <n v="1969"/>
    <x v="0"/>
    <x v="0"/>
    <x v="2"/>
    <x v="1"/>
    <n v="954610"/>
    <x v="3"/>
  </r>
  <r>
    <n v="573"/>
    <n v="904"/>
    <x v="3"/>
    <n v="2"/>
    <n v="1"/>
    <x v="1"/>
    <n v="1940"/>
    <x v="1"/>
    <x v="1"/>
    <x v="3"/>
    <x v="0"/>
    <n v="292726"/>
    <x v="2"/>
  </r>
  <r>
    <n v="574"/>
    <n v="2500"/>
    <x v="0"/>
    <n v="3"/>
    <n v="1"/>
    <x v="0"/>
    <n v="2020"/>
    <x v="3"/>
    <x v="2"/>
    <x v="3"/>
    <x v="1"/>
    <n v="352811"/>
    <x v="2"/>
  </r>
  <r>
    <n v="575"/>
    <n v="3256"/>
    <x v="2"/>
    <n v="1"/>
    <n v="4"/>
    <x v="1"/>
    <n v="1966"/>
    <x v="0"/>
    <x v="2"/>
    <x v="1"/>
    <x v="0"/>
    <n v="771202"/>
    <x v="3"/>
  </r>
  <r>
    <n v="576"/>
    <n v="2168"/>
    <x v="0"/>
    <n v="1"/>
    <n v="4"/>
    <x v="1"/>
    <n v="1996"/>
    <x v="2"/>
    <x v="0"/>
    <x v="0"/>
    <x v="0"/>
    <n v="479059"/>
    <x v="1"/>
  </r>
  <r>
    <n v="577"/>
    <n v="1960"/>
    <x v="0"/>
    <n v="1"/>
    <n v="3"/>
    <x v="1"/>
    <n v="1900"/>
    <x v="1"/>
    <x v="0"/>
    <x v="0"/>
    <x v="1"/>
    <n v="756168"/>
    <x v="3"/>
  </r>
  <r>
    <n v="578"/>
    <n v="4136"/>
    <x v="1"/>
    <n v="2"/>
    <n v="2"/>
    <x v="2"/>
    <n v="1950"/>
    <x v="1"/>
    <x v="3"/>
    <x v="3"/>
    <x v="0"/>
    <n v="473759"/>
    <x v="1"/>
  </r>
  <r>
    <n v="579"/>
    <n v="3224"/>
    <x v="2"/>
    <n v="1"/>
    <n v="4"/>
    <x v="1"/>
    <n v="1904"/>
    <x v="1"/>
    <x v="2"/>
    <x v="2"/>
    <x v="1"/>
    <n v="515996"/>
    <x v="1"/>
  </r>
  <r>
    <n v="580"/>
    <n v="4678"/>
    <x v="1"/>
    <n v="5"/>
    <n v="1"/>
    <x v="2"/>
    <n v="1912"/>
    <x v="1"/>
    <x v="0"/>
    <x v="1"/>
    <x v="1"/>
    <n v="56611"/>
    <x v="0"/>
  </r>
  <r>
    <n v="581"/>
    <n v="2548"/>
    <x v="2"/>
    <n v="4"/>
    <n v="3"/>
    <x v="1"/>
    <n v="1918"/>
    <x v="1"/>
    <x v="2"/>
    <x v="1"/>
    <x v="0"/>
    <n v="400386"/>
    <x v="1"/>
  </r>
  <r>
    <n v="582"/>
    <n v="4646"/>
    <x v="1"/>
    <n v="2"/>
    <n v="4"/>
    <x v="0"/>
    <n v="1911"/>
    <x v="1"/>
    <x v="2"/>
    <x v="0"/>
    <x v="0"/>
    <n v="921044"/>
    <x v="3"/>
  </r>
  <r>
    <n v="583"/>
    <n v="1216"/>
    <x v="0"/>
    <n v="3"/>
    <n v="2"/>
    <x v="2"/>
    <n v="1947"/>
    <x v="1"/>
    <x v="3"/>
    <x v="3"/>
    <x v="0"/>
    <n v="883334"/>
    <x v="3"/>
  </r>
  <r>
    <n v="584"/>
    <n v="2323"/>
    <x v="0"/>
    <n v="3"/>
    <n v="2"/>
    <x v="2"/>
    <n v="1924"/>
    <x v="1"/>
    <x v="1"/>
    <x v="0"/>
    <x v="0"/>
    <n v="821812"/>
    <x v="3"/>
  </r>
  <r>
    <n v="585"/>
    <n v="2581"/>
    <x v="2"/>
    <n v="4"/>
    <n v="3"/>
    <x v="1"/>
    <n v="1956"/>
    <x v="0"/>
    <x v="3"/>
    <x v="0"/>
    <x v="0"/>
    <n v="345187"/>
    <x v="2"/>
  </r>
  <r>
    <n v="586"/>
    <n v="3919"/>
    <x v="2"/>
    <n v="2"/>
    <n v="3"/>
    <x v="1"/>
    <n v="2014"/>
    <x v="3"/>
    <x v="0"/>
    <x v="3"/>
    <x v="1"/>
    <n v="186343"/>
    <x v="0"/>
  </r>
  <r>
    <n v="587"/>
    <n v="2074"/>
    <x v="0"/>
    <n v="1"/>
    <n v="3"/>
    <x v="2"/>
    <n v="1934"/>
    <x v="1"/>
    <x v="3"/>
    <x v="2"/>
    <x v="0"/>
    <n v="909299"/>
    <x v="3"/>
  </r>
  <r>
    <n v="588"/>
    <n v="749"/>
    <x v="3"/>
    <n v="1"/>
    <n v="3"/>
    <x v="0"/>
    <n v="1975"/>
    <x v="0"/>
    <x v="3"/>
    <x v="1"/>
    <x v="1"/>
    <n v="389233"/>
    <x v="2"/>
  </r>
  <r>
    <n v="589"/>
    <n v="1173"/>
    <x v="0"/>
    <n v="5"/>
    <n v="3"/>
    <x v="0"/>
    <n v="1993"/>
    <x v="2"/>
    <x v="2"/>
    <x v="2"/>
    <x v="1"/>
    <n v="895177"/>
    <x v="3"/>
  </r>
  <r>
    <n v="590"/>
    <n v="2665"/>
    <x v="2"/>
    <n v="5"/>
    <n v="1"/>
    <x v="1"/>
    <n v="1904"/>
    <x v="1"/>
    <x v="3"/>
    <x v="3"/>
    <x v="0"/>
    <n v="540092"/>
    <x v="1"/>
  </r>
  <r>
    <n v="591"/>
    <n v="1270"/>
    <x v="0"/>
    <n v="1"/>
    <n v="1"/>
    <x v="0"/>
    <n v="1997"/>
    <x v="2"/>
    <x v="0"/>
    <x v="3"/>
    <x v="0"/>
    <n v="240191"/>
    <x v="2"/>
  </r>
  <r>
    <n v="592"/>
    <n v="4462"/>
    <x v="1"/>
    <n v="3"/>
    <n v="4"/>
    <x v="0"/>
    <n v="1921"/>
    <x v="1"/>
    <x v="1"/>
    <x v="1"/>
    <x v="0"/>
    <n v="716933"/>
    <x v="3"/>
  </r>
  <r>
    <n v="593"/>
    <n v="4863"/>
    <x v="1"/>
    <n v="3"/>
    <n v="2"/>
    <x v="1"/>
    <n v="2002"/>
    <x v="3"/>
    <x v="3"/>
    <x v="2"/>
    <x v="0"/>
    <n v="726769"/>
    <x v="3"/>
  </r>
  <r>
    <n v="594"/>
    <n v="2484"/>
    <x v="0"/>
    <n v="5"/>
    <n v="1"/>
    <x v="0"/>
    <n v="1976"/>
    <x v="2"/>
    <x v="3"/>
    <x v="1"/>
    <x v="0"/>
    <n v="922402"/>
    <x v="3"/>
  </r>
  <r>
    <n v="595"/>
    <n v="1577"/>
    <x v="0"/>
    <n v="4"/>
    <n v="1"/>
    <x v="1"/>
    <n v="1956"/>
    <x v="0"/>
    <x v="1"/>
    <x v="0"/>
    <x v="1"/>
    <n v="336608"/>
    <x v="2"/>
  </r>
  <r>
    <n v="596"/>
    <n v="735"/>
    <x v="3"/>
    <n v="1"/>
    <n v="1"/>
    <x v="2"/>
    <n v="1946"/>
    <x v="1"/>
    <x v="0"/>
    <x v="0"/>
    <x v="1"/>
    <n v="299220"/>
    <x v="2"/>
  </r>
  <r>
    <n v="597"/>
    <n v="888"/>
    <x v="3"/>
    <n v="5"/>
    <n v="4"/>
    <x v="1"/>
    <n v="1953"/>
    <x v="0"/>
    <x v="0"/>
    <x v="0"/>
    <x v="1"/>
    <n v="486056"/>
    <x v="1"/>
  </r>
  <r>
    <n v="598"/>
    <n v="3537"/>
    <x v="2"/>
    <n v="5"/>
    <n v="3"/>
    <x v="2"/>
    <n v="1902"/>
    <x v="1"/>
    <x v="3"/>
    <x v="2"/>
    <x v="0"/>
    <n v="692811"/>
    <x v="3"/>
  </r>
  <r>
    <n v="599"/>
    <n v="2348"/>
    <x v="0"/>
    <n v="1"/>
    <n v="4"/>
    <x v="2"/>
    <n v="2023"/>
    <x v="3"/>
    <x v="2"/>
    <x v="0"/>
    <x v="0"/>
    <n v="594950"/>
    <x v="1"/>
  </r>
  <r>
    <n v="600"/>
    <n v="3314"/>
    <x v="2"/>
    <n v="1"/>
    <n v="2"/>
    <x v="0"/>
    <n v="1952"/>
    <x v="0"/>
    <x v="3"/>
    <x v="1"/>
    <x v="1"/>
    <n v="854660"/>
    <x v="3"/>
  </r>
  <r>
    <n v="601"/>
    <n v="3874"/>
    <x v="2"/>
    <n v="3"/>
    <n v="2"/>
    <x v="0"/>
    <n v="1983"/>
    <x v="2"/>
    <x v="1"/>
    <x v="2"/>
    <x v="0"/>
    <n v="635009"/>
    <x v="3"/>
  </r>
  <r>
    <n v="602"/>
    <n v="3778"/>
    <x v="2"/>
    <n v="4"/>
    <n v="2"/>
    <x v="0"/>
    <n v="1930"/>
    <x v="1"/>
    <x v="1"/>
    <x v="1"/>
    <x v="0"/>
    <n v="712746"/>
    <x v="3"/>
  </r>
  <r>
    <n v="603"/>
    <n v="1752"/>
    <x v="0"/>
    <n v="4"/>
    <n v="2"/>
    <x v="1"/>
    <n v="1968"/>
    <x v="0"/>
    <x v="1"/>
    <x v="3"/>
    <x v="0"/>
    <n v="843294"/>
    <x v="3"/>
  </r>
  <r>
    <n v="604"/>
    <n v="4481"/>
    <x v="1"/>
    <n v="1"/>
    <n v="1"/>
    <x v="0"/>
    <n v="1987"/>
    <x v="2"/>
    <x v="3"/>
    <x v="2"/>
    <x v="1"/>
    <n v="614396"/>
    <x v="3"/>
  </r>
  <r>
    <n v="605"/>
    <n v="2622"/>
    <x v="2"/>
    <n v="2"/>
    <n v="1"/>
    <x v="2"/>
    <n v="2003"/>
    <x v="3"/>
    <x v="3"/>
    <x v="1"/>
    <x v="0"/>
    <n v="141788"/>
    <x v="0"/>
  </r>
  <r>
    <n v="606"/>
    <n v="2650"/>
    <x v="2"/>
    <n v="5"/>
    <n v="4"/>
    <x v="0"/>
    <n v="2017"/>
    <x v="3"/>
    <x v="0"/>
    <x v="1"/>
    <x v="1"/>
    <n v="518239"/>
    <x v="1"/>
  </r>
  <r>
    <n v="607"/>
    <n v="1829"/>
    <x v="0"/>
    <n v="5"/>
    <n v="3"/>
    <x v="0"/>
    <n v="1932"/>
    <x v="1"/>
    <x v="2"/>
    <x v="2"/>
    <x v="0"/>
    <n v="294437"/>
    <x v="2"/>
  </r>
  <r>
    <n v="608"/>
    <n v="1858"/>
    <x v="0"/>
    <n v="1"/>
    <n v="2"/>
    <x v="1"/>
    <n v="1971"/>
    <x v="0"/>
    <x v="3"/>
    <x v="3"/>
    <x v="0"/>
    <n v="811299"/>
    <x v="3"/>
  </r>
  <r>
    <n v="609"/>
    <n v="2982"/>
    <x v="2"/>
    <n v="2"/>
    <n v="4"/>
    <x v="1"/>
    <n v="1987"/>
    <x v="2"/>
    <x v="0"/>
    <x v="2"/>
    <x v="1"/>
    <n v="916572"/>
    <x v="3"/>
  </r>
  <r>
    <n v="610"/>
    <n v="2517"/>
    <x v="2"/>
    <n v="3"/>
    <n v="1"/>
    <x v="2"/>
    <n v="1949"/>
    <x v="1"/>
    <x v="3"/>
    <x v="0"/>
    <x v="0"/>
    <n v="732561"/>
    <x v="3"/>
  </r>
  <r>
    <n v="611"/>
    <n v="1831"/>
    <x v="0"/>
    <n v="1"/>
    <n v="1"/>
    <x v="1"/>
    <n v="1983"/>
    <x v="2"/>
    <x v="0"/>
    <x v="0"/>
    <x v="0"/>
    <n v="905010"/>
    <x v="3"/>
  </r>
  <r>
    <n v="612"/>
    <n v="4844"/>
    <x v="1"/>
    <n v="1"/>
    <n v="3"/>
    <x v="0"/>
    <n v="2023"/>
    <x v="3"/>
    <x v="0"/>
    <x v="3"/>
    <x v="0"/>
    <n v="99966"/>
    <x v="0"/>
  </r>
  <r>
    <n v="613"/>
    <n v="4761"/>
    <x v="1"/>
    <n v="5"/>
    <n v="3"/>
    <x v="1"/>
    <n v="1915"/>
    <x v="1"/>
    <x v="2"/>
    <x v="1"/>
    <x v="1"/>
    <n v="235846"/>
    <x v="2"/>
  </r>
  <r>
    <n v="614"/>
    <n v="1858"/>
    <x v="0"/>
    <n v="1"/>
    <n v="3"/>
    <x v="2"/>
    <n v="2013"/>
    <x v="3"/>
    <x v="3"/>
    <x v="1"/>
    <x v="0"/>
    <n v="322530"/>
    <x v="2"/>
  </r>
  <r>
    <n v="615"/>
    <n v="3677"/>
    <x v="2"/>
    <n v="1"/>
    <n v="4"/>
    <x v="0"/>
    <n v="2015"/>
    <x v="3"/>
    <x v="0"/>
    <x v="1"/>
    <x v="0"/>
    <n v="651516"/>
    <x v="3"/>
  </r>
  <r>
    <n v="616"/>
    <n v="2628"/>
    <x v="2"/>
    <n v="1"/>
    <n v="1"/>
    <x v="2"/>
    <n v="1975"/>
    <x v="0"/>
    <x v="1"/>
    <x v="2"/>
    <x v="0"/>
    <n v="196297"/>
    <x v="0"/>
  </r>
  <r>
    <n v="617"/>
    <n v="2680"/>
    <x v="2"/>
    <n v="5"/>
    <n v="1"/>
    <x v="1"/>
    <n v="1976"/>
    <x v="2"/>
    <x v="1"/>
    <x v="2"/>
    <x v="0"/>
    <n v="459909"/>
    <x v="1"/>
  </r>
  <r>
    <n v="618"/>
    <n v="637"/>
    <x v="3"/>
    <n v="3"/>
    <n v="3"/>
    <x v="1"/>
    <n v="2008"/>
    <x v="3"/>
    <x v="1"/>
    <x v="3"/>
    <x v="0"/>
    <n v="384341"/>
    <x v="2"/>
  </r>
  <r>
    <n v="619"/>
    <n v="3972"/>
    <x v="2"/>
    <n v="3"/>
    <n v="2"/>
    <x v="2"/>
    <n v="2005"/>
    <x v="3"/>
    <x v="2"/>
    <x v="0"/>
    <x v="1"/>
    <n v="93021"/>
    <x v="0"/>
  </r>
  <r>
    <n v="620"/>
    <n v="3332"/>
    <x v="2"/>
    <n v="1"/>
    <n v="3"/>
    <x v="0"/>
    <n v="1938"/>
    <x v="1"/>
    <x v="0"/>
    <x v="1"/>
    <x v="1"/>
    <n v="431059"/>
    <x v="1"/>
  </r>
  <r>
    <n v="621"/>
    <n v="4079"/>
    <x v="1"/>
    <n v="5"/>
    <n v="4"/>
    <x v="1"/>
    <n v="1988"/>
    <x v="2"/>
    <x v="2"/>
    <x v="0"/>
    <x v="0"/>
    <n v="199333"/>
    <x v="0"/>
  </r>
  <r>
    <n v="622"/>
    <n v="3531"/>
    <x v="2"/>
    <n v="3"/>
    <n v="3"/>
    <x v="1"/>
    <n v="1945"/>
    <x v="1"/>
    <x v="3"/>
    <x v="2"/>
    <x v="0"/>
    <n v="470594"/>
    <x v="1"/>
  </r>
  <r>
    <n v="623"/>
    <n v="4664"/>
    <x v="1"/>
    <n v="3"/>
    <n v="3"/>
    <x v="0"/>
    <n v="1995"/>
    <x v="2"/>
    <x v="3"/>
    <x v="2"/>
    <x v="1"/>
    <n v="953606"/>
    <x v="3"/>
  </r>
  <r>
    <n v="624"/>
    <n v="3093"/>
    <x v="2"/>
    <n v="3"/>
    <n v="4"/>
    <x v="1"/>
    <n v="1987"/>
    <x v="2"/>
    <x v="0"/>
    <x v="2"/>
    <x v="0"/>
    <n v="826934"/>
    <x v="3"/>
  </r>
  <r>
    <n v="625"/>
    <n v="4800"/>
    <x v="1"/>
    <n v="5"/>
    <n v="3"/>
    <x v="2"/>
    <n v="2011"/>
    <x v="3"/>
    <x v="1"/>
    <x v="0"/>
    <x v="0"/>
    <n v="136755"/>
    <x v="0"/>
  </r>
  <r>
    <n v="626"/>
    <n v="4318"/>
    <x v="1"/>
    <n v="5"/>
    <n v="1"/>
    <x v="1"/>
    <n v="1946"/>
    <x v="1"/>
    <x v="0"/>
    <x v="3"/>
    <x v="0"/>
    <n v="979441"/>
    <x v="3"/>
  </r>
  <r>
    <n v="627"/>
    <n v="4638"/>
    <x v="1"/>
    <n v="1"/>
    <n v="2"/>
    <x v="1"/>
    <n v="1943"/>
    <x v="1"/>
    <x v="0"/>
    <x v="3"/>
    <x v="0"/>
    <n v="116330"/>
    <x v="0"/>
  </r>
  <r>
    <n v="628"/>
    <n v="4323"/>
    <x v="1"/>
    <n v="4"/>
    <n v="3"/>
    <x v="0"/>
    <n v="1908"/>
    <x v="1"/>
    <x v="0"/>
    <x v="2"/>
    <x v="0"/>
    <n v="752726"/>
    <x v="3"/>
  </r>
  <r>
    <n v="629"/>
    <n v="4542"/>
    <x v="1"/>
    <n v="3"/>
    <n v="4"/>
    <x v="2"/>
    <n v="2003"/>
    <x v="3"/>
    <x v="2"/>
    <x v="1"/>
    <x v="0"/>
    <n v="908754"/>
    <x v="3"/>
  </r>
  <r>
    <n v="630"/>
    <n v="2406"/>
    <x v="0"/>
    <n v="4"/>
    <n v="2"/>
    <x v="0"/>
    <n v="2013"/>
    <x v="3"/>
    <x v="3"/>
    <x v="0"/>
    <x v="0"/>
    <n v="938750"/>
    <x v="3"/>
  </r>
  <r>
    <n v="631"/>
    <n v="1260"/>
    <x v="0"/>
    <n v="5"/>
    <n v="4"/>
    <x v="1"/>
    <n v="1986"/>
    <x v="2"/>
    <x v="0"/>
    <x v="2"/>
    <x v="0"/>
    <n v="619601"/>
    <x v="3"/>
  </r>
  <r>
    <n v="632"/>
    <n v="3945"/>
    <x v="2"/>
    <n v="5"/>
    <n v="2"/>
    <x v="1"/>
    <n v="1949"/>
    <x v="1"/>
    <x v="0"/>
    <x v="0"/>
    <x v="1"/>
    <n v="284729"/>
    <x v="2"/>
  </r>
  <r>
    <n v="633"/>
    <n v="1399"/>
    <x v="0"/>
    <n v="5"/>
    <n v="2"/>
    <x v="0"/>
    <n v="1976"/>
    <x v="2"/>
    <x v="0"/>
    <x v="0"/>
    <x v="1"/>
    <n v="807071"/>
    <x v="3"/>
  </r>
  <r>
    <n v="634"/>
    <n v="4955"/>
    <x v="1"/>
    <n v="4"/>
    <n v="3"/>
    <x v="0"/>
    <n v="1959"/>
    <x v="0"/>
    <x v="2"/>
    <x v="3"/>
    <x v="0"/>
    <n v="339176"/>
    <x v="2"/>
  </r>
  <r>
    <n v="635"/>
    <n v="3447"/>
    <x v="2"/>
    <n v="5"/>
    <n v="1"/>
    <x v="0"/>
    <n v="2022"/>
    <x v="3"/>
    <x v="2"/>
    <x v="2"/>
    <x v="0"/>
    <n v="535179"/>
    <x v="1"/>
  </r>
  <r>
    <n v="636"/>
    <n v="2219"/>
    <x v="0"/>
    <n v="1"/>
    <n v="3"/>
    <x v="2"/>
    <n v="1995"/>
    <x v="2"/>
    <x v="2"/>
    <x v="3"/>
    <x v="0"/>
    <n v="198430"/>
    <x v="0"/>
  </r>
  <r>
    <n v="637"/>
    <n v="780"/>
    <x v="3"/>
    <n v="5"/>
    <n v="4"/>
    <x v="1"/>
    <n v="2013"/>
    <x v="3"/>
    <x v="0"/>
    <x v="2"/>
    <x v="0"/>
    <n v="898142"/>
    <x v="3"/>
  </r>
  <r>
    <n v="638"/>
    <n v="3766"/>
    <x v="2"/>
    <n v="2"/>
    <n v="4"/>
    <x v="0"/>
    <n v="1914"/>
    <x v="1"/>
    <x v="1"/>
    <x v="0"/>
    <x v="1"/>
    <n v="407470"/>
    <x v="1"/>
  </r>
  <r>
    <n v="639"/>
    <n v="2387"/>
    <x v="0"/>
    <n v="4"/>
    <n v="2"/>
    <x v="1"/>
    <n v="1935"/>
    <x v="1"/>
    <x v="1"/>
    <x v="3"/>
    <x v="1"/>
    <n v="398301"/>
    <x v="2"/>
  </r>
  <r>
    <n v="640"/>
    <n v="3766"/>
    <x v="2"/>
    <n v="2"/>
    <n v="2"/>
    <x v="2"/>
    <n v="2012"/>
    <x v="3"/>
    <x v="1"/>
    <x v="0"/>
    <x v="1"/>
    <n v="492037"/>
    <x v="1"/>
  </r>
  <r>
    <n v="641"/>
    <n v="1166"/>
    <x v="0"/>
    <n v="5"/>
    <n v="1"/>
    <x v="2"/>
    <n v="1962"/>
    <x v="0"/>
    <x v="3"/>
    <x v="2"/>
    <x v="1"/>
    <n v="78365"/>
    <x v="0"/>
  </r>
  <r>
    <n v="642"/>
    <n v="4688"/>
    <x v="1"/>
    <n v="1"/>
    <n v="3"/>
    <x v="2"/>
    <n v="1968"/>
    <x v="0"/>
    <x v="0"/>
    <x v="1"/>
    <x v="0"/>
    <n v="325333"/>
    <x v="2"/>
  </r>
  <r>
    <n v="643"/>
    <n v="1171"/>
    <x v="0"/>
    <n v="3"/>
    <n v="4"/>
    <x v="2"/>
    <n v="1985"/>
    <x v="2"/>
    <x v="1"/>
    <x v="3"/>
    <x v="0"/>
    <n v="519965"/>
    <x v="1"/>
  </r>
  <r>
    <n v="644"/>
    <n v="2469"/>
    <x v="0"/>
    <n v="5"/>
    <n v="2"/>
    <x v="1"/>
    <n v="1979"/>
    <x v="2"/>
    <x v="1"/>
    <x v="3"/>
    <x v="0"/>
    <n v="581536"/>
    <x v="1"/>
  </r>
  <r>
    <n v="645"/>
    <n v="4656"/>
    <x v="1"/>
    <n v="1"/>
    <n v="1"/>
    <x v="2"/>
    <n v="1940"/>
    <x v="1"/>
    <x v="1"/>
    <x v="0"/>
    <x v="1"/>
    <n v="54369"/>
    <x v="0"/>
  </r>
  <r>
    <n v="646"/>
    <n v="3622"/>
    <x v="2"/>
    <n v="4"/>
    <n v="4"/>
    <x v="2"/>
    <n v="1973"/>
    <x v="0"/>
    <x v="0"/>
    <x v="0"/>
    <x v="0"/>
    <n v="506979"/>
    <x v="1"/>
  </r>
  <r>
    <n v="647"/>
    <n v="4400"/>
    <x v="1"/>
    <n v="2"/>
    <n v="2"/>
    <x v="0"/>
    <n v="1923"/>
    <x v="1"/>
    <x v="1"/>
    <x v="1"/>
    <x v="0"/>
    <n v="975554"/>
    <x v="3"/>
  </r>
  <r>
    <n v="648"/>
    <n v="1023"/>
    <x v="0"/>
    <n v="2"/>
    <n v="4"/>
    <x v="2"/>
    <n v="1981"/>
    <x v="2"/>
    <x v="1"/>
    <x v="3"/>
    <x v="1"/>
    <n v="865037"/>
    <x v="3"/>
  </r>
  <r>
    <n v="649"/>
    <n v="2893"/>
    <x v="2"/>
    <n v="2"/>
    <n v="1"/>
    <x v="0"/>
    <n v="1948"/>
    <x v="1"/>
    <x v="0"/>
    <x v="2"/>
    <x v="1"/>
    <n v="886048"/>
    <x v="3"/>
  </r>
  <r>
    <n v="650"/>
    <n v="3617"/>
    <x v="2"/>
    <n v="4"/>
    <n v="1"/>
    <x v="2"/>
    <n v="1917"/>
    <x v="1"/>
    <x v="3"/>
    <x v="2"/>
    <x v="1"/>
    <n v="497695"/>
    <x v="1"/>
  </r>
  <r>
    <n v="651"/>
    <n v="3093"/>
    <x v="2"/>
    <n v="1"/>
    <n v="4"/>
    <x v="2"/>
    <n v="1906"/>
    <x v="1"/>
    <x v="2"/>
    <x v="3"/>
    <x v="1"/>
    <n v="415863"/>
    <x v="1"/>
  </r>
  <r>
    <n v="652"/>
    <n v="2468"/>
    <x v="0"/>
    <n v="4"/>
    <n v="3"/>
    <x v="0"/>
    <n v="1903"/>
    <x v="1"/>
    <x v="1"/>
    <x v="3"/>
    <x v="1"/>
    <n v="221955"/>
    <x v="2"/>
  </r>
  <r>
    <n v="653"/>
    <n v="2253"/>
    <x v="0"/>
    <n v="2"/>
    <n v="4"/>
    <x v="2"/>
    <n v="1989"/>
    <x v="2"/>
    <x v="2"/>
    <x v="3"/>
    <x v="0"/>
    <n v="607343"/>
    <x v="3"/>
  </r>
  <r>
    <n v="654"/>
    <n v="2796"/>
    <x v="2"/>
    <n v="5"/>
    <n v="2"/>
    <x v="1"/>
    <n v="1968"/>
    <x v="0"/>
    <x v="3"/>
    <x v="1"/>
    <x v="0"/>
    <n v="774091"/>
    <x v="3"/>
  </r>
  <r>
    <n v="655"/>
    <n v="2761"/>
    <x v="2"/>
    <n v="3"/>
    <n v="3"/>
    <x v="1"/>
    <n v="1959"/>
    <x v="0"/>
    <x v="3"/>
    <x v="2"/>
    <x v="1"/>
    <n v="428824"/>
    <x v="1"/>
  </r>
  <r>
    <n v="656"/>
    <n v="2786"/>
    <x v="2"/>
    <n v="4"/>
    <n v="2"/>
    <x v="2"/>
    <n v="1954"/>
    <x v="0"/>
    <x v="1"/>
    <x v="2"/>
    <x v="0"/>
    <n v="319594"/>
    <x v="2"/>
  </r>
  <r>
    <n v="657"/>
    <n v="4702"/>
    <x v="1"/>
    <n v="4"/>
    <n v="4"/>
    <x v="1"/>
    <n v="1915"/>
    <x v="1"/>
    <x v="0"/>
    <x v="0"/>
    <x v="0"/>
    <n v="183997"/>
    <x v="0"/>
  </r>
  <r>
    <n v="658"/>
    <n v="3378"/>
    <x v="2"/>
    <n v="1"/>
    <n v="3"/>
    <x v="0"/>
    <n v="1998"/>
    <x v="2"/>
    <x v="3"/>
    <x v="0"/>
    <x v="0"/>
    <n v="523267"/>
    <x v="1"/>
  </r>
  <r>
    <n v="659"/>
    <n v="4643"/>
    <x v="1"/>
    <n v="1"/>
    <n v="2"/>
    <x v="2"/>
    <n v="1989"/>
    <x v="2"/>
    <x v="2"/>
    <x v="3"/>
    <x v="0"/>
    <n v="100272"/>
    <x v="0"/>
  </r>
  <r>
    <n v="660"/>
    <n v="4144"/>
    <x v="1"/>
    <n v="4"/>
    <n v="4"/>
    <x v="2"/>
    <n v="1981"/>
    <x v="2"/>
    <x v="2"/>
    <x v="0"/>
    <x v="1"/>
    <n v="55310"/>
    <x v="0"/>
  </r>
  <r>
    <n v="661"/>
    <n v="4932"/>
    <x v="1"/>
    <n v="2"/>
    <n v="4"/>
    <x v="0"/>
    <n v="1928"/>
    <x v="1"/>
    <x v="2"/>
    <x v="1"/>
    <x v="0"/>
    <n v="81817"/>
    <x v="0"/>
  </r>
  <r>
    <n v="662"/>
    <n v="2555"/>
    <x v="2"/>
    <n v="3"/>
    <n v="3"/>
    <x v="0"/>
    <n v="1922"/>
    <x v="1"/>
    <x v="2"/>
    <x v="2"/>
    <x v="0"/>
    <n v="558350"/>
    <x v="1"/>
  </r>
  <r>
    <n v="663"/>
    <n v="1776"/>
    <x v="0"/>
    <n v="1"/>
    <n v="4"/>
    <x v="0"/>
    <n v="2016"/>
    <x v="3"/>
    <x v="3"/>
    <x v="2"/>
    <x v="0"/>
    <n v="536160"/>
    <x v="1"/>
  </r>
  <r>
    <n v="664"/>
    <n v="3266"/>
    <x v="2"/>
    <n v="2"/>
    <n v="1"/>
    <x v="2"/>
    <n v="1913"/>
    <x v="1"/>
    <x v="1"/>
    <x v="0"/>
    <x v="1"/>
    <n v="487744"/>
    <x v="1"/>
  </r>
  <r>
    <n v="665"/>
    <n v="802"/>
    <x v="3"/>
    <n v="5"/>
    <n v="2"/>
    <x v="0"/>
    <n v="1978"/>
    <x v="2"/>
    <x v="1"/>
    <x v="3"/>
    <x v="0"/>
    <n v="790176"/>
    <x v="3"/>
  </r>
  <r>
    <n v="666"/>
    <n v="1138"/>
    <x v="0"/>
    <n v="1"/>
    <n v="2"/>
    <x v="0"/>
    <n v="1948"/>
    <x v="1"/>
    <x v="2"/>
    <x v="0"/>
    <x v="1"/>
    <n v="132641"/>
    <x v="0"/>
  </r>
  <r>
    <n v="667"/>
    <n v="555"/>
    <x v="3"/>
    <n v="2"/>
    <n v="4"/>
    <x v="1"/>
    <n v="1932"/>
    <x v="1"/>
    <x v="1"/>
    <x v="3"/>
    <x v="1"/>
    <n v="789443"/>
    <x v="3"/>
  </r>
  <r>
    <n v="668"/>
    <n v="1025"/>
    <x v="0"/>
    <n v="2"/>
    <n v="4"/>
    <x v="1"/>
    <n v="1924"/>
    <x v="1"/>
    <x v="2"/>
    <x v="1"/>
    <x v="1"/>
    <n v="781670"/>
    <x v="3"/>
  </r>
  <r>
    <n v="669"/>
    <n v="4623"/>
    <x v="1"/>
    <n v="3"/>
    <n v="1"/>
    <x v="2"/>
    <n v="1920"/>
    <x v="1"/>
    <x v="2"/>
    <x v="2"/>
    <x v="1"/>
    <n v="589745"/>
    <x v="1"/>
  </r>
  <r>
    <n v="670"/>
    <n v="2625"/>
    <x v="2"/>
    <n v="3"/>
    <n v="3"/>
    <x v="1"/>
    <n v="1916"/>
    <x v="1"/>
    <x v="0"/>
    <x v="1"/>
    <x v="0"/>
    <n v="92311"/>
    <x v="0"/>
  </r>
  <r>
    <n v="671"/>
    <n v="3787"/>
    <x v="2"/>
    <n v="5"/>
    <n v="4"/>
    <x v="1"/>
    <n v="1922"/>
    <x v="1"/>
    <x v="3"/>
    <x v="2"/>
    <x v="1"/>
    <n v="971484"/>
    <x v="3"/>
  </r>
  <r>
    <n v="672"/>
    <n v="864"/>
    <x v="3"/>
    <n v="2"/>
    <n v="4"/>
    <x v="0"/>
    <n v="1956"/>
    <x v="0"/>
    <x v="3"/>
    <x v="1"/>
    <x v="1"/>
    <n v="201958"/>
    <x v="2"/>
  </r>
  <r>
    <n v="673"/>
    <n v="2146"/>
    <x v="0"/>
    <n v="2"/>
    <n v="4"/>
    <x v="0"/>
    <n v="2006"/>
    <x v="3"/>
    <x v="2"/>
    <x v="0"/>
    <x v="1"/>
    <n v="520328"/>
    <x v="1"/>
  </r>
  <r>
    <n v="674"/>
    <n v="1418"/>
    <x v="0"/>
    <n v="3"/>
    <n v="4"/>
    <x v="1"/>
    <n v="1980"/>
    <x v="2"/>
    <x v="3"/>
    <x v="1"/>
    <x v="1"/>
    <n v="494093"/>
    <x v="1"/>
  </r>
  <r>
    <n v="675"/>
    <n v="3297"/>
    <x v="2"/>
    <n v="1"/>
    <n v="2"/>
    <x v="1"/>
    <n v="1957"/>
    <x v="0"/>
    <x v="1"/>
    <x v="1"/>
    <x v="1"/>
    <n v="697861"/>
    <x v="3"/>
  </r>
  <r>
    <n v="676"/>
    <n v="2031"/>
    <x v="0"/>
    <n v="1"/>
    <n v="4"/>
    <x v="1"/>
    <n v="1913"/>
    <x v="1"/>
    <x v="2"/>
    <x v="0"/>
    <x v="0"/>
    <n v="409571"/>
    <x v="1"/>
  </r>
  <r>
    <n v="677"/>
    <n v="3845"/>
    <x v="2"/>
    <n v="4"/>
    <n v="2"/>
    <x v="2"/>
    <n v="1992"/>
    <x v="2"/>
    <x v="0"/>
    <x v="2"/>
    <x v="1"/>
    <n v="872613"/>
    <x v="3"/>
  </r>
  <r>
    <n v="678"/>
    <n v="2406"/>
    <x v="0"/>
    <n v="3"/>
    <n v="4"/>
    <x v="2"/>
    <n v="1919"/>
    <x v="1"/>
    <x v="1"/>
    <x v="2"/>
    <x v="0"/>
    <n v="214334"/>
    <x v="2"/>
  </r>
  <r>
    <n v="679"/>
    <n v="3586"/>
    <x v="2"/>
    <n v="4"/>
    <n v="3"/>
    <x v="2"/>
    <n v="1929"/>
    <x v="1"/>
    <x v="0"/>
    <x v="0"/>
    <x v="0"/>
    <n v="968451"/>
    <x v="3"/>
  </r>
  <r>
    <n v="680"/>
    <n v="2575"/>
    <x v="2"/>
    <n v="3"/>
    <n v="1"/>
    <x v="1"/>
    <n v="1918"/>
    <x v="1"/>
    <x v="0"/>
    <x v="1"/>
    <x v="1"/>
    <n v="443238"/>
    <x v="1"/>
  </r>
  <r>
    <n v="681"/>
    <n v="1213"/>
    <x v="0"/>
    <n v="5"/>
    <n v="3"/>
    <x v="1"/>
    <n v="1952"/>
    <x v="0"/>
    <x v="3"/>
    <x v="1"/>
    <x v="0"/>
    <n v="837560"/>
    <x v="3"/>
  </r>
  <r>
    <n v="682"/>
    <n v="1562"/>
    <x v="0"/>
    <n v="2"/>
    <n v="4"/>
    <x v="2"/>
    <n v="2002"/>
    <x v="3"/>
    <x v="3"/>
    <x v="1"/>
    <x v="0"/>
    <n v="653810"/>
    <x v="3"/>
  </r>
  <r>
    <n v="683"/>
    <n v="2476"/>
    <x v="0"/>
    <n v="5"/>
    <n v="4"/>
    <x v="2"/>
    <n v="1955"/>
    <x v="0"/>
    <x v="2"/>
    <x v="3"/>
    <x v="0"/>
    <n v="213394"/>
    <x v="2"/>
  </r>
  <r>
    <n v="684"/>
    <n v="1796"/>
    <x v="0"/>
    <n v="3"/>
    <n v="4"/>
    <x v="1"/>
    <n v="1976"/>
    <x v="2"/>
    <x v="3"/>
    <x v="2"/>
    <x v="1"/>
    <n v="98929"/>
    <x v="0"/>
  </r>
  <r>
    <n v="685"/>
    <n v="625"/>
    <x v="3"/>
    <n v="2"/>
    <n v="3"/>
    <x v="0"/>
    <n v="1981"/>
    <x v="2"/>
    <x v="0"/>
    <x v="1"/>
    <x v="1"/>
    <n v="655984"/>
    <x v="3"/>
  </r>
  <r>
    <n v="686"/>
    <n v="4096"/>
    <x v="1"/>
    <n v="1"/>
    <n v="4"/>
    <x v="2"/>
    <n v="1922"/>
    <x v="1"/>
    <x v="0"/>
    <x v="2"/>
    <x v="1"/>
    <n v="427389"/>
    <x v="1"/>
  </r>
  <r>
    <n v="687"/>
    <n v="3783"/>
    <x v="2"/>
    <n v="1"/>
    <n v="3"/>
    <x v="1"/>
    <n v="1961"/>
    <x v="0"/>
    <x v="1"/>
    <x v="1"/>
    <x v="1"/>
    <n v="846240"/>
    <x v="3"/>
  </r>
  <r>
    <n v="688"/>
    <n v="2103"/>
    <x v="0"/>
    <n v="4"/>
    <n v="2"/>
    <x v="1"/>
    <n v="2009"/>
    <x v="3"/>
    <x v="0"/>
    <x v="0"/>
    <x v="1"/>
    <n v="669436"/>
    <x v="3"/>
  </r>
  <r>
    <n v="689"/>
    <n v="566"/>
    <x v="3"/>
    <n v="3"/>
    <n v="1"/>
    <x v="0"/>
    <n v="1932"/>
    <x v="1"/>
    <x v="2"/>
    <x v="0"/>
    <x v="1"/>
    <n v="496098"/>
    <x v="1"/>
  </r>
  <r>
    <n v="690"/>
    <n v="732"/>
    <x v="3"/>
    <n v="3"/>
    <n v="1"/>
    <x v="1"/>
    <n v="2002"/>
    <x v="3"/>
    <x v="2"/>
    <x v="2"/>
    <x v="1"/>
    <n v="858157"/>
    <x v="3"/>
  </r>
  <r>
    <n v="691"/>
    <n v="2656"/>
    <x v="2"/>
    <n v="1"/>
    <n v="3"/>
    <x v="1"/>
    <n v="2003"/>
    <x v="3"/>
    <x v="3"/>
    <x v="2"/>
    <x v="0"/>
    <n v="384678"/>
    <x v="2"/>
  </r>
  <r>
    <n v="692"/>
    <n v="1669"/>
    <x v="0"/>
    <n v="5"/>
    <n v="2"/>
    <x v="2"/>
    <n v="1917"/>
    <x v="1"/>
    <x v="3"/>
    <x v="0"/>
    <x v="0"/>
    <n v="352094"/>
    <x v="2"/>
  </r>
  <r>
    <n v="693"/>
    <n v="2658"/>
    <x v="2"/>
    <n v="2"/>
    <n v="3"/>
    <x v="2"/>
    <n v="1972"/>
    <x v="0"/>
    <x v="3"/>
    <x v="3"/>
    <x v="1"/>
    <n v="794314"/>
    <x v="3"/>
  </r>
  <r>
    <n v="694"/>
    <n v="4706"/>
    <x v="1"/>
    <n v="5"/>
    <n v="2"/>
    <x v="0"/>
    <n v="1932"/>
    <x v="1"/>
    <x v="2"/>
    <x v="0"/>
    <x v="0"/>
    <n v="133576"/>
    <x v="0"/>
  </r>
  <r>
    <n v="695"/>
    <n v="1993"/>
    <x v="0"/>
    <n v="5"/>
    <n v="4"/>
    <x v="0"/>
    <n v="1931"/>
    <x v="1"/>
    <x v="0"/>
    <x v="1"/>
    <x v="1"/>
    <n v="70557"/>
    <x v="0"/>
  </r>
  <r>
    <n v="696"/>
    <n v="4507"/>
    <x v="1"/>
    <n v="1"/>
    <n v="2"/>
    <x v="1"/>
    <n v="1960"/>
    <x v="0"/>
    <x v="3"/>
    <x v="3"/>
    <x v="1"/>
    <n v="596113"/>
    <x v="1"/>
  </r>
  <r>
    <n v="697"/>
    <n v="2972"/>
    <x v="2"/>
    <n v="1"/>
    <n v="2"/>
    <x v="2"/>
    <n v="1953"/>
    <x v="0"/>
    <x v="1"/>
    <x v="0"/>
    <x v="1"/>
    <n v="321142"/>
    <x v="2"/>
  </r>
  <r>
    <n v="698"/>
    <n v="3160"/>
    <x v="2"/>
    <n v="1"/>
    <n v="2"/>
    <x v="0"/>
    <n v="1916"/>
    <x v="1"/>
    <x v="3"/>
    <x v="3"/>
    <x v="0"/>
    <n v="86080"/>
    <x v="0"/>
  </r>
  <r>
    <n v="699"/>
    <n v="3239"/>
    <x v="2"/>
    <n v="4"/>
    <n v="1"/>
    <x v="0"/>
    <n v="1918"/>
    <x v="1"/>
    <x v="2"/>
    <x v="3"/>
    <x v="1"/>
    <n v="833103"/>
    <x v="3"/>
  </r>
  <r>
    <n v="700"/>
    <n v="2261"/>
    <x v="0"/>
    <n v="5"/>
    <n v="2"/>
    <x v="0"/>
    <n v="1990"/>
    <x v="2"/>
    <x v="3"/>
    <x v="3"/>
    <x v="1"/>
    <n v="238869"/>
    <x v="2"/>
  </r>
  <r>
    <n v="701"/>
    <n v="4014"/>
    <x v="1"/>
    <n v="3"/>
    <n v="4"/>
    <x v="1"/>
    <n v="1969"/>
    <x v="0"/>
    <x v="0"/>
    <x v="2"/>
    <x v="1"/>
    <n v="721162"/>
    <x v="3"/>
  </r>
  <r>
    <n v="702"/>
    <n v="2475"/>
    <x v="0"/>
    <n v="2"/>
    <n v="4"/>
    <x v="2"/>
    <n v="1998"/>
    <x v="2"/>
    <x v="3"/>
    <x v="0"/>
    <x v="1"/>
    <n v="978671"/>
    <x v="3"/>
  </r>
  <r>
    <n v="703"/>
    <n v="2862"/>
    <x v="2"/>
    <n v="4"/>
    <n v="4"/>
    <x v="0"/>
    <n v="2019"/>
    <x v="3"/>
    <x v="2"/>
    <x v="2"/>
    <x v="0"/>
    <n v="543844"/>
    <x v="1"/>
  </r>
  <r>
    <n v="704"/>
    <n v="1376"/>
    <x v="0"/>
    <n v="3"/>
    <n v="2"/>
    <x v="2"/>
    <n v="2000"/>
    <x v="2"/>
    <x v="2"/>
    <x v="2"/>
    <x v="1"/>
    <n v="616695"/>
    <x v="3"/>
  </r>
  <r>
    <n v="705"/>
    <n v="4312"/>
    <x v="1"/>
    <n v="5"/>
    <n v="3"/>
    <x v="0"/>
    <n v="1933"/>
    <x v="1"/>
    <x v="1"/>
    <x v="1"/>
    <x v="0"/>
    <n v="170283"/>
    <x v="0"/>
  </r>
  <r>
    <n v="706"/>
    <n v="3948"/>
    <x v="2"/>
    <n v="1"/>
    <n v="3"/>
    <x v="0"/>
    <n v="1983"/>
    <x v="2"/>
    <x v="2"/>
    <x v="1"/>
    <x v="0"/>
    <n v="63338"/>
    <x v="0"/>
  </r>
  <r>
    <n v="707"/>
    <n v="1812"/>
    <x v="0"/>
    <n v="5"/>
    <n v="4"/>
    <x v="2"/>
    <n v="1924"/>
    <x v="1"/>
    <x v="1"/>
    <x v="3"/>
    <x v="1"/>
    <n v="650577"/>
    <x v="3"/>
  </r>
  <r>
    <n v="708"/>
    <n v="1960"/>
    <x v="0"/>
    <n v="2"/>
    <n v="1"/>
    <x v="2"/>
    <n v="1967"/>
    <x v="0"/>
    <x v="0"/>
    <x v="3"/>
    <x v="1"/>
    <n v="514736"/>
    <x v="1"/>
  </r>
  <r>
    <n v="709"/>
    <n v="3209"/>
    <x v="2"/>
    <n v="4"/>
    <n v="3"/>
    <x v="2"/>
    <n v="1973"/>
    <x v="0"/>
    <x v="2"/>
    <x v="1"/>
    <x v="0"/>
    <n v="724255"/>
    <x v="3"/>
  </r>
  <r>
    <n v="710"/>
    <n v="2824"/>
    <x v="2"/>
    <n v="4"/>
    <n v="2"/>
    <x v="1"/>
    <n v="1973"/>
    <x v="0"/>
    <x v="3"/>
    <x v="1"/>
    <x v="0"/>
    <n v="228982"/>
    <x v="2"/>
  </r>
  <r>
    <n v="711"/>
    <n v="2233"/>
    <x v="0"/>
    <n v="2"/>
    <n v="3"/>
    <x v="0"/>
    <n v="1987"/>
    <x v="2"/>
    <x v="0"/>
    <x v="0"/>
    <x v="0"/>
    <n v="967461"/>
    <x v="3"/>
  </r>
  <r>
    <n v="712"/>
    <n v="2105"/>
    <x v="0"/>
    <n v="3"/>
    <n v="4"/>
    <x v="1"/>
    <n v="1984"/>
    <x v="2"/>
    <x v="3"/>
    <x v="3"/>
    <x v="0"/>
    <n v="159367"/>
    <x v="0"/>
  </r>
  <r>
    <n v="713"/>
    <n v="3063"/>
    <x v="2"/>
    <n v="3"/>
    <n v="1"/>
    <x v="2"/>
    <n v="1910"/>
    <x v="1"/>
    <x v="3"/>
    <x v="3"/>
    <x v="1"/>
    <n v="378042"/>
    <x v="2"/>
  </r>
  <r>
    <n v="714"/>
    <n v="3921"/>
    <x v="2"/>
    <n v="4"/>
    <n v="3"/>
    <x v="0"/>
    <n v="1990"/>
    <x v="2"/>
    <x v="3"/>
    <x v="1"/>
    <x v="0"/>
    <n v="970958"/>
    <x v="3"/>
  </r>
  <r>
    <n v="715"/>
    <n v="4017"/>
    <x v="1"/>
    <n v="4"/>
    <n v="3"/>
    <x v="1"/>
    <n v="1915"/>
    <x v="1"/>
    <x v="0"/>
    <x v="0"/>
    <x v="0"/>
    <n v="691774"/>
    <x v="3"/>
  </r>
  <r>
    <n v="716"/>
    <n v="2897"/>
    <x v="2"/>
    <n v="1"/>
    <n v="4"/>
    <x v="0"/>
    <n v="1989"/>
    <x v="2"/>
    <x v="0"/>
    <x v="1"/>
    <x v="0"/>
    <n v="398684"/>
    <x v="2"/>
  </r>
  <r>
    <n v="717"/>
    <n v="4235"/>
    <x v="1"/>
    <n v="3"/>
    <n v="1"/>
    <x v="1"/>
    <n v="1960"/>
    <x v="0"/>
    <x v="2"/>
    <x v="1"/>
    <x v="0"/>
    <n v="544775"/>
    <x v="1"/>
  </r>
  <r>
    <n v="718"/>
    <n v="3370"/>
    <x v="2"/>
    <n v="2"/>
    <n v="1"/>
    <x v="2"/>
    <n v="1993"/>
    <x v="2"/>
    <x v="3"/>
    <x v="2"/>
    <x v="1"/>
    <n v="788497"/>
    <x v="3"/>
  </r>
  <r>
    <n v="719"/>
    <n v="1660"/>
    <x v="0"/>
    <n v="3"/>
    <n v="4"/>
    <x v="1"/>
    <n v="2012"/>
    <x v="3"/>
    <x v="1"/>
    <x v="3"/>
    <x v="1"/>
    <n v="493853"/>
    <x v="1"/>
  </r>
  <r>
    <n v="720"/>
    <n v="742"/>
    <x v="3"/>
    <n v="1"/>
    <n v="2"/>
    <x v="0"/>
    <n v="1979"/>
    <x v="2"/>
    <x v="2"/>
    <x v="0"/>
    <x v="1"/>
    <n v="830343"/>
    <x v="3"/>
  </r>
  <r>
    <n v="721"/>
    <n v="3090"/>
    <x v="2"/>
    <n v="4"/>
    <n v="3"/>
    <x v="0"/>
    <n v="1906"/>
    <x v="1"/>
    <x v="0"/>
    <x v="2"/>
    <x v="0"/>
    <n v="710709"/>
    <x v="3"/>
  </r>
  <r>
    <n v="722"/>
    <n v="1563"/>
    <x v="0"/>
    <n v="4"/>
    <n v="2"/>
    <x v="0"/>
    <n v="1915"/>
    <x v="1"/>
    <x v="1"/>
    <x v="3"/>
    <x v="0"/>
    <n v="961848"/>
    <x v="3"/>
  </r>
  <r>
    <n v="723"/>
    <n v="4824"/>
    <x v="1"/>
    <n v="1"/>
    <n v="3"/>
    <x v="0"/>
    <n v="1998"/>
    <x v="2"/>
    <x v="0"/>
    <x v="1"/>
    <x v="1"/>
    <n v="876395"/>
    <x v="3"/>
  </r>
  <r>
    <n v="724"/>
    <n v="3095"/>
    <x v="2"/>
    <n v="2"/>
    <n v="3"/>
    <x v="2"/>
    <n v="2021"/>
    <x v="3"/>
    <x v="1"/>
    <x v="0"/>
    <x v="1"/>
    <n v="450966"/>
    <x v="1"/>
  </r>
  <r>
    <n v="725"/>
    <n v="1419"/>
    <x v="0"/>
    <n v="4"/>
    <n v="2"/>
    <x v="1"/>
    <n v="1915"/>
    <x v="1"/>
    <x v="2"/>
    <x v="3"/>
    <x v="0"/>
    <n v="407073"/>
    <x v="1"/>
  </r>
  <r>
    <n v="726"/>
    <n v="505"/>
    <x v="3"/>
    <n v="5"/>
    <n v="4"/>
    <x v="2"/>
    <n v="1939"/>
    <x v="1"/>
    <x v="1"/>
    <x v="1"/>
    <x v="1"/>
    <n v="727823"/>
    <x v="3"/>
  </r>
  <r>
    <n v="727"/>
    <n v="967"/>
    <x v="3"/>
    <n v="4"/>
    <n v="4"/>
    <x v="2"/>
    <n v="1911"/>
    <x v="1"/>
    <x v="2"/>
    <x v="2"/>
    <x v="0"/>
    <n v="649223"/>
    <x v="3"/>
  </r>
  <r>
    <n v="728"/>
    <n v="4670"/>
    <x v="1"/>
    <n v="5"/>
    <n v="3"/>
    <x v="2"/>
    <n v="1934"/>
    <x v="1"/>
    <x v="0"/>
    <x v="0"/>
    <x v="0"/>
    <n v="764152"/>
    <x v="3"/>
  </r>
  <r>
    <n v="729"/>
    <n v="503"/>
    <x v="3"/>
    <n v="1"/>
    <n v="4"/>
    <x v="0"/>
    <n v="2012"/>
    <x v="3"/>
    <x v="1"/>
    <x v="3"/>
    <x v="0"/>
    <n v="850118"/>
    <x v="3"/>
  </r>
  <r>
    <n v="730"/>
    <n v="1145"/>
    <x v="0"/>
    <n v="1"/>
    <n v="3"/>
    <x v="0"/>
    <n v="1920"/>
    <x v="1"/>
    <x v="3"/>
    <x v="2"/>
    <x v="0"/>
    <n v="549555"/>
    <x v="1"/>
  </r>
  <r>
    <n v="731"/>
    <n v="617"/>
    <x v="3"/>
    <n v="4"/>
    <n v="4"/>
    <x v="0"/>
    <n v="1949"/>
    <x v="1"/>
    <x v="3"/>
    <x v="1"/>
    <x v="0"/>
    <n v="113528"/>
    <x v="0"/>
  </r>
  <r>
    <n v="732"/>
    <n v="3428"/>
    <x v="2"/>
    <n v="3"/>
    <n v="3"/>
    <x v="1"/>
    <n v="1942"/>
    <x v="1"/>
    <x v="0"/>
    <x v="1"/>
    <x v="0"/>
    <n v="674099"/>
    <x v="3"/>
  </r>
  <r>
    <n v="733"/>
    <n v="3051"/>
    <x v="2"/>
    <n v="5"/>
    <n v="4"/>
    <x v="0"/>
    <n v="1999"/>
    <x v="2"/>
    <x v="1"/>
    <x v="3"/>
    <x v="1"/>
    <n v="558907"/>
    <x v="1"/>
  </r>
  <r>
    <n v="734"/>
    <n v="4789"/>
    <x v="1"/>
    <n v="2"/>
    <n v="1"/>
    <x v="1"/>
    <n v="2011"/>
    <x v="3"/>
    <x v="3"/>
    <x v="1"/>
    <x v="1"/>
    <n v="334931"/>
    <x v="2"/>
  </r>
  <r>
    <n v="735"/>
    <n v="1346"/>
    <x v="0"/>
    <n v="4"/>
    <n v="2"/>
    <x v="0"/>
    <n v="1916"/>
    <x v="1"/>
    <x v="2"/>
    <x v="0"/>
    <x v="1"/>
    <n v="982280"/>
    <x v="3"/>
  </r>
  <r>
    <n v="736"/>
    <n v="3262"/>
    <x v="2"/>
    <n v="2"/>
    <n v="1"/>
    <x v="0"/>
    <n v="1931"/>
    <x v="1"/>
    <x v="1"/>
    <x v="3"/>
    <x v="0"/>
    <n v="427757"/>
    <x v="1"/>
  </r>
  <r>
    <n v="737"/>
    <n v="1641"/>
    <x v="0"/>
    <n v="4"/>
    <n v="2"/>
    <x v="2"/>
    <n v="1940"/>
    <x v="1"/>
    <x v="1"/>
    <x v="2"/>
    <x v="1"/>
    <n v="762787"/>
    <x v="3"/>
  </r>
  <r>
    <n v="738"/>
    <n v="2310"/>
    <x v="0"/>
    <n v="3"/>
    <n v="2"/>
    <x v="2"/>
    <n v="1905"/>
    <x v="1"/>
    <x v="3"/>
    <x v="3"/>
    <x v="0"/>
    <n v="834429"/>
    <x v="3"/>
  </r>
  <r>
    <n v="739"/>
    <n v="1223"/>
    <x v="0"/>
    <n v="3"/>
    <n v="3"/>
    <x v="2"/>
    <n v="1987"/>
    <x v="2"/>
    <x v="2"/>
    <x v="3"/>
    <x v="0"/>
    <n v="154887"/>
    <x v="0"/>
  </r>
  <r>
    <n v="740"/>
    <n v="724"/>
    <x v="3"/>
    <n v="3"/>
    <n v="2"/>
    <x v="1"/>
    <n v="1926"/>
    <x v="1"/>
    <x v="2"/>
    <x v="2"/>
    <x v="0"/>
    <n v="111086"/>
    <x v="0"/>
  </r>
  <r>
    <n v="741"/>
    <n v="4708"/>
    <x v="1"/>
    <n v="3"/>
    <n v="1"/>
    <x v="1"/>
    <n v="1919"/>
    <x v="1"/>
    <x v="2"/>
    <x v="1"/>
    <x v="0"/>
    <n v="938663"/>
    <x v="3"/>
  </r>
  <r>
    <n v="742"/>
    <n v="2548"/>
    <x v="2"/>
    <n v="1"/>
    <n v="1"/>
    <x v="0"/>
    <n v="1924"/>
    <x v="1"/>
    <x v="1"/>
    <x v="2"/>
    <x v="1"/>
    <n v="305494"/>
    <x v="2"/>
  </r>
  <r>
    <n v="743"/>
    <n v="4915"/>
    <x v="1"/>
    <n v="1"/>
    <n v="4"/>
    <x v="1"/>
    <n v="1965"/>
    <x v="0"/>
    <x v="0"/>
    <x v="0"/>
    <x v="1"/>
    <n v="558889"/>
    <x v="1"/>
  </r>
  <r>
    <n v="744"/>
    <n v="2073"/>
    <x v="0"/>
    <n v="5"/>
    <n v="1"/>
    <x v="0"/>
    <n v="1908"/>
    <x v="1"/>
    <x v="1"/>
    <x v="1"/>
    <x v="1"/>
    <n v="637596"/>
    <x v="3"/>
  </r>
  <r>
    <n v="745"/>
    <n v="2328"/>
    <x v="0"/>
    <n v="2"/>
    <n v="4"/>
    <x v="1"/>
    <n v="1991"/>
    <x v="2"/>
    <x v="1"/>
    <x v="3"/>
    <x v="0"/>
    <n v="327941"/>
    <x v="2"/>
  </r>
  <r>
    <n v="746"/>
    <n v="2417"/>
    <x v="0"/>
    <n v="4"/>
    <n v="2"/>
    <x v="1"/>
    <n v="1952"/>
    <x v="0"/>
    <x v="3"/>
    <x v="1"/>
    <x v="1"/>
    <n v="317446"/>
    <x v="2"/>
  </r>
  <r>
    <n v="747"/>
    <n v="4734"/>
    <x v="1"/>
    <n v="4"/>
    <n v="1"/>
    <x v="1"/>
    <n v="1960"/>
    <x v="0"/>
    <x v="0"/>
    <x v="1"/>
    <x v="1"/>
    <n v="506388"/>
    <x v="1"/>
  </r>
  <r>
    <n v="748"/>
    <n v="2526"/>
    <x v="2"/>
    <n v="1"/>
    <n v="2"/>
    <x v="2"/>
    <n v="1937"/>
    <x v="1"/>
    <x v="2"/>
    <x v="0"/>
    <x v="1"/>
    <n v="612347"/>
    <x v="3"/>
  </r>
  <r>
    <n v="749"/>
    <n v="4244"/>
    <x v="1"/>
    <n v="4"/>
    <n v="1"/>
    <x v="1"/>
    <n v="1902"/>
    <x v="1"/>
    <x v="3"/>
    <x v="1"/>
    <x v="0"/>
    <n v="181980"/>
    <x v="0"/>
  </r>
  <r>
    <n v="750"/>
    <n v="1401"/>
    <x v="0"/>
    <n v="1"/>
    <n v="1"/>
    <x v="2"/>
    <n v="1983"/>
    <x v="2"/>
    <x v="1"/>
    <x v="1"/>
    <x v="1"/>
    <n v="765612"/>
    <x v="3"/>
  </r>
  <r>
    <n v="751"/>
    <n v="2539"/>
    <x v="2"/>
    <n v="5"/>
    <n v="4"/>
    <x v="2"/>
    <n v="1969"/>
    <x v="0"/>
    <x v="0"/>
    <x v="1"/>
    <x v="0"/>
    <n v="523875"/>
    <x v="1"/>
  </r>
  <r>
    <n v="752"/>
    <n v="509"/>
    <x v="3"/>
    <n v="2"/>
    <n v="2"/>
    <x v="1"/>
    <n v="2002"/>
    <x v="3"/>
    <x v="2"/>
    <x v="3"/>
    <x v="1"/>
    <n v="193949"/>
    <x v="0"/>
  </r>
  <r>
    <n v="753"/>
    <n v="760"/>
    <x v="3"/>
    <n v="5"/>
    <n v="1"/>
    <x v="0"/>
    <n v="1996"/>
    <x v="2"/>
    <x v="2"/>
    <x v="1"/>
    <x v="0"/>
    <n v="326383"/>
    <x v="2"/>
  </r>
  <r>
    <n v="754"/>
    <n v="2173"/>
    <x v="0"/>
    <n v="3"/>
    <n v="3"/>
    <x v="0"/>
    <n v="1954"/>
    <x v="0"/>
    <x v="1"/>
    <x v="2"/>
    <x v="1"/>
    <n v="77313"/>
    <x v="0"/>
  </r>
  <r>
    <n v="755"/>
    <n v="2719"/>
    <x v="2"/>
    <n v="3"/>
    <n v="2"/>
    <x v="0"/>
    <n v="1900"/>
    <x v="1"/>
    <x v="2"/>
    <x v="1"/>
    <x v="1"/>
    <n v="92103"/>
    <x v="0"/>
  </r>
  <r>
    <n v="756"/>
    <n v="2560"/>
    <x v="2"/>
    <n v="3"/>
    <n v="2"/>
    <x v="1"/>
    <n v="2000"/>
    <x v="2"/>
    <x v="2"/>
    <x v="0"/>
    <x v="1"/>
    <n v="229480"/>
    <x v="2"/>
  </r>
  <r>
    <n v="757"/>
    <n v="4213"/>
    <x v="1"/>
    <n v="5"/>
    <n v="2"/>
    <x v="0"/>
    <n v="1969"/>
    <x v="0"/>
    <x v="0"/>
    <x v="1"/>
    <x v="0"/>
    <n v="526467"/>
    <x v="1"/>
  </r>
  <r>
    <n v="758"/>
    <n v="2119"/>
    <x v="0"/>
    <n v="4"/>
    <n v="4"/>
    <x v="2"/>
    <n v="1944"/>
    <x v="1"/>
    <x v="3"/>
    <x v="1"/>
    <x v="1"/>
    <n v="138771"/>
    <x v="0"/>
  </r>
  <r>
    <n v="759"/>
    <n v="820"/>
    <x v="3"/>
    <n v="2"/>
    <n v="3"/>
    <x v="0"/>
    <n v="1997"/>
    <x v="2"/>
    <x v="0"/>
    <x v="3"/>
    <x v="1"/>
    <n v="176228"/>
    <x v="0"/>
  </r>
  <r>
    <n v="760"/>
    <n v="1842"/>
    <x v="0"/>
    <n v="3"/>
    <n v="2"/>
    <x v="1"/>
    <n v="1946"/>
    <x v="1"/>
    <x v="3"/>
    <x v="2"/>
    <x v="0"/>
    <n v="141665"/>
    <x v="0"/>
  </r>
  <r>
    <n v="761"/>
    <n v="2876"/>
    <x v="2"/>
    <n v="3"/>
    <n v="1"/>
    <x v="0"/>
    <n v="1978"/>
    <x v="2"/>
    <x v="3"/>
    <x v="1"/>
    <x v="0"/>
    <n v="846966"/>
    <x v="3"/>
  </r>
  <r>
    <n v="762"/>
    <n v="3332"/>
    <x v="2"/>
    <n v="3"/>
    <n v="1"/>
    <x v="2"/>
    <n v="2008"/>
    <x v="3"/>
    <x v="3"/>
    <x v="2"/>
    <x v="0"/>
    <n v="879492"/>
    <x v="3"/>
  </r>
  <r>
    <n v="763"/>
    <n v="3324"/>
    <x v="2"/>
    <n v="2"/>
    <n v="4"/>
    <x v="1"/>
    <n v="1925"/>
    <x v="1"/>
    <x v="2"/>
    <x v="0"/>
    <x v="0"/>
    <n v="853621"/>
    <x v="3"/>
  </r>
  <r>
    <n v="764"/>
    <n v="2494"/>
    <x v="0"/>
    <n v="3"/>
    <n v="1"/>
    <x v="0"/>
    <n v="2020"/>
    <x v="3"/>
    <x v="0"/>
    <x v="3"/>
    <x v="1"/>
    <n v="964863"/>
    <x v="3"/>
  </r>
  <r>
    <n v="765"/>
    <n v="3458"/>
    <x v="2"/>
    <n v="2"/>
    <n v="2"/>
    <x v="1"/>
    <n v="1913"/>
    <x v="1"/>
    <x v="2"/>
    <x v="2"/>
    <x v="1"/>
    <n v="660355"/>
    <x v="3"/>
  </r>
  <r>
    <n v="766"/>
    <n v="2538"/>
    <x v="2"/>
    <n v="3"/>
    <n v="1"/>
    <x v="1"/>
    <n v="2021"/>
    <x v="3"/>
    <x v="1"/>
    <x v="3"/>
    <x v="0"/>
    <n v="847399"/>
    <x v="3"/>
  </r>
  <r>
    <n v="767"/>
    <n v="3990"/>
    <x v="2"/>
    <n v="5"/>
    <n v="2"/>
    <x v="1"/>
    <n v="1953"/>
    <x v="0"/>
    <x v="0"/>
    <x v="1"/>
    <x v="1"/>
    <n v="787351"/>
    <x v="3"/>
  </r>
  <r>
    <n v="768"/>
    <n v="4177"/>
    <x v="1"/>
    <n v="5"/>
    <n v="1"/>
    <x v="0"/>
    <n v="1970"/>
    <x v="0"/>
    <x v="3"/>
    <x v="0"/>
    <x v="0"/>
    <n v="901995"/>
    <x v="3"/>
  </r>
  <r>
    <n v="769"/>
    <n v="1618"/>
    <x v="0"/>
    <n v="2"/>
    <n v="3"/>
    <x v="1"/>
    <n v="1945"/>
    <x v="1"/>
    <x v="2"/>
    <x v="3"/>
    <x v="1"/>
    <n v="320804"/>
    <x v="2"/>
  </r>
  <r>
    <n v="770"/>
    <n v="2104"/>
    <x v="0"/>
    <n v="5"/>
    <n v="4"/>
    <x v="0"/>
    <n v="2021"/>
    <x v="3"/>
    <x v="2"/>
    <x v="1"/>
    <x v="0"/>
    <n v="430815"/>
    <x v="1"/>
  </r>
  <r>
    <n v="771"/>
    <n v="4527"/>
    <x v="1"/>
    <n v="2"/>
    <n v="4"/>
    <x v="2"/>
    <n v="1930"/>
    <x v="1"/>
    <x v="0"/>
    <x v="2"/>
    <x v="1"/>
    <n v="534091"/>
    <x v="1"/>
  </r>
  <r>
    <n v="772"/>
    <n v="735"/>
    <x v="3"/>
    <n v="5"/>
    <n v="3"/>
    <x v="0"/>
    <n v="1987"/>
    <x v="2"/>
    <x v="0"/>
    <x v="0"/>
    <x v="0"/>
    <n v="179909"/>
    <x v="0"/>
  </r>
  <r>
    <n v="773"/>
    <n v="2469"/>
    <x v="0"/>
    <n v="5"/>
    <n v="3"/>
    <x v="2"/>
    <n v="1958"/>
    <x v="0"/>
    <x v="3"/>
    <x v="0"/>
    <x v="0"/>
    <n v="483039"/>
    <x v="1"/>
  </r>
  <r>
    <n v="774"/>
    <n v="4929"/>
    <x v="1"/>
    <n v="2"/>
    <n v="4"/>
    <x v="0"/>
    <n v="1994"/>
    <x v="2"/>
    <x v="3"/>
    <x v="2"/>
    <x v="1"/>
    <n v="499058"/>
    <x v="1"/>
  </r>
  <r>
    <n v="775"/>
    <n v="2408"/>
    <x v="0"/>
    <n v="4"/>
    <n v="3"/>
    <x v="1"/>
    <n v="1928"/>
    <x v="1"/>
    <x v="1"/>
    <x v="2"/>
    <x v="1"/>
    <n v="190688"/>
    <x v="0"/>
  </r>
  <r>
    <n v="776"/>
    <n v="875"/>
    <x v="3"/>
    <n v="5"/>
    <n v="2"/>
    <x v="0"/>
    <n v="2005"/>
    <x v="3"/>
    <x v="3"/>
    <x v="0"/>
    <x v="1"/>
    <n v="125976"/>
    <x v="0"/>
  </r>
  <r>
    <n v="777"/>
    <n v="4030"/>
    <x v="1"/>
    <n v="3"/>
    <n v="1"/>
    <x v="1"/>
    <n v="1995"/>
    <x v="2"/>
    <x v="2"/>
    <x v="3"/>
    <x v="0"/>
    <n v="807496"/>
    <x v="3"/>
  </r>
  <r>
    <n v="778"/>
    <n v="3135"/>
    <x v="2"/>
    <n v="4"/>
    <n v="4"/>
    <x v="2"/>
    <n v="1916"/>
    <x v="1"/>
    <x v="1"/>
    <x v="0"/>
    <x v="1"/>
    <n v="229810"/>
    <x v="2"/>
  </r>
  <r>
    <n v="779"/>
    <n v="2070"/>
    <x v="0"/>
    <n v="2"/>
    <n v="3"/>
    <x v="0"/>
    <n v="1913"/>
    <x v="1"/>
    <x v="1"/>
    <x v="2"/>
    <x v="0"/>
    <n v="325251"/>
    <x v="2"/>
  </r>
  <r>
    <n v="780"/>
    <n v="3060"/>
    <x v="2"/>
    <n v="4"/>
    <n v="2"/>
    <x v="1"/>
    <n v="2003"/>
    <x v="3"/>
    <x v="1"/>
    <x v="3"/>
    <x v="1"/>
    <n v="766764"/>
    <x v="3"/>
  </r>
  <r>
    <n v="781"/>
    <n v="3891"/>
    <x v="2"/>
    <n v="1"/>
    <n v="4"/>
    <x v="2"/>
    <n v="1935"/>
    <x v="1"/>
    <x v="0"/>
    <x v="1"/>
    <x v="1"/>
    <n v="668470"/>
    <x v="3"/>
  </r>
  <r>
    <n v="782"/>
    <n v="3465"/>
    <x v="2"/>
    <n v="1"/>
    <n v="3"/>
    <x v="2"/>
    <n v="1957"/>
    <x v="0"/>
    <x v="3"/>
    <x v="0"/>
    <x v="0"/>
    <n v="817441"/>
    <x v="3"/>
  </r>
  <r>
    <n v="783"/>
    <n v="4143"/>
    <x v="1"/>
    <n v="5"/>
    <n v="4"/>
    <x v="0"/>
    <n v="2011"/>
    <x v="3"/>
    <x v="1"/>
    <x v="2"/>
    <x v="0"/>
    <n v="928219"/>
    <x v="3"/>
  </r>
  <r>
    <n v="784"/>
    <n v="4350"/>
    <x v="1"/>
    <n v="5"/>
    <n v="3"/>
    <x v="2"/>
    <n v="1923"/>
    <x v="1"/>
    <x v="0"/>
    <x v="1"/>
    <x v="1"/>
    <n v="852386"/>
    <x v="3"/>
  </r>
  <r>
    <n v="785"/>
    <n v="1372"/>
    <x v="0"/>
    <n v="3"/>
    <n v="4"/>
    <x v="1"/>
    <n v="2008"/>
    <x v="3"/>
    <x v="0"/>
    <x v="0"/>
    <x v="0"/>
    <n v="329087"/>
    <x v="2"/>
  </r>
  <r>
    <n v="786"/>
    <n v="1752"/>
    <x v="0"/>
    <n v="4"/>
    <n v="2"/>
    <x v="2"/>
    <n v="1962"/>
    <x v="0"/>
    <x v="1"/>
    <x v="0"/>
    <x v="0"/>
    <n v="90725"/>
    <x v="0"/>
  </r>
  <r>
    <n v="787"/>
    <n v="1814"/>
    <x v="0"/>
    <n v="1"/>
    <n v="2"/>
    <x v="2"/>
    <n v="2017"/>
    <x v="3"/>
    <x v="1"/>
    <x v="3"/>
    <x v="1"/>
    <n v="881866"/>
    <x v="3"/>
  </r>
  <r>
    <n v="788"/>
    <n v="3398"/>
    <x v="2"/>
    <n v="5"/>
    <n v="1"/>
    <x v="1"/>
    <n v="1990"/>
    <x v="2"/>
    <x v="2"/>
    <x v="2"/>
    <x v="0"/>
    <n v="922183"/>
    <x v="3"/>
  </r>
  <r>
    <n v="789"/>
    <n v="577"/>
    <x v="3"/>
    <n v="4"/>
    <n v="4"/>
    <x v="2"/>
    <n v="1924"/>
    <x v="1"/>
    <x v="1"/>
    <x v="1"/>
    <x v="1"/>
    <n v="584398"/>
    <x v="1"/>
  </r>
  <r>
    <n v="790"/>
    <n v="3121"/>
    <x v="2"/>
    <n v="5"/>
    <n v="1"/>
    <x v="2"/>
    <n v="1958"/>
    <x v="0"/>
    <x v="2"/>
    <x v="0"/>
    <x v="1"/>
    <n v="548864"/>
    <x v="1"/>
  </r>
  <r>
    <n v="791"/>
    <n v="4727"/>
    <x v="1"/>
    <n v="5"/>
    <n v="4"/>
    <x v="2"/>
    <n v="1931"/>
    <x v="1"/>
    <x v="1"/>
    <x v="3"/>
    <x v="0"/>
    <n v="328606"/>
    <x v="2"/>
  </r>
  <r>
    <n v="792"/>
    <n v="1100"/>
    <x v="0"/>
    <n v="1"/>
    <n v="3"/>
    <x v="2"/>
    <n v="2015"/>
    <x v="3"/>
    <x v="1"/>
    <x v="1"/>
    <x v="1"/>
    <n v="391376"/>
    <x v="2"/>
  </r>
  <r>
    <n v="793"/>
    <n v="1565"/>
    <x v="0"/>
    <n v="1"/>
    <n v="3"/>
    <x v="1"/>
    <n v="1981"/>
    <x v="2"/>
    <x v="3"/>
    <x v="1"/>
    <x v="0"/>
    <n v="759441"/>
    <x v="3"/>
  </r>
  <r>
    <n v="794"/>
    <n v="2636"/>
    <x v="2"/>
    <n v="5"/>
    <n v="1"/>
    <x v="2"/>
    <n v="2009"/>
    <x v="3"/>
    <x v="1"/>
    <x v="0"/>
    <x v="1"/>
    <n v="496015"/>
    <x v="1"/>
  </r>
  <r>
    <n v="795"/>
    <n v="2949"/>
    <x v="2"/>
    <n v="2"/>
    <n v="4"/>
    <x v="1"/>
    <n v="1917"/>
    <x v="1"/>
    <x v="1"/>
    <x v="1"/>
    <x v="0"/>
    <n v="640855"/>
    <x v="3"/>
  </r>
  <r>
    <n v="796"/>
    <n v="2843"/>
    <x v="2"/>
    <n v="5"/>
    <n v="1"/>
    <x v="2"/>
    <n v="1936"/>
    <x v="1"/>
    <x v="2"/>
    <x v="0"/>
    <x v="0"/>
    <n v="532517"/>
    <x v="1"/>
  </r>
  <r>
    <n v="797"/>
    <n v="2363"/>
    <x v="0"/>
    <n v="5"/>
    <n v="2"/>
    <x v="2"/>
    <n v="1925"/>
    <x v="1"/>
    <x v="2"/>
    <x v="3"/>
    <x v="0"/>
    <n v="756584"/>
    <x v="3"/>
  </r>
  <r>
    <n v="798"/>
    <n v="1818"/>
    <x v="0"/>
    <n v="3"/>
    <n v="1"/>
    <x v="2"/>
    <n v="1908"/>
    <x v="1"/>
    <x v="3"/>
    <x v="3"/>
    <x v="0"/>
    <n v="439569"/>
    <x v="1"/>
  </r>
  <r>
    <n v="799"/>
    <n v="4097"/>
    <x v="1"/>
    <n v="3"/>
    <n v="1"/>
    <x v="2"/>
    <n v="2023"/>
    <x v="3"/>
    <x v="1"/>
    <x v="1"/>
    <x v="0"/>
    <n v="892495"/>
    <x v="3"/>
  </r>
  <r>
    <n v="800"/>
    <n v="4262"/>
    <x v="1"/>
    <n v="3"/>
    <n v="3"/>
    <x v="1"/>
    <n v="1998"/>
    <x v="2"/>
    <x v="1"/>
    <x v="0"/>
    <x v="1"/>
    <n v="163394"/>
    <x v="0"/>
  </r>
  <r>
    <n v="801"/>
    <n v="2690"/>
    <x v="2"/>
    <n v="2"/>
    <n v="1"/>
    <x v="1"/>
    <n v="1963"/>
    <x v="0"/>
    <x v="2"/>
    <x v="2"/>
    <x v="1"/>
    <n v="891672"/>
    <x v="3"/>
  </r>
  <r>
    <n v="802"/>
    <n v="1492"/>
    <x v="0"/>
    <n v="2"/>
    <n v="4"/>
    <x v="1"/>
    <n v="1971"/>
    <x v="0"/>
    <x v="0"/>
    <x v="3"/>
    <x v="0"/>
    <n v="917784"/>
    <x v="3"/>
  </r>
  <r>
    <n v="803"/>
    <n v="3212"/>
    <x v="2"/>
    <n v="5"/>
    <n v="3"/>
    <x v="0"/>
    <n v="1919"/>
    <x v="1"/>
    <x v="0"/>
    <x v="0"/>
    <x v="1"/>
    <n v="198940"/>
    <x v="0"/>
  </r>
  <r>
    <n v="804"/>
    <n v="2692"/>
    <x v="2"/>
    <n v="3"/>
    <n v="1"/>
    <x v="2"/>
    <n v="1953"/>
    <x v="0"/>
    <x v="0"/>
    <x v="0"/>
    <x v="0"/>
    <n v="393133"/>
    <x v="2"/>
  </r>
  <r>
    <n v="805"/>
    <n v="1748"/>
    <x v="0"/>
    <n v="2"/>
    <n v="2"/>
    <x v="2"/>
    <n v="2005"/>
    <x v="3"/>
    <x v="2"/>
    <x v="0"/>
    <x v="0"/>
    <n v="72222"/>
    <x v="0"/>
  </r>
  <r>
    <n v="806"/>
    <n v="3554"/>
    <x v="2"/>
    <n v="1"/>
    <n v="1"/>
    <x v="1"/>
    <n v="1985"/>
    <x v="2"/>
    <x v="2"/>
    <x v="1"/>
    <x v="1"/>
    <n v="129794"/>
    <x v="0"/>
  </r>
  <r>
    <n v="807"/>
    <n v="4533"/>
    <x v="1"/>
    <n v="5"/>
    <n v="1"/>
    <x v="0"/>
    <n v="1982"/>
    <x v="2"/>
    <x v="0"/>
    <x v="2"/>
    <x v="1"/>
    <n v="638212"/>
    <x v="3"/>
  </r>
  <r>
    <n v="808"/>
    <n v="2497"/>
    <x v="0"/>
    <n v="4"/>
    <n v="1"/>
    <x v="2"/>
    <n v="1929"/>
    <x v="1"/>
    <x v="0"/>
    <x v="1"/>
    <x v="0"/>
    <n v="674142"/>
    <x v="3"/>
  </r>
  <r>
    <n v="809"/>
    <n v="4187"/>
    <x v="1"/>
    <n v="5"/>
    <n v="3"/>
    <x v="1"/>
    <n v="1952"/>
    <x v="0"/>
    <x v="1"/>
    <x v="3"/>
    <x v="0"/>
    <n v="914945"/>
    <x v="3"/>
  </r>
  <r>
    <n v="810"/>
    <n v="2651"/>
    <x v="2"/>
    <n v="4"/>
    <n v="4"/>
    <x v="2"/>
    <n v="1991"/>
    <x v="2"/>
    <x v="2"/>
    <x v="1"/>
    <x v="0"/>
    <n v="834326"/>
    <x v="3"/>
  </r>
  <r>
    <n v="811"/>
    <n v="4518"/>
    <x v="1"/>
    <n v="3"/>
    <n v="2"/>
    <x v="2"/>
    <n v="1998"/>
    <x v="2"/>
    <x v="2"/>
    <x v="0"/>
    <x v="0"/>
    <n v="891081"/>
    <x v="3"/>
  </r>
  <r>
    <n v="812"/>
    <n v="3610"/>
    <x v="2"/>
    <n v="4"/>
    <n v="1"/>
    <x v="1"/>
    <n v="2006"/>
    <x v="3"/>
    <x v="0"/>
    <x v="1"/>
    <x v="0"/>
    <n v="415130"/>
    <x v="1"/>
  </r>
  <r>
    <n v="813"/>
    <n v="2470"/>
    <x v="0"/>
    <n v="3"/>
    <n v="4"/>
    <x v="1"/>
    <n v="1962"/>
    <x v="0"/>
    <x v="0"/>
    <x v="0"/>
    <x v="0"/>
    <n v="818103"/>
    <x v="3"/>
  </r>
  <r>
    <n v="814"/>
    <n v="697"/>
    <x v="3"/>
    <n v="1"/>
    <n v="4"/>
    <x v="2"/>
    <n v="1910"/>
    <x v="1"/>
    <x v="3"/>
    <x v="2"/>
    <x v="1"/>
    <n v="920181"/>
    <x v="3"/>
  </r>
  <r>
    <n v="815"/>
    <n v="3126"/>
    <x v="2"/>
    <n v="4"/>
    <n v="3"/>
    <x v="2"/>
    <n v="1930"/>
    <x v="1"/>
    <x v="2"/>
    <x v="1"/>
    <x v="0"/>
    <n v="283127"/>
    <x v="2"/>
  </r>
  <r>
    <n v="816"/>
    <n v="1702"/>
    <x v="0"/>
    <n v="5"/>
    <n v="2"/>
    <x v="1"/>
    <n v="1948"/>
    <x v="1"/>
    <x v="3"/>
    <x v="1"/>
    <x v="0"/>
    <n v="554434"/>
    <x v="1"/>
  </r>
  <r>
    <n v="817"/>
    <n v="2535"/>
    <x v="2"/>
    <n v="3"/>
    <n v="3"/>
    <x v="2"/>
    <n v="2011"/>
    <x v="3"/>
    <x v="1"/>
    <x v="1"/>
    <x v="1"/>
    <n v="191295"/>
    <x v="0"/>
  </r>
  <r>
    <n v="818"/>
    <n v="977"/>
    <x v="3"/>
    <n v="5"/>
    <n v="4"/>
    <x v="2"/>
    <n v="2002"/>
    <x v="3"/>
    <x v="3"/>
    <x v="0"/>
    <x v="0"/>
    <n v="229238"/>
    <x v="2"/>
  </r>
  <r>
    <n v="819"/>
    <n v="1754"/>
    <x v="0"/>
    <n v="2"/>
    <n v="4"/>
    <x v="1"/>
    <n v="1999"/>
    <x v="2"/>
    <x v="0"/>
    <x v="0"/>
    <x v="0"/>
    <n v="89369"/>
    <x v="0"/>
  </r>
  <r>
    <n v="820"/>
    <n v="1422"/>
    <x v="0"/>
    <n v="3"/>
    <n v="4"/>
    <x v="2"/>
    <n v="1993"/>
    <x v="2"/>
    <x v="2"/>
    <x v="1"/>
    <x v="1"/>
    <n v="922811"/>
    <x v="3"/>
  </r>
  <r>
    <n v="821"/>
    <n v="919"/>
    <x v="3"/>
    <n v="4"/>
    <n v="3"/>
    <x v="2"/>
    <n v="1986"/>
    <x v="2"/>
    <x v="2"/>
    <x v="1"/>
    <x v="0"/>
    <n v="905824"/>
    <x v="3"/>
  </r>
  <r>
    <n v="822"/>
    <n v="2704"/>
    <x v="2"/>
    <n v="3"/>
    <n v="2"/>
    <x v="0"/>
    <n v="1918"/>
    <x v="1"/>
    <x v="3"/>
    <x v="2"/>
    <x v="1"/>
    <n v="849093"/>
    <x v="3"/>
  </r>
  <r>
    <n v="823"/>
    <n v="3097"/>
    <x v="2"/>
    <n v="5"/>
    <n v="1"/>
    <x v="1"/>
    <n v="1911"/>
    <x v="1"/>
    <x v="3"/>
    <x v="2"/>
    <x v="0"/>
    <n v="720951"/>
    <x v="3"/>
  </r>
  <r>
    <n v="824"/>
    <n v="1620"/>
    <x v="0"/>
    <n v="1"/>
    <n v="3"/>
    <x v="0"/>
    <n v="1914"/>
    <x v="1"/>
    <x v="1"/>
    <x v="3"/>
    <x v="1"/>
    <n v="383862"/>
    <x v="2"/>
  </r>
  <r>
    <n v="825"/>
    <n v="3568"/>
    <x v="2"/>
    <n v="3"/>
    <n v="4"/>
    <x v="0"/>
    <n v="1930"/>
    <x v="1"/>
    <x v="1"/>
    <x v="2"/>
    <x v="1"/>
    <n v="760595"/>
    <x v="3"/>
  </r>
  <r>
    <n v="826"/>
    <n v="1450"/>
    <x v="0"/>
    <n v="4"/>
    <n v="3"/>
    <x v="0"/>
    <n v="1942"/>
    <x v="1"/>
    <x v="0"/>
    <x v="2"/>
    <x v="1"/>
    <n v="320114"/>
    <x v="2"/>
  </r>
  <r>
    <n v="827"/>
    <n v="2836"/>
    <x v="2"/>
    <n v="2"/>
    <n v="4"/>
    <x v="2"/>
    <n v="2000"/>
    <x v="2"/>
    <x v="0"/>
    <x v="2"/>
    <x v="0"/>
    <n v="97922"/>
    <x v="0"/>
  </r>
  <r>
    <n v="828"/>
    <n v="2743"/>
    <x v="2"/>
    <n v="1"/>
    <n v="1"/>
    <x v="2"/>
    <n v="1936"/>
    <x v="1"/>
    <x v="0"/>
    <x v="0"/>
    <x v="0"/>
    <n v="543614"/>
    <x v="1"/>
  </r>
  <r>
    <n v="829"/>
    <n v="3145"/>
    <x v="2"/>
    <n v="2"/>
    <n v="1"/>
    <x v="0"/>
    <n v="1978"/>
    <x v="2"/>
    <x v="3"/>
    <x v="2"/>
    <x v="1"/>
    <n v="867187"/>
    <x v="3"/>
  </r>
  <r>
    <n v="830"/>
    <n v="2357"/>
    <x v="0"/>
    <n v="3"/>
    <n v="2"/>
    <x v="0"/>
    <n v="1928"/>
    <x v="1"/>
    <x v="3"/>
    <x v="2"/>
    <x v="1"/>
    <n v="695214"/>
    <x v="3"/>
  </r>
  <r>
    <n v="831"/>
    <n v="2365"/>
    <x v="0"/>
    <n v="5"/>
    <n v="4"/>
    <x v="0"/>
    <n v="2013"/>
    <x v="3"/>
    <x v="2"/>
    <x v="1"/>
    <x v="0"/>
    <n v="69416"/>
    <x v="0"/>
  </r>
  <r>
    <n v="832"/>
    <n v="3412"/>
    <x v="2"/>
    <n v="5"/>
    <n v="2"/>
    <x v="2"/>
    <n v="2006"/>
    <x v="3"/>
    <x v="0"/>
    <x v="0"/>
    <x v="0"/>
    <n v="63672"/>
    <x v="0"/>
  </r>
  <r>
    <n v="833"/>
    <n v="3353"/>
    <x v="2"/>
    <n v="4"/>
    <n v="2"/>
    <x v="0"/>
    <n v="1925"/>
    <x v="1"/>
    <x v="3"/>
    <x v="3"/>
    <x v="0"/>
    <n v="526684"/>
    <x v="1"/>
  </r>
  <r>
    <n v="834"/>
    <n v="3728"/>
    <x v="2"/>
    <n v="5"/>
    <n v="1"/>
    <x v="0"/>
    <n v="2007"/>
    <x v="3"/>
    <x v="2"/>
    <x v="3"/>
    <x v="0"/>
    <n v="178145"/>
    <x v="0"/>
  </r>
  <r>
    <n v="835"/>
    <n v="4219"/>
    <x v="1"/>
    <n v="1"/>
    <n v="3"/>
    <x v="1"/>
    <n v="1901"/>
    <x v="1"/>
    <x v="0"/>
    <x v="2"/>
    <x v="0"/>
    <n v="752356"/>
    <x v="3"/>
  </r>
  <r>
    <n v="836"/>
    <n v="3728"/>
    <x v="2"/>
    <n v="5"/>
    <n v="3"/>
    <x v="1"/>
    <n v="1983"/>
    <x v="2"/>
    <x v="1"/>
    <x v="3"/>
    <x v="1"/>
    <n v="910527"/>
    <x v="3"/>
  </r>
  <r>
    <n v="837"/>
    <n v="2871"/>
    <x v="2"/>
    <n v="4"/>
    <n v="2"/>
    <x v="2"/>
    <n v="1914"/>
    <x v="1"/>
    <x v="1"/>
    <x v="3"/>
    <x v="0"/>
    <n v="50064"/>
    <x v="0"/>
  </r>
  <r>
    <n v="838"/>
    <n v="3391"/>
    <x v="2"/>
    <n v="3"/>
    <n v="1"/>
    <x v="1"/>
    <n v="2015"/>
    <x v="3"/>
    <x v="3"/>
    <x v="3"/>
    <x v="1"/>
    <n v="118835"/>
    <x v="0"/>
  </r>
  <r>
    <n v="839"/>
    <n v="4256"/>
    <x v="1"/>
    <n v="3"/>
    <n v="4"/>
    <x v="1"/>
    <n v="1903"/>
    <x v="1"/>
    <x v="2"/>
    <x v="2"/>
    <x v="0"/>
    <n v="251457"/>
    <x v="2"/>
  </r>
  <r>
    <n v="840"/>
    <n v="4725"/>
    <x v="1"/>
    <n v="5"/>
    <n v="3"/>
    <x v="1"/>
    <n v="1985"/>
    <x v="2"/>
    <x v="1"/>
    <x v="3"/>
    <x v="1"/>
    <n v="973143"/>
    <x v="3"/>
  </r>
  <r>
    <n v="841"/>
    <n v="594"/>
    <x v="3"/>
    <n v="2"/>
    <n v="2"/>
    <x v="2"/>
    <n v="1949"/>
    <x v="1"/>
    <x v="2"/>
    <x v="2"/>
    <x v="1"/>
    <n v="297795"/>
    <x v="2"/>
  </r>
  <r>
    <n v="842"/>
    <n v="3174"/>
    <x v="2"/>
    <n v="3"/>
    <n v="3"/>
    <x v="1"/>
    <n v="1937"/>
    <x v="1"/>
    <x v="2"/>
    <x v="1"/>
    <x v="0"/>
    <n v="454271"/>
    <x v="1"/>
  </r>
  <r>
    <n v="843"/>
    <n v="2455"/>
    <x v="0"/>
    <n v="5"/>
    <n v="3"/>
    <x v="2"/>
    <n v="1922"/>
    <x v="1"/>
    <x v="1"/>
    <x v="1"/>
    <x v="1"/>
    <n v="399738"/>
    <x v="2"/>
  </r>
  <r>
    <n v="844"/>
    <n v="1293"/>
    <x v="0"/>
    <n v="4"/>
    <n v="4"/>
    <x v="0"/>
    <n v="1958"/>
    <x v="0"/>
    <x v="2"/>
    <x v="3"/>
    <x v="1"/>
    <n v="996931"/>
    <x v="3"/>
  </r>
  <r>
    <n v="845"/>
    <n v="2334"/>
    <x v="0"/>
    <n v="5"/>
    <n v="1"/>
    <x v="1"/>
    <n v="1989"/>
    <x v="2"/>
    <x v="1"/>
    <x v="1"/>
    <x v="1"/>
    <n v="691204"/>
    <x v="3"/>
  </r>
  <r>
    <n v="846"/>
    <n v="2616"/>
    <x v="2"/>
    <n v="3"/>
    <n v="4"/>
    <x v="2"/>
    <n v="2014"/>
    <x v="3"/>
    <x v="3"/>
    <x v="2"/>
    <x v="1"/>
    <n v="956740"/>
    <x v="3"/>
  </r>
  <r>
    <n v="847"/>
    <n v="4606"/>
    <x v="1"/>
    <n v="4"/>
    <n v="1"/>
    <x v="1"/>
    <n v="1974"/>
    <x v="0"/>
    <x v="0"/>
    <x v="1"/>
    <x v="0"/>
    <n v="918948"/>
    <x v="3"/>
  </r>
  <r>
    <n v="848"/>
    <n v="3825"/>
    <x v="2"/>
    <n v="5"/>
    <n v="3"/>
    <x v="0"/>
    <n v="1927"/>
    <x v="1"/>
    <x v="0"/>
    <x v="3"/>
    <x v="1"/>
    <n v="901098"/>
    <x v="3"/>
  </r>
  <r>
    <n v="849"/>
    <n v="3419"/>
    <x v="2"/>
    <n v="1"/>
    <n v="2"/>
    <x v="2"/>
    <n v="2019"/>
    <x v="3"/>
    <x v="3"/>
    <x v="2"/>
    <x v="0"/>
    <n v="245346"/>
    <x v="2"/>
  </r>
  <r>
    <n v="850"/>
    <n v="3097"/>
    <x v="2"/>
    <n v="4"/>
    <n v="4"/>
    <x v="2"/>
    <n v="1965"/>
    <x v="0"/>
    <x v="1"/>
    <x v="0"/>
    <x v="1"/>
    <n v="954726"/>
    <x v="3"/>
  </r>
  <r>
    <n v="851"/>
    <n v="3705"/>
    <x v="2"/>
    <n v="1"/>
    <n v="1"/>
    <x v="2"/>
    <n v="2022"/>
    <x v="3"/>
    <x v="1"/>
    <x v="2"/>
    <x v="0"/>
    <n v="323010"/>
    <x v="2"/>
  </r>
  <r>
    <n v="852"/>
    <n v="1314"/>
    <x v="0"/>
    <n v="2"/>
    <n v="3"/>
    <x v="0"/>
    <n v="1907"/>
    <x v="1"/>
    <x v="1"/>
    <x v="1"/>
    <x v="0"/>
    <n v="53889"/>
    <x v="0"/>
  </r>
  <r>
    <n v="853"/>
    <n v="845"/>
    <x v="3"/>
    <n v="4"/>
    <n v="1"/>
    <x v="0"/>
    <n v="1928"/>
    <x v="1"/>
    <x v="1"/>
    <x v="0"/>
    <x v="0"/>
    <n v="168194"/>
    <x v="0"/>
  </r>
  <r>
    <n v="854"/>
    <n v="2849"/>
    <x v="2"/>
    <n v="1"/>
    <n v="1"/>
    <x v="0"/>
    <n v="1910"/>
    <x v="1"/>
    <x v="3"/>
    <x v="2"/>
    <x v="1"/>
    <n v="174714"/>
    <x v="0"/>
  </r>
  <r>
    <n v="855"/>
    <n v="862"/>
    <x v="3"/>
    <n v="3"/>
    <n v="1"/>
    <x v="2"/>
    <n v="2000"/>
    <x v="2"/>
    <x v="0"/>
    <x v="0"/>
    <x v="0"/>
    <n v="605623"/>
    <x v="3"/>
  </r>
  <r>
    <n v="856"/>
    <n v="2943"/>
    <x v="2"/>
    <n v="3"/>
    <n v="3"/>
    <x v="0"/>
    <n v="1917"/>
    <x v="1"/>
    <x v="2"/>
    <x v="0"/>
    <x v="0"/>
    <n v="100547"/>
    <x v="0"/>
  </r>
  <r>
    <n v="857"/>
    <n v="2765"/>
    <x v="2"/>
    <n v="2"/>
    <n v="2"/>
    <x v="1"/>
    <n v="1954"/>
    <x v="0"/>
    <x v="2"/>
    <x v="0"/>
    <x v="1"/>
    <n v="207234"/>
    <x v="2"/>
  </r>
  <r>
    <n v="858"/>
    <n v="2688"/>
    <x v="2"/>
    <n v="4"/>
    <n v="2"/>
    <x v="0"/>
    <n v="1949"/>
    <x v="1"/>
    <x v="0"/>
    <x v="2"/>
    <x v="0"/>
    <n v="794809"/>
    <x v="3"/>
  </r>
  <r>
    <n v="859"/>
    <n v="3505"/>
    <x v="2"/>
    <n v="4"/>
    <n v="2"/>
    <x v="2"/>
    <n v="1913"/>
    <x v="1"/>
    <x v="3"/>
    <x v="1"/>
    <x v="1"/>
    <n v="730047"/>
    <x v="3"/>
  </r>
  <r>
    <n v="860"/>
    <n v="3781"/>
    <x v="2"/>
    <n v="4"/>
    <n v="1"/>
    <x v="1"/>
    <n v="2017"/>
    <x v="3"/>
    <x v="2"/>
    <x v="2"/>
    <x v="1"/>
    <n v="935188"/>
    <x v="3"/>
  </r>
  <r>
    <n v="861"/>
    <n v="1484"/>
    <x v="0"/>
    <n v="2"/>
    <n v="3"/>
    <x v="0"/>
    <n v="1973"/>
    <x v="0"/>
    <x v="0"/>
    <x v="1"/>
    <x v="0"/>
    <n v="323139"/>
    <x v="2"/>
  </r>
  <r>
    <n v="862"/>
    <n v="2139"/>
    <x v="0"/>
    <n v="4"/>
    <n v="1"/>
    <x v="1"/>
    <n v="1998"/>
    <x v="2"/>
    <x v="3"/>
    <x v="2"/>
    <x v="1"/>
    <n v="499704"/>
    <x v="1"/>
  </r>
  <r>
    <n v="863"/>
    <n v="1327"/>
    <x v="0"/>
    <n v="3"/>
    <n v="2"/>
    <x v="1"/>
    <n v="1908"/>
    <x v="1"/>
    <x v="2"/>
    <x v="2"/>
    <x v="1"/>
    <n v="52631"/>
    <x v="0"/>
  </r>
  <r>
    <n v="864"/>
    <n v="3230"/>
    <x v="2"/>
    <n v="1"/>
    <n v="2"/>
    <x v="2"/>
    <n v="1998"/>
    <x v="2"/>
    <x v="1"/>
    <x v="2"/>
    <x v="1"/>
    <n v="187039"/>
    <x v="0"/>
  </r>
  <r>
    <n v="865"/>
    <n v="4031"/>
    <x v="1"/>
    <n v="3"/>
    <n v="3"/>
    <x v="1"/>
    <n v="1910"/>
    <x v="1"/>
    <x v="1"/>
    <x v="1"/>
    <x v="0"/>
    <n v="924726"/>
    <x v="3"/>
  </r>
  <r>
    <n v="866"/>
    <n v="4951"/>
    <x v="1"/>
    <n v="3"/>
    <n v="1"/>
    <x v="1"/>
    <n v="1962"/>
    <x v="0"/>
    <x v="3"/>
    <x v="2"/>
    <x v="1"/>
    <n v="399422"/>
    <x v="2"/>
  </r>
  <r>
    <n v="867"/>
    <n v="3435"/>
    <x v="2"/>
    <n v="1"/>
    <n v="4"/>
    <x v="2"/>
    <n v="2007"/>
    <x v="3"/>
    <x v="1"/>
    <x v="0"/>
    <x v="1"/>
    <n v="638759"/>
    <x v="3"/>
  </r>
  <r>
    <n v="868"/>
    <n v="4376"/>
    <x v="1"/>
    <n v="3"/>
    <n v="4"/>
    <x v="2"/>
    <n v="1975"/>
    <x v="0"/>
    <x v="3"/>
    <x v="2"/>
    <x v="1"/>
    <n v="349260"/>
    <x v="2"/>
  </r>
  <r>
    <n v="869"/>
    <n v="626"/>
    <x v="3"/>
    <n v="2"/>
    <n v="2"/>
    <x v="2"/>
    <n v="1966"/>
    <x v="0"/>
    <x v="0"/>
    <x v="0"/>
    <x v="0"/>
    <n v="928548"/>
    <x v="3"/>
  </r>
  <r>
    <n v="870"/>
    <n v="3677"/>
    <x v="2"/>
    <n v="1"/>
    <n v="3"/>
    <x v="1"/>
    <n v="1952"/>
    <x v="0"/>
    <x v="0"/>
    <x v="3"/>
    <x v="1"/>
    <n v="477443"/>
    <x v="1"/>
  </r>
  <r>
    <n v="871"/>
    <n v="3556"/>
    <x v="2"/>
    <n v="3"/>
    <n v="1"/>
    <x v="1"/>
    <n v="1938"/>
    <x v="1"/>
    <x v="2"/>
    <x v="3"/>
    <x v="0"/>
    <n v="707302"/>
    <x v="3"/>
  </r>
  <r>
    <n v="872"/>
    <n v="1103"/>
    <x v="0"/>
    <n v="5"/>
    <n v="1"/>
    <x v="1"/>
    <n v="1977"/>
    <x v="2"/>
    <x v="3"/>
    <x v="1"/>
    <x v="1"/>
    <n v="621952"/>
    <x v="3"/>
  </r>
  <r>
    <n v="873"/>
    <n v="3949"/>
    <x v="2"/>
    <n v="3"/>
    <n v="2"/>
    <x v="2"/>
    <n v="1955"/>
    <x v="0"/>
    <x v="2"/>
    <x v="1"/>
    <x v="0"/>
    <n v="733429"/>
    <x v="3"/>
  </r>
  <r>
    <n v="874"/>
    <n v="4646"/>
    <x v="1"/>
    <n v="2"/>
    <n v="2"/>
    <x v="0"/>
    <n v="1927"/>
    <x v="1"/>
    <x v="2"/>
    <x v="3"/>
    <x v="0"/>
    <n v="137342"/>
    <x v="0"/>
  </r>
  <r>
    <n v="875"/>
    <n v="4033"/>
    <x v="1"/>
    <n v="4"/>
    <n v="1"/>
    <x v="1"/>
    <n v="1974"/>
    <x v="0"/>
    <x v="0"/>
    <x v="2"/>
    <x v="0"/>
    <n v="64407"/>
    <x v="0"/>
  </r>
  <r>
    <n v="876"/>
    <n v="3867"/>
    <x v="2"/>
    <n v="3"/>
    <n v="1"/>
    <x v="0"/>
    <n v="1938"/>
    <x v="1"/>
    <x v="2"/>
    <x v="2"/>
    <x v="1"/>
    <n v="163926"/>
    <x v="0"/>
  </r>
  <r>
    <n v="877"/>
    <n v="3868"/>
    <x v="2"/>
    <n v="4"/>
    <n v="2"/>
    <x v="2"/>
    <n v="1924"/>
    <x v="1"/>
    <x v="1"/>
    <x v="2"/>
    <x v="1"/>
    <n v="371345"/>
    <x v="2"/>
  </r>
  <r>
    <n v="878"/>
    <n v="4297"/>
    <x v="1"/>
    <n v="5"/>
    <n v="1"/>
    <x v="1"/>
    <n v="1920"/>
    <x v="1"/>
    <x v="2"/>
    <x v="3"/>
    <x v="1"/>
    <n v="916525"/>
    <x v="3"/>
  </r>
  <r>
    <n v="879"/>
    <n v="2292"/>
    <x v="0"/>
    <n v="3"/>
    <n v="4"/>
    <x v="0"/>
    <n v="1909"/>
    <x v="1"/>
    <x v="3"/>
    <x v="0"/>
    <x v="0"/>
    <n v="497564"/>
    <x v="1"/>
  </r>
  <r>
    <n v="880"/>
    <n v="3361"/>
    <x v="2"/>
    <n v="1"/>
    <n v="2"/>
    <x v="1"/>
    <n v="1942"/>
    <x v="1"/>
    <x v="1"/>
    <x v="1"/>
    <x v="1"/>
    <n v="787341"/>
    <x v="3"/>
  </r>
  <r>
    <n v="881"/>
    <n v="3976"/>
    <x v="2"/>
    <n v="4"/>
    <n v="1"/>
    <x v="1"/>
    <n v="1914"/>
    <x v="1"/>
    <x v="0"/>
    <x v="0"/>
    <x v="1"/>
    <n v="592166"/>
    <x v="1"/>
  </r>
  <r>
    <n v="882"/>
    <n v="3917"/>
    <x v="2"/>
    <n v="5"/>
    <n v="2"/>
    <x v="1"/>
    <n v="1982"/>
    <x v="2"/>
    <x v="3"/>
    <x v="3"/>
    <x v="0"/>
    <n v="133100"/>
    <x v="0"/>
  </r>
  <r>
    <n v="883"/>
    <n v="2145"/>
    <x v="0"/>
    <n v="1"/>
    <n v="3"/>
    <x v="0"/>
    <n v="1947"/>
    <x v="1"/>
    <x v="1"/>
    <x v="0"/>
    <x v="1"/>
    <n v="915061"/>
    <x v="3"/>
  </r>
  <r>
    <n v="884"/>
    <n v="1705"/>
    <x v="0"/>
    <n v="1"/>
    <n v="2"/>
    <x v="2"/>
    <n v="1985"/>
    <x v="2"/>
    <x v="3"/>
    <x v="2"/>
    <x v="1"/>
    <n v="498636"/>
    <x v="1"/>
  </r>
  <r>
    <n v="885"/>
    <n v="3530"/>
    <x v="2"/>
    <n v="1"/>
    <n v="2"/>
    <x v="1"/>
    <n v="1920"/>
    <x v="1"/>
    <x v="1"/>
    <x v="2"/>
    <x v="0"/>
    <n v="544308"/>
    <x v="1"/>
  </r>
  <r>
    <n v="886"/>
    <n v="3372"/>
    <x v="2"/>
    <n v="1"/>
    <n v="3"/>
    <x v="2"/>
    <n v="1959"/>
    <x v="0"/>
    <x v="3"/>
    <x v="0"/>
    <x v="0"/>
    <n v="273059"/>
    <x v="2"/>
  </r>
  <r>
    <n v="887"/>
    <n v="3572"/>
    <x v="2"/>
    <n v="3"/>
    <n v="4"/>
    <x v="2"/>
    <n v="2015"/>
    <x v="3"/>
    <x v="3"/>
    <x v="3"/>
    <x v="1"/>
    <n v="617456"/>
    <x v="3"/>
  </r>
  <r>
    <n v="888"/>
    <n v="2354"/>
    <x v="0"/>
    <n v="3"/>
    <n v="1"/>
    <x v="0"/>
    <n v="2007"/>
    <x v="3"/>
    <x v="1"/>
    <x v="0"/>
    <x v="0"/>
    <n v="300396"/>
    <x v="2"/>
  </r>
  <r>
    <n v="889"/>
    <n v="4521"/>
    <x v="1"/>
    <n v="3"/>
    <n v="3"/>
    <x v="0"/>
    <n v="1995"/>
    <x v="2"/>
    <x v="0"/>
    <x v="2"/>
    <x v="1"/>
    <n v="824769"/>
    <x v="3"/>
  </r>
  <r>
    <n v="890"/>
    <n v="3208"/>
    <x v="2"/>
    <n v="5"/>
    <n v="2"/>
    <x v="2"/>
    <n v="1949"/>
    <x v="1"/>
    <x v="0"/>
    <x v="2"/>
    <x v="1"/>
    <n v="367006"/>
    <x v="2"/>
  </r>
  <r>
    <n v="891"/>
    <n v="4002"/>
    <x v="1"/>
    <n v="5"/>
    <n v="1"/>
    <x v="1"/>
    <n v="1922"/>
    <x v="1"/>
    <x v="3"/>
    <x v="3"/>
    <x v="1"/>
    <n v="78004"/>
    <x v="0"/>
  </r>
  <r>
    <n v="892"/>
    <n v="1832"/>
    <x v="0"/>
    <n v="5"/>
    <n v="3"/>
    <x v="0"/>
    <n v="1912"/>
    <x v="1"/>
    <x v="3"/>
    <x v="0"/>
    <x v="1"/>
    <n v="856903"/>
    <x v="3"/>
  </r>
  <r>
    <n v="893"/>
    <n v="701"/>
    <x v="3"/>
    <n v="2"/>
    <n v="1"/>
    <x v="1"/>
    <n v="1968"/>
    <x v="0"/>
    <x v="0"/>
    <x v="2"/>
    <x v="1"/>
    <n v="574252"/>
    <x v="1"/>
  </r>
  <r>
    <n v="894"/>
    <n v="4007"/>
    <x v="1"/>
    <n v="5"/>
    <n v="1"/>
    <x v="1"/>
    <n v="1903"/>
    <x v="1"/>
    <x v="0"/>
    <x v="2"/>
    <x v="0"/>
    <n v="666108"/>
    <x v="3"/>
  </r>
  <r>
    <n v="895"/>
    <n v="4712"/>
    <x v="1"/>
    <n v="3"/>
    <n v="3"/>
    <x v="1"/>
    <n v="1991"/>
    <x v="2"/>
    <x v="2"/>
    <x v="0"/>
    <x v="0"/>
    <n v="241239"/>
    <x v="2"/>
  </r>
  <r>
    <n v="896"/>
    <n v="1074"/>
    <x v="0"/>
    <n v="3"/>
    <n v="1"/>
    <x v="2"/>
    <n v="1977"/>
    <x v="2"/>
    <x v="0"/>
    <x v="0"/>
    <x v="1"/>
    <n v="676517"/>
    <x v="3"/>
  </r>
  <r>
    <n v="897"/>
    <n v="1036"/>
    <x v="0"/>
    <n v="2"/>
    <n v="4"/>
    <x v="1"/>
    <n v="1971"/>
    <x v="0"/>
    <x v="3"/>
    <x v="1"/>
    <x v="0"/>
    <n v="527044"/>
    <x v="1"/>
  </r>
  <r>
    <n v="898"/>
    <n v="2125"/>
    <x v="0"/>
    <n v="2"/>
    <n v="3"/>
    <x v="2"/>
    <n v="1908"/>
    <x v="1"/>
    <x v="1"/>
    <x v="3"/>
    <x v="0"/>
    <n v="901740"/>
    <x v="3"/>
  </r>
  <r>
    <n v="899"/>
    <n v="2622"/>
    <x v="2"/>
    <n v="5"/>
    <n v="4"/>
    <x v="2"/>
    <n v="2020"/>
    <x v="3"/>
    <x v="0"/>
    <x v="3"/>
    <x v="1"/>
    <n v="396113"/>
    <x v="2"/>
  </r>
  <r>
    <n v="900"/>
    <n v="885"/>
    <x v="3"/>
    <n v="4"/>
    <n v="2"/>
    <x v="1"/>
    <n v="2014"/>
    <x v="3"/>
    <x v="2"/>
    <x v="0"/>
    <x v="0"/>
    <n v="64568"/>
    <x v="0"/>
  </r>
  <r>
    <n v="901"/>
    <n v="3781"/>
    <x v="2"/>
    <n v="2"/>
    <n v="1"/>
    <x v="1"/>
    <n v="1934"/>
    <x v="1"/>
    <x v="2"/>
    <x v="3"/>
    <x v="0"/>
    <n v="583754"/>
    <x v="1"/>
  </r>
  <r>
    <n v="902"/>
    <n v="974"/>
    <x v="3"/>
    <n v="1"/>
    <n v="2"/>
    <x v="1"/>
    <n v="2000"/>
    <x v="2"/>
    <x v="2"/>
    <x v="2"/>
    <x v="1"/>
    <n v="272129"/>
    <x v="2"/>
  </r>
  <r>
    <n v="903"/>
    <n v="917"/>
    <x v="3"/>
    <n v="3"/>
    <n v="2"/>
    <x v="1"/>
    <n v="1920"/>
    <x v="1"/>
    <x v="1"/>
    <x v="0"/>
    <x v="1"/>
    <n v="631612"/>
    <x v="3"/>
  </r>
  <r>
    <n v="904"/>
    <n v="4100"/>
    <x v="1"/>
    <n v="1"/>
    <n v="1"/>
    <x v="2"/>
    <n v="1957"/>
    <x v="0"/>
    <x v="0"/>
    <x v="0"/>
    <x v="1"/>
    <n v="938640"/>
    <x v="3"/>
  </r>
  <r>
    <n v="905"/>
    <n v="1454"/>
    <x v="0"/>
    <n v="3"/>
    <n v="3"/>
    <x v="1"/>
    <n v="1917"/>
    <x v="1"/>
    <x v="0"/>
    <x v="0"/>
    <x v="1"/>
    <n v="196539"/>
    <x v="0"/>
  </r>
  <r>
    <n v="906"/>
    <n v="1705"/>
    <x v="0"/>
    <n v="3"/>
    <n v="1"/>
    <x v="1"/>
    <n v="1996"/>
    <x v="2"/>
    <x v="0"/>
    <x v="1"/>
    <x v="1"/>
    <n v="650243"/>
    <x v="3"/>
  </r>
  <r>
    <n v="907"/>
    <n v="4620"/>
    <x v="1"/>
    <n v="2"/>
    <n v="2"/>
    <x v="2"/>
    <n v="1971"/>
    <x v="0"/>
    <x v="1"/>
    <x v="3"/>
    <x v="1"/>
    <n v="197748"/>
    <x v="0"/>
  </r>
  <r>
    <n v="908"/>
    <n v="2490"/>
    <x v="0"/>
    <n v="2"/>
    <n v="2"/>
    <x v="0"/>
    <n v="2014"/>
    <x v="3"/>
    <x v="1"/>
    <x v="1"/>
    <x v="1"/>
    <n v="144791"/>
    <x v="0"/>
  </r>
  <r>
    <n v="909"/>
    <n v="4072"/>
    <x v="1"/>
    <n v="1"/>
    <n v="3"/>
    <x v="0"/>
    <n v="2012"/>
    <x v="3"/>
    <x v="3"/>
    <x v="2"/>
    <x v="0"/>
    <n v="736874"/>
    <x v="3"/>
  </r>
  <r>
    <n v="910"/>
    <n v="4880"/>
    <x v="1"/>
    <n v="3"/>
    <n v="1"/>
    <x v="2"/>
    <n v="1980"/>
    <x v="2"/>
    <x v="2"/>
    <x v="3"/>
    <x v="1"/>
    <n v="945150"/>
    <x v="3"/>
  </r>
  <r>
    <n v="911"/>
    <n v="4658"/>
    <x v="1"/>
    <n v="1"/>
    <n v="2"/>
    <x v="0"/>
    <n v="1942"/>
    <x v="1"/>
    <x v="2"/>
    <x v="1"/>
    <x v="0"/>
    <n v="596938"/>
    <x v="1"/>
  </r>
  <r>
    <n v="912"/>
    <n v="3213"/>
    <x v="2"/>
    <n v="4"/>
    <n v="4"/>
    <x v="2"/>
    <n v="1994"/>
    <x v="2"/>
    <x v="0"/>
    <x v="0"/>
    <x v="0"/>
    <n v="400434"/>
    <x v="1"/>
  </r>
  <r>
    <n v="913"/>
    <n v="2703"/>
    <x v="2"/>
    <n v="1"/>
    <n v="2"/>
    <x v="1"/>
    <n v="1997"/>
    <x v="2"/>
    <x v="1"/>
    <x v="1"/>
    <x v="1"/>
    <n v="127701"/>
    <x v="0"/>
  </r>
  <r>
    <n v="914"/>
    <n v="3620"/>
    <x v="2"/>
    <n v="5"/>
    <n v="2"/>
    <x v="1"/>
    <n v="1905"/>
    <x v="1"/>
    <x v="1"/>
    <x v="0"/>
    <x v="0"/>
    <n v="847115"/>
    <x v="3"/>
  </r>
  <r>
    <n v="915"/>
    <n v="1466"/>
    <x v="0"/>
    <n v="1"/>
    <n v="3"/>
    <x v="0"/>
    <n v="1985"/>
    <x v="2"/>
    <x v="0"/>
    <x v="1"/>
    <x v="0"/>
    <n v="279164"/>
    <x v="2"/>
  </r>
  <r>
    <n v="916"/>
    <n v="3932"/>
    <x v="2"/>
    <n v="5"/>
    <n v="4"/>
    <x v="1"/>
    <n v="1977"/>
    <x v="2"/>
    <x v="0"/>
    <x v="1"/>
    <x v="0"/>
    <n v="503035"/>
    <x v="1"/>
  </r>
  <r>
    <n v="917"/>
    <n v="1188"/>
    <x v="0"/>
    <n v="5"/>
    <n v="2"/>
    <x v="0"/>
    <n v="1966"/>
    <x v="0"/>
    <x v="3"/>
    <x v="1"/>
    <x v="1"/>
    <n v="655266"/>
    <x v="3"/>
  </r>
  <r>
    <n v="918"/>
    <n v="4743"/>
    <x v="1"/>
    <n v="5"/>
    <n v="2"/>
    <x v="0"/>
    <n v="1911"/>
    <x v="1"/>
    <x v="2"/>
    <x v="0"/>
    <x v="0"/>
    <n v="579148"/>
    <x v="1"/>
  </r>
  <r>
    <n v="919"/>
    <n v="4201"/>
    <x v="1"/>
    <n v="4"/>
    <n v="4"/>
    <x v="1"/>
    <n v="1999"/>
    <x v="2"/>
    <x v="2"/>
    <x v="1"/>
    <x v="0"/>
    <n v="709089"/>
    <x v="3"/>
  </r>
  <r>
    <n v="920"/>
    <n v="841"/>
    <x v="3"/>
    <n v="1"/>
    <n v="1"/>
    <x v="1"/>
    <n v="1911"/>
    <x v="1"/>
    <x v="2"/>
    <x v="3"/>
    <x v="1"/>
    <n v="605639"/>
    <x v="3"/>
  </r>
  <r>
    <n v="921"/>
    <n v="2224"/>
    <x v="0"/>
    <n v="1"/>
    <n v="1"/>
    <x v="0"/>
    <n v="2008"/>
    <x v="3"/>
    <x v="3"/>
    <x v="3"/>
    <x v="0"/>
    <n v="555920"/>
    <x v="1"/>
  </r>
  <r>
    <n v="922"/>
    <n v="4922"/>
    <x v="1"/>
    <n v="4"/>
    <n v="2"/>
    <x v="1"/>
    <n v="1965"/>
    <x v="0"/>
    <x v="0"/>
    <x v="3"/>
    <x v="0"/>
    <n v="374888"/>
    <x v="2"/>
  </r>
  <r>
    <n v="923"/>
    <n v="2292"/>
    <x v="0"/>
    <n v="3"/>
    <n v="2"/>
    <x v="2"/>
    <n v="1901"/>
    <x v="1"/>
    <x v="0"/>
    <x v="0"/>
    <x v="0"/>
    <n v="729706"/>
    <x v="3"/>
  </r>
  <r>
    <n v="924"/>
    <n v="2259"/>
    <x v="0"/>
    <n v="2"/>
    <n v="1"/>
    <x v="1"/>
    <n v="1914"/>
    <x v="1"/>
    <x v="2"/>
    <x v="0"/>
    <x v="0"/>
    <n v="956630"/>
    <x v="3"/>
  </r>
  <r>
    <n v="925"/>
    <n v="3712"/>
    <x v="2"/>
    <n v="1"/>
    <n v="3"/>
    <x v="1"/>
    <n v="1922"/>
    <x v="1"/>
    <x v="2"/>
    <x v="3"/>
    <x v="0"/>
    <n v="910587"/>
    <x v="3"/>
  </r>
  <r>
    <n v="926"/>
    <n v="1489"/>
    <x v="0"/>
    <n v="2"/>
    <n v="4"/>
    <x v="2"/>
    <n v="1928"/>
    <x v="1"/>
    <x v="3"/>
    <x v="3"/>
    <x v="1"/>
    <n v="171449"/>
    <x v="0"/>
  </r>
  <r>
    <n v="927"/>
    <n v="2762"/>
    <x v="2"/>
    <n v="4"/>
    <n v="4"/>
    <x v="1"/>
    <n v="1980"/>
    <x v="2"/>
    <x v="1"/>
    <x v="3"/>
    <x v="0"/>
    <n v="650988"/>
    <x v="3"/>
  </r>
  <r>
    <n v="928"/>
    <n v="2982"/>
    <x v="2"/>
    <n v="3"/>
    <n v="3"/>
    <x v="1"/>
    <n v="1995"/>
    <x v="2"/>
    <x v="1"/>
    <x v="2"/>
    <x v="1"/>
    <n v="809774"/>
    <x v="3"/>
  </r>
  <r>
    <n v="929"/>
    <n v="1451"/>
    <x v="0"/>
    <n v="3"/>
    <n v="3"/>
    <x v="0"/>
    <n v="1906"/>
    <x v="1"/>
    <x v="2"/>
    <x v="3"/>
    <x v="0"/>
    <n v="843387"/>
    <x v="3"/>
  </r>
  <r>
    <n v="930"/>
    <n v="1222"/>
    <x v="0"/>
    <n v="3"/>
    <n v="3"/>
    <x v="1"/>
    <n v="1993"/>
    <x v="2"/>
    <x v="3"/>
    <x v="1"/>
    <x v="1"/>
    <n v="307571"/>
    <x v="2"/>
  </r>
  <r>
    <n v="931"/>
    <n v="3889"/>
    <x v="2"/>
    <n v="4"/>
    <n v="3"/>
    <x v="1"/>
    <n v="1927"/>
    <x v="1"/>
    <x v="2"/>
    <x v="2"/>
    <x v="1"/>
    <n v="513506"/>
    <x v="1"/>
  </r>
  <r>
    <n v="932"/>
    <n v="2579"/>
    <x v="2"/>
    <n v="5"/>
    <n v="3"/>
    <x v="2"/>
    <n v="1913"/>
    <x v="1"/>
    <x v="1"/>
    <x v="2"/>
    <x v="1"/>
    <n v="487509"/>
    <x v="1"/>
  </r>
  <r>
    <n v="933"/>
    <n v="3217"/>
    <x v="2"/>
    <n v="5"/>
    <n v="3"/>
    <x v="0"/>
    <n v="1943"/>
    <x v="1"/>
    <x v="2"/>
    <x v="0"/>
    <x v="0"/>
    <n v="766696"/>
    <x v="3"/>
  </r>
  <r>
    <n v="934"/>
    <n v="2832"/>
    <x v="2"/>
    <n v="2"/>
    <n v="4"/>
    <x v="0"/>
    <n v="1929"/>
    <x v="1"/>
    <x v="1"/>
    <x v="1"/>
    <x v="0"/>
    <n v="858094"/>
    <x v="3"/>
  </r>
  <r>
    <n v="935"/>
    <n v="3876"/>
    <x v="2"/>
    <n v="5"/>
    <n v="3"/>
    <x v="0"/>
    <n v="1980"/>
    <x v="2"/>
    <x v="1"/>
    <x v="0"/>
    <x v="0"/>
    <n v="580696"/>
    <x v="1"/>
  </r>
  <r>
    <n v="936"/>
    <n v="2000"/>
    <x v="0"/>
    <n v="5"/>
    <n v="1"/>
    <x v="1"/>
    <n v="1931"/>
    <x v="1"/>
    <x v="1"/>
    <x v="0"/>
    <x v="0"/>
    <n v="745763"/>
    <x v="3"/>
  </r>
  <r>
    <n v="937"/>
    <n v="785"/>
    <x v="3"/>
    <n v="3"/>
    <n v="3"/>
    <x v="0"/>
    <n v="2009"/>
    <x v="3"/>
    <x v="0"/>
    <x v="1"/>
    <x v="0"/>
    <n v="313369"/>
    <x v="2"/>
  </r>
  <r>
    <n v="938"/>
    <n v="3995"/>
    <x v="2"/>
    <n v="3"/>
    <n v="3"/>
    <x v="2"/>
    <n v="1969"/>
    <x v="0"/>
    <x v="0"/>
    <x v="0"/>
    <x v="1"/>
    <n v="979700"/>
    <x v="3"/>
  </r>
  <r>
    <n v="939"/>
    <n v="2565"/>
    <x v="2"/>
    <n v="2"/>
    <n v="4"/>
    <x v="0"/>
    <n v="2014"/>
    <x v="3"/>
    <x v="2"/>
    <x v="1"/>
    <x v="1"/>
    <n v="513002"/>
    <x v="1"/>
  </r>
  <r>
    <n v="940"/>
    <n v="1268"/>
    <x v="0"/>
    <n v="1"/>
    <n v="4"/>
    <x v="2"/>
    <n v="1987"/>
    <x v="2"/>
    <x v="1"/>
    <x v="1"/>
    <x v="1"/>
    <n v="196444"/>
    <x v="0"/>
  </r>
  <r>
    <n v="941"/>
    <n v="3557"/>
    <x v="2"/>
    <n v="2"/>
    <n v="3"/>
    <x v="0"/>
    <n v="1905"/>
    <x v="1"/>
    <x v="0"/>
    <x v="0"/>
    <x v="0"/>
    <n v="831608"/>
    <x v="3"/>
  </r>
  <r>
    <n v="942"/>
    <n v="4789"/>
    <x v="1"/>
    <n v="2"/>
    <n v="4"/>
    <x v="0"/>
    <n v="1926"/>
    <x v="1"/>
    <x v="2"/>
    <x v="3"/>
    <x v="0"/>
    <n v="591567"/>
    <x v="1"/>
  </r>
  <r>
    <n v="943"/>
    <n v="2661"/>
    <x v="2"/>
    <n v="4"/>
    <n v="2"/>
    <x v="2"/>
    <n v="1981"/>
    <x v="2"/>
    <x v="2"/>
    <x v="0"/>
    <x v="1"/>
    <n v="160401"/>
    <x v="0"/>
  </r>
  <r>
    <n v="944"/>
    <n v="3793"/>
    <x v="2"/>
    <n v="4"/>
    <n v="4"/>
    <x v="0"/>
    <n v="1987"/>
    <x v="2"/>
    <x v="2"/>
    <x v="2"/>
    <x v="0"/>
    <n v="276801"/>
    <x v="2"/>
  </r>
  <r>
    <n v="945"/>
    <n v="1446"/>
    <x v="0"/>
    <n v="2"/>
    <n v="4"/>
    <x v="0"/>
    <n v="2000"/>
    <x v="2"/>
    <x v="2"/>
    <x v="0"/>
    <x v="0"/>
    <n v="821668"/>
    <x v="3"/>
  </r>
  <r>
    <n v="946"/>
    <n v="3835"/>
    <x v="2"/>
    <n v="2"/>
    <n v="4"/>
    <x v="0"/>
    <n v="2019"/>
    <x v="3"/>
    <x v="2"/>
    <x v="1"/>
    <x v="1"/>
    <n v="553575"/>
    <x v="1"/>
  </r>
  <r>
    <n v="947"/>
    <n v="4650"/>
    <x v="1"/>
    <n v="2"/>
    <n v="4"/>
    <x v="1"/>
    <n v="1923"/>
    <x v="1"/>
    <x v="3"/>
    <x v="2"/>
    <x v="1"/>
    <n v="928836"/>
    <x v="3"/>
  </r>
  <r>
    <n v="948"/>
    <n v="1981"/>
    <x v="0"/>
    <n v="5"/>
    <n v="1"/>
    <x v="2"/>
    <n v="2001"/>
    <x v="3"/>
    <x v="1"/>
    <x v="1"/>
    <x v="0"/>
    <n v="219259"/>
    <x v="2"/>
  </r>
  <r>
    <n v="949"/>
    <n v="2401"/>
    <x v="0"/>
    <n v="4"/>
    <n v="1"/>
    <x v="0"/>
    <n v="1933"/>
    <x v="1"/>
    <x v="2"/>
    <x v="3"/>
    <x v="0"/>
    <n v="297145"/>
    <x v="2"/>
  </r>
  <r>
    <n v="950"/>
    <n v="3951"/>
    <x v="2"/>
    <n v="2"/>
    <n v="1"/>
    <x v="2"/>
    <n v="1939"/>
    <x v="1"/>
    <x v="3"/>
    <x v="3"/>
    <x v="1"/>
    <n v="360625"/>
    <x v="2"/>
  </r>
  <r>
    <n v="951"/>
    <n v="4564"/>
    <x v="1"/>
    <n v="3"/>
    <n v="3"/>
    <x v="2"/>
    <n v="1946"/>
    <x v="1"/>
    <x v="1"/>
    <x v="2"/>
    <x v="0"/>
    <n v="733835"/>
    <x v="3"/>
  </r>
  <r>
    <n v="952"/>
    <n v="554"/>
    <x v="3"/>
    <n v="3"/>
    <n v="3"/>
    <x v="2"/>
    <n v="1978"/>
    <x v="2"/>
    <x v="0"/>
    <x v="3"/>
    <x v="1"/>
    <n v="94552"/>
    <x v="0"/>
  </r>
  <r>
    <n v="953"/>
    <n v="2323"/>
    <x v="0"/>
    <n v="5"/>
    <n v="2"/>
    <x v="0"/>
    <n v="1974"/>
    <x v="0"/>
    <x v="2"/>
    <x v="3"/>
    <x v="1"/>
    <n v="249041"/>
    <x v="2"/>
  </r>
  <r>
    <n v="954"/>
    <n v="3962"/>
    <x v="2"/>
    <n v="5"/>
    <n v="1"/>
    <x v="0"/>
    <n v="1985"/>
    <x v="2"/>
    <x v="3"/>
    <x v="0"/>
    <x v="1"/>
    <n v="257606"/>
    <x v="2"/>
  </r>
  <r>
    <n v="955"/>
    <n v="3579"/>
    <x v="2"/>
    <n v="1"/>
    <n v="3"/>
    <x v="2"/>
    <n v="2017"/>
    <x v="3"/>
    <x v="0"/>
    <x v="0"/>
    <x v="0"/>
    <n v="804965"/>
    <x v="3"/>
  </r>
  <r>
    <n v="956"/>
    <n v="1332"/>
    <x v="0"/>
    <n v="1"/>
    <n v="4"/>
    <x v="1"/>
    <n v="1923"/>
    <x v="1"/>
    <x v="3"/>
    <x v="3"/>
    <x v="1"/>
    <n v="836157"/>
    <x v="3"/>
  </r>
  <r>
    <n v="957"/>
    <n v="4908"/>
    <x v="1"/>
    <n v="1"/>
    <n v="4"/>
    <x v="2"/>
    <n v="1964"/>
    <x v="0"/>
    <x v="1"/>
    <x v="3"/>
    <x v="1"/>
    <n v="450074"/>
    <x v="1"/>
  </r>
  <r>
    <n v="958"/>
    <n v="3306"/>
    <x v="2"/>
    <n v="5"/>
    <n v="1"/>
    <x v="1"/>
    <n v="1917"/>
    <x v="1"/>
    <x v="1"/>
    <x v="0"/>
    <x v="0"/>
    <n v="779846"/>
    <x v="3"/>
  </r>
  <r>
    <n v="959"/>
    <n v="2990"/>
    <x v="2"/>
    <n v="5"/>
    <n v="2"/>
    <x v="2"/>
    <n v="1943"/>
    <x v="1"/>
    <x v="0"/>
    <x v="3"/>
    <x v="1"/>
    <n v="124474"/>
    <x v="0"/>
  </r>
  <r>
    <n v="960"/>
    <n v="827"/>
    <x v="3"/>
    <n v="5"/>
    <n v="2"/>
    <x v="2"/>
    <n v="1975"/>
    <x v="0"/>
    <x v="3"/>
    <x v="3"/>
    <x v="0"/>
    <n v="337312"/>
    <x v="2"/>
  </r>
  <r>
    <n v="961"/>
    <n v="3810"/>
    <x v="2"/>
    <n v="3"/>
    <n v="4"/>
    <x v="2"/>
    <n v="1956"/>
    <x v="0"/>
    <x v="2"/>
    <x v="1"/>
    <x v="0"/>
    <n v="606387"/>
    <x v="3"/>
  </r>
  <r>
    <n v="962"/>
    <n v="3800"/>
    <x v="2"/>
    <n v="5"/>
    <n v="2"/>
    <x v="0"/>
    <n v="2006"/>
    <x v="3"/>
    <x v="2"/>
    <x v="3"/>
    <x v="0"/>
    <n v="252252"/>
    <x v="2"/>
  </r>
  <r>
    <n v="963"/>
    <n v="4175"/>
    <x v="1"/>
    <n v="3"/>
    <n v="1"/>
    <x v="1"/>
    <n v="1927"/>
    <x v="1"/>
    <x v="0"/>
    <x v="2"/>
    <x v="1"/>
    <n v="814742"/>
    <x v="3"/>
  </r>
  <r>
    <n v="964"/>
    <n v="3554"/>
    <x v="2"/>
    <n v="1"/>
    <n v="4"/>
    <x v="1"/>
    <n v="2003"/>
    <x v="3"/>
    <x v="0"/>
    <x v="1"/>
    <x v="1"/>
    <n v="373599"/>
    <x v="2"/>
  </r>
  <r>
    <n v="965"/>
    <n v="2643"/>
    <x v="2"/>
    <n v="1"/>
    <n v="3"/>
    <x v="2"/>
    <n v="2023"/>
    <x v="3"/>
    <x v="0"/>
    <x v="2"/>
    <x v="0"/>
    <n v="628528"/>
    <x v="3"/>
  </r>
  <r>
    <n v="966"/>
    <n v="1811"/>
    <x v="0"/>
    <n v="1"/>
    <n v="3"/>
    <x v="0"/>
    <n v="1970"/>
    <x v="0"/>
    <x v="3"/>
    <x v="3"/>
    <x v="0"/>
    <n v="386940"/>
    <x v="2"/>
  </r>
  <r>
    <n v="967"/>
    <n v="3691"/>
    <x v="2"/>
    <n v="2"/>
    <n v="2"/>
    <x v="0"/>
    <n v="1922"/>
    <x v="1"/>
    <x v="2"/>
    <x v="0"/>
    <x v="0"/>
    <n v="891024"/>
    <x v="3"/>
  </r>
  <r>
    <n v="968"/>
    <n v="3038"/>
    <x v="2"/>
    <n v="2"/>
    <n v="4"/>
    <x v="1"/>
    <n v="1984"/>
    <x v="2"/>
    <x v="2"/>
    <x v="1"/>
    <x v="1"/>
    <n v="835034"/>
    <x v="3"/>
  </r>
  <r>
    <n v="969"/>
    <n v="4483"/>
    <x v="1"/>
    <n v="4"/>
    <n v="4"/>
    <x v="0"/>
    <n v="1933"/>
    <x v="1"/>
    <x v="2"/>
    <x v="0"/>
    <x v="0"/>
    <n v="434325"/>
    <x v="1"/>
  </r>
  <r>
    <n v="970"/>
    <n v="664"/>
    <x v="3"/>
    <n v="4"/>
    <n v="3"/>
    <x v="1"/>
    <n v="1910"/>
    <x v="1"/>
    <x v="0"/>
    <x v="1"/>
    <x v="0"/>
    <n v="302051"/>
    <x v="2"/>
  </r>
  <r>
    <n v="971"/>
    <n v="4777"/>
    <x v="1"/>
    <n v="4"/>
    <n v="4"/>
    <x v="1"/>
    <n v="1985"/>
    <x v="2"/>
    <x v="2"/>
    <x v="0"/>
    <x v="0"/>
    <n v="151611"/>
    <x v="0"/>
  </r>
  <r>
    <n v="972"/>
    <n v="1322"/>
    <x v="0"/>
    <n v="2"/>
    <n v="4"/>
    <x v="1"/>
    <n v="2005"/>
    <x v="3"/>
    <x v="1"/>
    <x v="1"/>
    <x v="1"/>
    <n v="632334"/>
    <x v="3"/>
  </r>
  <r>
    <n v="973"/>
    <n v="1443"/>
    <x v="0"/>
    <n v="2"/>
    <n v="4"/>
    <x v="0"/>
    <n v="1934"/>
    <x v="1"/>
    <x v="0"/>
    <x v="1"/>
    <x v="0"/>
    <n v="824756"/>
    <x v="3"/>
  </r>
  <r>
    <n v="974"/>
    <n v="4925"/>
    <x v="1"/>
    <n v="4"/>
    <n v="2"/>
    <x v="1"/>
    <n v="2015"/>
    <x v="3"/>
    <x v="2"/>
    <x v="2"/>
    <x v="1"/>
    <n v="66488"/>
    <x v="0"/>
  </r>
  <r>
    <n v="975"/>
    <n v="1274"/>
    <x v="0"/>
    <n v="4"/>
    <n v="4"/>
    <x v="1"/>
    <n v="1992"/>
    <x v="2"/>
    <x v="3"/>
    <x v="0"/>
    <x v="1"/>
    <n v="239913"/>
    <x v="2"/>
  </r>
  <r>
    <n v="976"/>
    <n v="2698"/>
    <x v="2"/>
    <n v="5"/>
    <n v="1"/>
    <x v="2"/>
    <n v="1941"/>
    <x v="1"/>
    <x v="0"/>
    <x v="2"/>
    <x v="0"/>
    <n v="430665"/>
    <x v="1"/>
  </r>
  <r>
    <n v="977"/>
    <n v="3656"/>
    <x v="2"/>
    <n v="4"/>
    <n v="2"/>
    <x v="1"/>
    <n v="1927"/>
    <x v="1"/>
    <x v="1"/>
    <x v="2"/>
    <x v="0"/>
    <n v="967899"/>
    <x v="3"/>
  </r>
  <r>
    <n v="978"/>
    <n v="4742"/>
    <x v="1"/>
    <n v="5"/>
    <n v="4"/>
    <x v="1"/>
    <n v="2022"/>
    <x v="3"/>
    <x v="1"/>
    <x v="0"/>
    <x v="0"/>
    <n v="758029"/>
    <x v="3"/>
  </r>
  <r>
    <n v="979"/>
    <n v="4195"/>
    <x v="1"/>
    <n v="3"/>
    <n v="4"/>
    <x v="2"/>
    <n v="1981"/>
    <x v="2"/>
    <x v="3"/>
    <x v="1"/>
    <x v="1"/>
    <n v="716205"/>
    <x v="3"/>
  </r>
  <r>
    <n v="980"/>
    <n v="3952"/>
    <x v="2"/>
    <n v="2"/>
    <n v="1"/>
    <x v="2"/>
    <n v="1977"/>
    <x v="2"/>
    <x v="3"/>
    <x v="2"/>
    <x v="1"/>
    <n v="741419"/>
    <x v="3"/>
  </r>
  <r>
    <n v="981"/>
    <n v="1414"/>
    <x v="0"/>
    <n v="4"/>
    <n v="2"/>
    <x v="0"/>
    <n v="1981"/>
    <x v="2"/>
    <x v="0"/>
    <x v="0"/>
    <x v="1"/>
    <n v="68394"/>
    <x v="0"/>
  </r>
  <r>
    <n v="982"/>
    <n v="1808"/>
    <x v="0"/>
    <n v="2"/>
    <n v="3"/>
    <x v="1"/>
    <n v="1991"/>
    <x v="2"/>
    <x v="0"/>
    <x v="1"/>
    <x v="0"/>
    <n v="930425"/>
    <x v="3"/>
  </r>
  <r>
    <n v="983"/>
    <n v="4677"/>
    <x v="1"/>
    <n v="2"/>
    <n v="3"/>
    <x v="0"/>
    <n v="1923"/>
    <x v="1"/>
    <x v="1"/>
    <x v="2"/>
    <x v="1"/>
    <n v="226978"/>
    <x v="2"/>
  </r>
  <r>
    <n v="984"/>
    <n v="1013"/>
    <x v="0"/>
    <n v="2"/>
    <n v="2"/>
    <x v="0"/>
    <n v="1907"/>
    <x v="1"/>
    <x v="3"/>
    <x v="2"/>
    <x v="0"/>
    <n v="109332"/>
    <x v="0"/>
  </r>
  <r>
    <n v="985"/>
    <n v="2420"/>
    <x v="0"/>
    <n v="3"/>
    <n v="4"/>
    <x v="2"/>
    <n v="2005"/>
    <x v="3"/>
    <x v="0"/>
    <x v="2"/>
    <x v="0"/>
    <n v="218377"/>
    <x v="2"/>
  </r>
  <r>
    <n v="986"/>
    <n v="4094"/>
    <x v="1"/>
    <n v="1"/>
    <n v="4"/>
    <x v="0"/>
    <n v="2017"/>
    <x v="3"/>
    <x v="1"/>
    <x v="1"/>
    <x v="0"/>
    <n v="92628"/>
    <x v="0"/>
  </r>
  <r>
    <n v="987"/>
    <n v="1909"/>
    <x v="0"/>
    <n v="4"/>
    <n v="3"/>
    <x v="1"/>
    <n v="2008"/>
    <x v="3"/>
    <x v="3"/>
    <x v="2"/>
    <x v="1"/>
    <n v="857784"/>
    <x v="3"/>
  </r>
  <r>
    <n v="988"/>
    <n v="3690"/>
    <x v="2"/>
    <n v="1"/>
    <n v="3"/>
    <x v="2"/>
    <n v="1952"/>
    <x v="0"/>
    <x v="1"/>
    <x v="1"/>
    <x v="1"/>
    <n v="529898"/>
    <x v="1"/>
  </r>
  <r>
    <n v="989"/>
    <n v="4991"/>
    <x v="1"/>
    <n v="1"/>
    <n v="3"/>
    <x v="1"/>
    <n v="1971"/>
    <x v="0"/>
    <x v="2"/>
    <x v="3"/>
    <x v="1"/>
    <n v="919403"/>
    <x v="3"/>
  </r>
  <r>
    <n v="990"/>
    <n v="2055"/>
    <x v="0"/>
    <n v="1"/>
    <n v="1"/>
    <x v="1"/>
    <n v="1903"/>
    <x v="1"/>
    <x v="3"/>
    <x v="2"/>
    <x v="0"/>
    <n v="101993"/>
    <x v="0"/>
  </r>
  <r>
    <n v="991"/>
    <n v="1304"/>
    <x v="0"/>
    <n v="2"/>
    <n v="3"/>
    <x v="2"/>
    <n v="1990"/>
    <x v="2"/>
    <x v="0"/>
    <x v="3"/>
    <x v="1"/>
    <n v="220458"/>
    <x v="2"/>
  </r>
  <r>
    <n v="992"/>
    <n v="1779"/>
    <x v="0"/>
    <n v="5"/>
    <n v="1"/>
    <x v="1"/>
    <n v="1999"/>
    <x v="2"/>
    <x v="0"/>
    <x v="0"/>
    <x v="1"/>
    <n v="939459"/>
    <x v="3"/>
  </r>
  <r>
    <n v="993"/>
    <n v="4077"/>
    <x v="1"/>
    <n v="2"/>
    <n v="2"/>
    <x v="2"/>
    <n v="1904"/>
    <x v="1"/>
    <x v="2"/>
    <x v="2"/>
    <x v="0"/>
    <n v="500281"/>
    <x v="1"/>
  </r>
  <r>
    <n v="994"/>
    <n v="3401"/>
    <x v="2"/>
    <n v="2"/>
    <n v="4"/>
    <x v="1"/>
    <n v="1996"/>
    <x v="2"/>
    <x v="3"/>
    <x v="0"/>
    <x v="0"/>
    <n v="956644"/>
    <x v="3"/>
  </r>
  <r>
    <n v="995"/>
    <n v="1887"/>
    <x v="0"/>
    <n v="1"/>
    <n v="3"/>
    <x v="2"/>
    <n v="1948"/>
    <x v="1"/>
    <x v="1"/>
    <x v="0"/>
    <x v="1"/>
    <n v="528720"/>
    <x v="1"/>
  </r>
  <r>
    <n v="996"/>
    <n v="3261"/>
    <x v="2"/>
    <n v="2"/>
    <n v="4"/>
    <x v="0"/>
    <n v="1997"/>
    <x v="2"/>
    <x v="0"/>
    <x v="0"/>
    <x v="0"/>
    <n v="556357"/>
    <x v="1"/>
  </r>
  <r>
    <n v="997"/>
    <n v="3179"/>
    <x v="2"/>
    <n v="1"/>
    <n v="4"/>
    <x v="1"/>
    <n v="1929"/>
    <x v="1"/>
    <x v="2"/>
    <x v="3"/>
    <x v="1"/>
    <n v="58539"/>
    <x v="0"/>
  </r>
  <r>
    <n v="998"/>
    <n v="2606"/>
    <x v="2"/>
    <n v="5"/>
    <n v="3"/>
    <x v="2"/>
    <n v="1971"/>
    <x v="0"/>
    <x v="2"/>
    <x v="1"/>
    <x v="0"/>
    <n v="182335"/>
    <x v="0"/>
  </r>
  <r>
    <n v="999"/>
    <n v="4723"/>
    <x v="1"/>
    <n v="4"/>
    <n v="3"/>
    <x v="1"/>
    <n v="2002"/>
    <x v="3"/>
    <x v="3"/>
    <x v="3"/>
    <x v="0"/>
    <n v="456521"/>
    <x v="1"/>
  </r>
  <r>
    <n v="1000"/>
    <n v="3268"/>
    <x v="2"/>
    <n v="1"/>
    <n v="2"/>
    <x v="1"/>
    <n v="1962"/>
    <x v="0"/>
    <x v="3"/>
    <x v="3"/>
    <x v="1"/>
    <n v="890249"/>
    <x v="3"/>
  </r>
  <r>
    <n v="1001"/>
    <n v="4453"/>
    <x v="1"/>
    <n v="5"/>
    <n v="1"/>
    <x v="1"/>
    <n v="1946"/>
    <x v="1"/>
    <x v="0"/>
    <x v="0"/>
    <x v="0"/>
    <n v="991902"/>
    <x v="3"/>
  </r>
  <r>
    <n v="1002"/>
    <n v="3686"/>
    <x v="2"/>
    <n v="4"/>
    <n v="1"/>
    <x v="2"/>
    <n v="1925"/>
    <x v="1"/>
    <x v="2"/>
    <x v="2"/>
    <x v="0"/>
    <n v="290310"/>
    <x v="2"/>
  </r>
  <r>
    <n v="1003"/>
    <n v="3780"/>
    <x v="2"/>
    <n v="3"/>
    <n v="4"/>
    <x v="0"/>
    <n v="1956"/>
    <x v="0"/>
    <x v="1"/>
    <x v="1"/>
    <x v="0"/>
    <n v="256873"/>
    <x v="2"/>
  </r>
  <r>
    <n v="1004"/>
    <n v="3073"/>
    <x v="2"/>
    <n v="1"/>
    <n v="3"/>
    <x v="0"/>
    <n v="1936"/>
    <x v="1"/>
    <x v="2"/>
    <x v="0"/>
    <x v="1"/>
    <n v="361251"/>
    <x v="2"/>
  </r>
  <r>
    <n v="1005"/>
    <n v="3099"/>
    <x v="2"/>
    <n v="1"/>
    <n v="2"/>
    <x v="0"/>
    <n v="1997"/>
    <x v="2"/>
    <x v="1"/>
    <x v="1"/>
    <x v="0"/>
    <n v="999656"/>
    <x v="3"/>
  </r>
  <r>
    <n v="1006"/>
    <n v="4533"/>
    <x v="1"/>
    <n v="3"/>
    <n v="2"/>
    <x v="2"/>
    <n v="1906"/>
    <x v="1"/>
    <x v="1"/>
    <x v="3"/>
    <x v="0"/>
    <n v="536476"/>
    <x v="1"/>
  </r>
  <r>
    <n v="1007"/>
    <n v="736"/>
    <x v="3"/>
    <n v="3"/>
    <n v="2"/>
    <x v="0"/>
    <n v="1939"/>
    <x v="1"/>
    <x v="0"/>
    <x v="1"/>
    <x v="1"/>
    <n v="998128"/>
    <x v="3"/>
  </r>
  <r>
    <n v="1008"/>
    <n v="1804"/>
    <x v="0"/>
    <n v="1"/>
    <n v="2"/>
    <x v="2"/>
    <n v="1991"/>
    <x v="2"/>
    <x v="2"/>
    <x v="1"/>
    <x v="1"/>
    <n v="965672"/>
    <x v="3"/>
  </r>
  <r>
    <n v="1009"/>
    <n v="3930"/>
    <x v="2"/>
    <n v="3"/>
    <n v="2"/>
    <x v="1"/>
    <n v="1938"/>
    <x v="1"/>
    <x v="1"/>
    <x v="2"/>
    <x v="0"/>
    <n v="411799"/>
    <x v="1"/>
  </r>
  <r>
    <n v="1010"/>
    <n v="1801"/>
    <x v="0"/>
    <n v="2"/>
    <n v="1"/>
    <x v="1"/>
    <n v="1961"/>
    <x v="0"/>
    <x v="3"/>
    <x v="0"/>
    <x v="0"/>
    <n v="630420"/>
    <x v="3"/>
  </r>
  <r>
    <n v="1011"/>
    <n v="3041"/>
    <x v="2"/>
    <n v="4"/>
    <n v="1"/>
    <x v="0"/>
    <n v="2002"/>
    <x v="3"/>
    <x v="1"/>
    <x v="1"/>
    <x v="0"/>
    <n v="962133"/>
    <x v="3"/>
  </r>
  <r>
    <n v="1012"/>
    <n v="2551"/>
    <x v="2"/>
    <n v="4"/>
    <n v="1"/>
    <x v="2"/>
    <n v="1991"/>
    <x v="2"/>
    <x v="3"/>
    <x v="1"/>
    <x v="1"/>
    <n v="155494"/>
    <x v="0"/>
  </r>
  <r>
    <n v="1013"/>
    <n v="941"/>
    <x v="3"/>
    <n v="4"/>
    <n v="3"/>
    <x v="1"/>
    <n v="1977"/>
    <x v="2"/>
    <x v="3"/>
    <x v="3"/>
    <x v="0"/>
    <n v="889411"/>
    <x v="3"/>
  </r>
  <r>
    <n v="1014"/>
    <n v="2576"/>
    <x v="2"/>
    <n v="2"/>
    <n v="4"/>
    <x v="2"/>
    <n v="1952"/>
    <x v="0"/>
    <x v="2"/>
    <x v="3"/>
    <x v="1"/>
    <n v="894445"/>
    <x v="3"/>
  </r>
  <r>
    <n v="1015"/>
    <n v="3680"/>
    <x v="2"/>
    <n v="3"/>
    <n v="2"/>
    <x v="2"/>
    <n v="2013"/>
    <x v="3"/>
    <x v="3"/>
    <x v="1"/>
    <x v="1"/>
    <n v="275997"/>
    <x v="2"/>
  </r>
  <r>
    <n v="1016"/>
    <n v="3157"/>
    <x v="2"/>
    <n v="5"/>
    <n v="3"/>
    <x v="1"/>
    <n v="2001"/>
    <x v="3"/>
    <x v="1"/>
    <x v="0"/>
    <x v="0"/>
    <n v="638085"/>
    <x v="3"/>
  </r>
  <r>
    <n v="1017"/>
    <n v="4298"/>
    <x v="1"/>
    <n v="3"/>
    <n v="2"/>
    <x v="2"/>
    <n v="1903"/>
    <x v="1"/>
    <x v="3"/>
    <x v="1"/>
    <x v="0"/>
    <n v="101798"/>
    <x v="0"/>
  </r>
  <r>
    <n v="1018"/>
    <n v="1304"/>
    <x v="0"/>
    <n v="1"/>
    <n v="1"/>
    <x v="1"/>
    <n v="2005"/>
    <x v="3"/>
    <x v="2"/>
    <x v="1"/>
    <x v="1"/>
    <n v="722010"/>
    <x v="3"/>
  </r>
  <r>
    <n v="1019"/>
    <n v="574"/>
    <x v="3"/>
    <n v="4"/>
    <n v="3"/>
    <x v="1"/>
    <n v="1981"/>
    <x v="2"/>
    <x v="0"/>
    <x v="2"/>
    <x v="0"/>
    <n v="469230"/>
    <x v="1"/>
  </r>
  <r>
    <n v="1020"/>
    <n v="2675"/>
    <x v="2"/>
    <n v="3"/>
    <n v="1"/>
    <x v="1"/>
    <n v="2007"/>
    <x v="3"/>
    <x v="1"/>
    <x v="0"/>
    <x v="0"/>
    <n v="650709"/>
    <x v="3"/>
  </r>
  <r>
    <n v="1021"/>
    <n v="4424"/>
    <x v="1"/>
    <n v="5"/>
    <n v="2"/>
    <x v="2"/>
    <n v="2011"/>
    <x v="3"/>
    <x v="1"/>
    <x v="2"/>
    <x v="1"/>
    <n v="319578"/>
    <x v="2"/>
  </r>
  <r>
    <n v="1022"/>
    <n v="2589"/>
    <x v="2"/>
    <n v="1"/>
    <n v="2"/>
    <x v="1"/>
    <n v="1924"/>
    <x v="1"/>
    <x v="2"/>
    <x v="0"/>
    <x v="0"/>
    <n v="866460"/>
    <x v="3"/>
  </r>
  <r>
    <n v="1023"/>
    <n v="540"/>
    <x v="3"/>
    <n v="2"/>
    <n v="4"/>
    <x v="2"/>
    <n v="1906"/>
    <x v="1"/>
    <x v="2"/>
    <x v="0"/>
    <x v="1"/>
    <n v="640846"/>
    <x v="3"/>
  </r>
  <r>
    <n v="1024"/>
    <n v="2581"/>
    <x v="2"/>
    <n v="2"/>
    <n v="2"/>
    <x v="1"/>
    <n v="2001"/>
    <x v="3"/>
    <x v="2"/>
    <x v="0"/>
    <x v="0"/>
    <n v="860763"/>
    <x v="3"/>
  </r>
  <r>
    <n v="1025"/>
    <n v="2122"/>
    <x v="0"/>
    <n v="5"/>
    <n v="1"/>
    <x v="1"/>
    <n v="1927"/>
    <x v="1"/>
    <x v="2"/>
    <x v="2"/>
    <x v="1"/>
    <n v="117573"/>
    <x v="0"/>
  </r>
  <r>
    <n v="1026"/>
    <n v="841"/>
    <x v="3"/>
    <n v="1"/>
    <n v="2"/>
    <x v="0"/>
    <n v="1968"/>
    <x v="0"/>
    <x v="1"/>
    <x v="2"/>
    <x v="1"/>
    <n v="703761"/>
    <x v="3"/>
  </r>
  <r>
    <n v="1027"/>
    <n v="4552"/>
    <x v="1"/>
    <n v="4"/>
    <n v="4"/>
    <x v="0"/>
    <n v="1966"/>
    <x v="0"/>
    <x v="0"/>
    <x v="2"/>
    <x v="0"/>
    <n v="517508"/>
    <x v="1"/>
  </r>
  <r>
    <n v="1028"/>
    <n v="2574"/>
    <x v="2"/>
    <n v="3"/>
    <n v="4"/>
    <x v="0"/>
    <n v="2007"/>
    <x v="3"/>
    <x v="3"/>
    <x v="3"/>
    <x v="1"/>
    <n v="227398"/>
    <x v="2"/>
  </r>
  <r>
    <n v="1029"/>
    <n v="1145"/>
    <x v="0"/>
    <n v="1"/>
    <n v="1"/>
    <x v="2"/>
    <n v="1994"/>
    <x v="2"/>
    <x v="3"/>
    <x v="2"/>
    <x v="1"/>
    <n v="395123"/>
    <x v="2"/>
  </r>
  <r>
    <n v="1030"/>
    <n v="4763"/>
    <x v="1"/>
    <n v="2"/>
    <n v="3"/>
    <x v="2"/>
    <n v="2010"/>
    <x v="3"/>
    <x v="0"/>
    <x v="3"/>
    <x v="0"/>
    <n v="840555"/>
    <x v="3"/>
  </r>
  <r>
    <n v="1031"/>
    <n v="1109"/>
    <x v="0"/>
    <n v="5"/>
    <n v="2"/>
    <x v="1"/>
    <n v="2005"/>
    <x v="3"/>
    <x v="0"/>
    <x v="3"/>
    <x v="0"/>
    <n v="328747"/>
    <x v="2"/>
  </r>
  <r>
    <n v="1032"/>
    <n v="954"/>
    <x v="3"/>
    <n v="5"/>
    <n v="4"/>
    <x v="1"/>
    <n v="2021"/>
    <x v="3"/>
    <x v="0"/>
    <x v="3"/>
    <x v="0"/>
    <n v="378085"/>
    <x v="2"/>
  </r>
  <r>
    <n v="1033"/>
    <n v="3453"/>
    <x v="2"/>
    <n v="3"/>
    <n v="2"/>
    <x v="1"/>
    <n v="1919"/>
    <x v="1"/>
    <x v="2"/>
    <x v="1"/>
    <x v="1"/>
    <n v="92597"/>
    <x v="0"/>
  </r>
  <r>
    <n v="1034"/>
    <n v="2208"/>
    <x v="0"/>
    <n v="5"/>
    <n v="2"/>
    <x v="1"/>
    <n v="1982"/>
    <x v="2"/>
    <x v="1"/>
    <x v="1"/>
    <x v="1"/>
    <n v="768598"/>
    <x v="3"/>
  </r>
  <r>
    <n v="1035"/>
    <n v="3972"/>
    <x v="2"/>
    <n v="5"/>
    <n v="3"/>
    <x v="2"/>
    <n v="2011"/>
    <x v="3"/>
    <x v="1"/>
    <x v="1"/>
    <x v="1"/>
    <n v="920670"/>
    <x v="3"/>
  </r>
  <r>
    <n v="1036"/>
    <n v="3469"/>
    <x v="2"/>
    <n v="1"/>
    <n v="4"/>
    <x v="1"/>
    <n v="2023"/>
    <x v="3"/>
    <x v="1"/>
    <x v="3"/>
    <x v="0"/>
    <n v="485935"/>
    <x v="1"/>
  </r>
  <r>
    <n v="1037"/>
    <n v="3528"/>
    <x v="2"/>
    <n v="4"/>
    <n v="2"/>
    <x v="1"/>
    <n v="1910"/>
    <x v="1"/>
    <x v="2"/>
    <x v="3"/>
    <x v="1"/>
    <n v="797146"/>
    <x v="3"/>
  </r>
  <r>
    <n v="1038"/>
    <n v="3181"/>
    <x v="2"/>
    <n v="3"/>
    <n v="4"/>
    <x v="0"/>
    <n v="2003"/>
    <x v="3"/>
    <x v="1"/>
    <x v="0"/>
    <x v="1"/>
    <n v="353895"/>
    <x v="2"/>
  </r>
  <r>
    <n v="1039"/>
    <n v="4129"/>
    <x v="1"/>
    <n v="1"/>
    <n v="1"/>
    <x v="1"/>
    <n v="1966"/>
    <x v="0"/>
    <x v="2"/>
    <x v="3"/>
    <x v="0"/>
    <n v="962894"/>
    <x v="3"/>
  </r>
  <r>
    <n v="1040"/>
    <n v="4725"/>
    <x v="1"/>
    <n v="4"/>
    <n v="1"/>
    <x v="1"/>
    <n v="1986"/>
    <x v="2"/>
    <x v="1"/>
    <x v="1"/>
    <x v="1"/>
    <n v="136978"/>
    <x v="0"/>
  </r>
  <r>
    <n v="1041"/>
    <n v="3567"/>
    <x v="2"/>
    <n v="1"/>
    <n v="2"/>
    <x v="1"/>
    <n v="1906"/>
    <x v="1"/>
    <x v="0"/>
    <x v="3"/>
    <x v="0"/>
    <n v="329837"/>
    <x v="2"/>
  </r>
  <r>
    <n v="1042"/>
    <n v="1886"/>
    <x v="0"/>
    <n v="1"/>
    <n v="4"/>
    <x v="2"/>
    <n v="1922"/>
    <x v="1"/>
    <x v="3"/>
    <x v="3"/>
    <x v="0"/>
    <n v="532757"/>
    <x v="1"/>
  </r>
  <r>
    <n v="1043"/>
    <n v="4276"/>
    <x v="1"/>
    <n v="5"/>
    <n v="2"/>
    <x v="0"/>
    <n v="1960"/>
    <x v="0"/>
    <x v="3"/>
    <x v="0"/>
    <x v="0"/>
    <n v="218769"/>
    <x v="2"/>
  </r>
  <r>
    <n v="1044"/>
    <n v="3366"/>
    <x v="2"/>
    <n v="4"/>
    <n v="4"/>
    <x v="1"/>
    <n v="1970"/>
    <x v="0"/>
    <x v="2"/>
    <x v="3"/>
    <x v="1"/>
    <n v="406668"/>
    <x v="1"/>
  </r>
  <r>
    <n v="1045"/>
    <n v="3863"/>
    <x v="2"/>
    <n v="3"/>
    <n v="4"/>
    <x v="1"/>
    <n v="2009"/>
    <x v="3"/>
    <x v="1"/>
    <x v="2"/>
    <x v="1"/>
    <n v="410013"/>
    <x v="1"/>
  </r>
  <r>
    <n v="1046"/>
    <n v="4624"/>
    <x v="1"/>
    <n v="3"/>
    <n v="3"/>
    <x v="0"/>
    <n v="1933"/>
    <x v="1"/>
    <x v="3"/>
    <x v="0"/>
    <x v="1"/>
    <n v="735352"/>
    <x v="3"/>
  </r>
  <r>
    <n v="1047"/>
    <n v="648"/>
    <x v="3"/>
    <n v="4"/>
    <n v="3"/>
    <x v="1"/>
    <n v="2005"/>
    <x v="3"/>
    <x v="0"/>
    <x v="3"/>
    <x v="0"/>
    <n v="375969"/>
    <x v="2"/>
  </r>
  <r>
    <n v="1048"/>
    <n v="4350"/>
    <x v="1"/>
    <n v="5"/>
    <n v="3"/>
    <x v="2"/>
    <n v="1918"/>
    <x v="1"/>
    <x v="0"/>
    <x v="3"/>
    <x v="0"/>
    <n v="714882"/>
    <x v="3"/>
  </r>
  <r>
    <n v="1049"/>
    <n v="2558"/>
    <x v="2"/>
    <n v="2"/>
    <n v="2"/>
    <x v="1"/>
    <n v="1957"/>
    <x v="0"/>
    <x v="0"/>
    <x v="0"/>
    <x v="0"/>
    <n v="442619"/>
    <x v="1"/>
  </r>
  <r>
    <n v="1050"/>
    <n v="1636"/>
    <x v="0"/>
    <n v="1"/>
    <n v="3"/>
    <x v="2"/>
    <n v="1908"/>
    <x v="1"/>
    <x v="2"/>
    <x v="3"/>
    <x v="1"/>
    <n v="881838"/>
    <x v="3"/>
  </r>
  <r>
    <n v="1051"/>
    <n v="686"/>
    <x v="3"/>
    <n v="5"/>
    <n v="3"/>
    <x v="2"/>
    <n v="1947"/>
    <x v="1"/>
    <x v="2"/>
    <x v="1"/>
    <x v="1"/>
    <n v="288078"/>
    <x v="2"/>
  </r>
  <r>
    <n v="1052"/>
    <n v="3354"/>
    <x v="2"/>
    <n v="4"/>
    <n v="1"/>
    <x v="1"/>
    <n v="2014"/>
    <x v="3"/>
    <x v="1"/>
    <x v="2"/>
    <x v="1"/>
    <n v="290140"/>
    <x v="2"/>
  </r>
  <r>
    <n v="1053"/>
    <n v="1750"/>
    <x v="0"/>
    <n v="1"/>
    <n v="4"/>
    <x v="0"/>
    <n v="1981"/>
    <x v="2"/>
    <x v="0"/>
    <x v="2"/>
    <x v="1"/>
    <n v="717481"/>
    <x v="3"/>
  </r>
  <r>
    <n v="1054"/>
    <n v="1833"/>
    <x v="0"/>
    <n v="3"/>
    <n v="4"/>
    <x v="2"/>
    <n v="1940"/>
    <x v="1"/>
    <x v="1"/>
    <x v="1"/>
    <x v="1"/>
    <n v="697659"/>
    <x v="3"/>
  </r>
  <r>
    <n v="1055"/>
    <n v="4693"/>
    <x v="1"/>
    <n v="2"/>
    <n v="3"/>
    <x v="0"/>
    <n v="1947"/>
    <x v="1"/>
    <x v="1"/>
    <x v="3"/>
    <x v="0"/>
    <n v="457435"/>
    <x v="1"/>
  </r>
  <r>
    <n v="1056"/>
    <n v="4650"/>
    <x v="1"/>
    <n v="3"/>
    <n v="4"/>
    <x v="1"/>
    <n v="1944"/>
    <x v="1"/>
    <x v="0"/>
    <x v="3"/>
    <x v="1"/>
    <n v="838049"/>
    <x v="3"/>
  </r>
  <r>
    <n v="1057"/>
    <n v="3211"/>
    <x v="2"/>
    <n v="4"/>
    <n v="1"/>
    <x v="2"/>
    <n v="2005"/>
    <x v="3"/>
    <x v="1"/>
    <x v="2"/>
    <x v="0"/>
    <n v="93016"/>
    <x v="0"/>
  </r>
  <r>
    <n v="1058"/>
    <n v="2285"/>
    <x v="0"/>
    <n v="1"/>
    <n v="1"/>
    <x v="1"/>
    <n v="1924"/>
    <x v="1"/>
    <x v="3"/>
    <x v="3"/>
    <x v="0"/>
    <n v="493888"/>
    <x v="1"/>
  </r>
  <r>
    <n v="1059"/>
    <n v="1250"/>
    <x v="0"/>
    <n v="4"/>
    <n v="3"/>
    <x v="0"/>
    <n v="2015"/>
    <x v="3"/>
    <x v="2"/>
    <x v="2"/>
    <x v="1"/>
    <n v="336420"/>
    <x v="2"/>
  </r>
  <r>
    <n v="1060"/>
    <n v="2262"/>
    <x v="0"/>
    <n v="1"/>
    <n v="1"/>
    <x v="1"/>
    <n v="1977"/>
    <x v="2"/>
    <x v="1"/>
    <x v="2"/>
    <x v="0"/>
    <n v="805247"/>
    <x v="3"/>
  </r>
  <r>
    <n v="1061"/>
    <n v="4420"/>
    <x v="1"/>
    <n v="5"/>
    <n v="4"/>
    <x v="1"/>
    <n v="2007"/>
    <x v="3"/>
    <x v="0"/>
    <x v="1"/>
    <x v="1"/>
    <n v="384384"/>
    <x v="2"/>
  </r>
  <r>
    <n v="1062"/>
    <n v="4960"/>
    <x v="1"/>
    <n v="2"/>
    <n v="2"/>
    <x v="2"/>
    <n v="1924"/>
    <x v="1"/>
    <x v="2"/>
    <x v="2"/>
    <x v="1"/>
    <n v="942724"/>
    <x v="3"/>
  </r>
  <r>
    <n v="1063"/>
    <n v="981"/>
    <x v="3"/>
    <n v="5"/>
    <n v="4"/>
    <x v="1"/>
    <n v="1918"/>
    <x v="1"/>
    <x v="2"/>
    <x v="3"/>
    <x v="0"/>
    <n v="236807"/>
    <x v="2"/>
  </r>
  <r>
    <n v="1064"/>
    <n v="653"/>
    <x v="3"/>
    <n v="5"/>
    <n v="2"/>
    <x v="1"/>
    <n v="1938"/>
    <x v="1"/>
    <x v="1"/>
    <x v="3"/>
    <x v="1"/>
    <n v="592247"/>
    <x v="1"/>
  </r>
  <r>
    <n v="1065"/>
    <n v="2024"/>
    <x v="0"/>
    <n v="4"/>
    <n v="3"/>
    <x v="1"/>
    <n v="2018"/>
    <x v="3"/>
    <x v="3"/>
    <x v="0"/>
    <x v="1"/>
    <n v="602810"/>
    <x v="3"/>
  </r>
  <r>
    <n v="1066"/>
    <n v="2620"/>
    <x v="2"/>
    <n v="2"/>
    <n v="2"/>
    <x v="2"/>
    <n v="1978"/>
    <x v="2"/>
    <x v="1"/>
    <x v="3"/>
    <x v="0"/>
    <n v="499303"/>
    <x v="1"/>
  </r>
  <r>
    <n v="1067"/>
    <n v="2843"/>
    <x v="2"/>
    <n v="1"/>
    <n v="1"/>
    <x v="0"/>
    <n v="1979"/>
    <x v="2"/>
    <x v="3"/>
    <x v="0"/>
    <x v="0"/>
    <n v="453169"/>
    <x v="1"/>
  </r>
  <r>
    <n v="1068"/>
    <n v="1740"/>
    <x v="0"/>
    <n v="1"/>
    <n v="4"/>
    <x v="0"/>
    <n v="1926"/>
    <x v="1"/>
    <x v="2"/>
    <x v="2"/>
    <x v="0"/>
    <n v="76567"/>
    <x v="0"/>
  </r>
  <r>
    <n v="1069"/>
    <n v="560"/>
    <x v="3"/>
    <n v="3"/>
    <n v="2"/>
    <x v="1"/>
    <n v="2003"/>
    <x v="3"/>
    <x v="1"/>
    <x v="3"/>
    <x v="0"/>
    <n v="503739"/>
    <x v="1"/>
  </r>
  <r>
    <n v="1070"/>
    <n v="1438"/>
    <x v="0"/>
    <n v="1"/>
    <n v="4"/>
    <x v="2"/>
    <n v="1973"/>
    <x v="0"/>
    <x v="0"/>
    <x v="1"/>
    <x v="0"/>
    <n v="112708"/>
    <x v="0"/>
  </r>
  <r>
    <n v="1071"/>
    <n v="2139"/>
    <x v="0"/>
    <n v="4"/>
    <n v="3"/>
    <x v="1"/>
    <n v="1962"/>
    <x v="0"/>
    <x v="1"/>
    <x v="1"/>
    <x v="0"/>
    <n v="176206"/>
    <x v="0"/>
  </r>
  <r>
    <n v="1072"/>
    <n v="4620"/>
    <x v="1"/>
    <n v="5"/>
    <n v="3"/>
    <x v="0"/>
    <n v="1967"/>
    <x v="0"/>
    <x v="3"/>
    <x v="1"/>
    <x v="1"/>
    <n v="596848"/>
    <x v="1"/>
  </r>
  <r>
    <n v="1073"/>
    <n v="4726"/>
    <x v="1"/>
    <n v="5"/>
    <n v="1"/>
    <x v="2"/>
    <n v="2014"/>
    <x v="3"/>
    <x v="3"/>
    <x v="2"/>
    <x v="1"/>
    <n v="632678"/>
    <x v="3"/>
  </r>
  <r>
    <n v="1074"/>
    <n v="4069"/>
    <x v="1"/>
    <n v="5"/>
    <n v="3"/>
    <x v="0"/>
    <n v="1918"/>
    <x v="1"/>
    <x v="1"/>
    <x v="2"/>
    <x v="1"/>
    <n v="700060"/>
    <x v="3"/>
  </r>
  <r>
    <n v="1075"/>
    <n v="1752"/>
    <x v="0"/>
    <n v="2"/>
    <n v="2"/>
    <x v="0"/>
    <n v="1927"/>
    <x v="1"/>
    <x v="3"/>
    <x v="0"/>
    <x v="0"/>
    <n v="511365"/>
    <x v="1"/>
  </r>
  <r>
    <n v="1076"/>
    <n v="4703"/>
    <x v="1"/>
    <n v="1"/>
    <n v="3"/>
    <x v="2"/>
    <n v="1984"/>
    <x v="2"/>
    <x v="2"/>
    <x v="1"/>
    <x v="1"/>
    <n v="357248"/>
    <x v="2"/>
  </r>
  <r>
    <n v="1077"/>
    <n v="671"/>
    <x v="3"/>
    <n v="4"/>
    <n v="1"/>
    <x v="2"/>
    <n v="2022"/>
    <x v="3"/>
    <x v="1"/>
    <x v="0"/>
    <x v="0"/>
    <n v="632093"/>
    <x v="3"/>
  </r>
  <r>
    <n v="1078"/>
    <n v="1958"/>
    <x v="0"/>
    <n v="2"/>
    <n v="4"/>
    <x v="1"/>
    <n v="2010"/>
    <x v="3"/>
    <x v="3"/>
    <x v="0"/>
    <x v="1"/>
    <n v="286109"/>
    <x v="2"/>
  </r>
  <r>
    <n v="1079"/>
    <n v="4049"/>
    <x v="1"/>
    <n v="3"/>
    <n v="4"/>
    <x v="1"/>
    <n v="1977"/>
    <x v="2"/>
    <x v="1"/>
    <x v="3"/>
    <x v="0"/>
    <n v="545951"/>
    <x v="1"/>
  </r>
  <r>
    <n v="1080"/>
    <n v="4697"/>
    <x v="1"/>
    <n v="4"/>
    <n v="3"/>
    <x v="0"/>
    <n v="1932"/>
    <x v="1"/>
    <x v="1"/>
    <x v="3"/>
    <x v="1"/>
    <n v="336640"/>
    <x v="2"/>
  </r>
  <r>
    <n v="1081"/>
    <n v="2822"/>
    <x v="2"/>
    <n v="4"/>
    <n v="2"/>
    <x v="2"/>
    <n v="2011"/>
    <x v="3"/>
    <x v="0"/>
    <x v="1"/>
    <x v="0"/>
    <n v="788661"/>
    <x v="3"/>
  </r>
  <r>
    <n v="1082"/>
    <n v="2136"/>
    <x v="0"/>
    <n v="4"/>
    <n v="1"/>
    <x v="2"/>
    <n v="1909"/>
    <x v="1"/>
    <x v="1"/>
    <x v="2"/>
    <x v="0"/>
    <n v="141257"/>
    <x v="0"/>
  </r>
  <r>
    <n v="1083"/>
    <n v="3615"/>
    <x v="2"/>
    <n v="5"/>
    <n v="2"/>
    <x v="1"/>
    <n v="1982"/>
    <x v="2"/>
    <x v="0"/>
    <x v="3"/>
    <x v="0"/>
    <n v="53515"/>
    <x v="0"/>
  </r>
  <r>
    <n v="1084"/>
    <n v="4590"/>
    <x v="1"/>
    <n v="4"/>
    <n v="1"/>
    <x v="0"/>
    <n v="1929"/>
    <x v="1"/>
    <x v="3"/>
    <x v="2"/>
    <x v="0"/>
    <n v="578742"/>
    <x v="1"/>
  </r>
  <r>
    <n v="1085"/>
    <n v="3504"/>
    <x v="2"/>
    <n v="1"/>
    <n v="3"/>
    <x v="0"/>
    <n v="1921"/>
    <x v="1"/>
    <x v="0"/>
    <x v="0"/>
    <x v="1"/>
    <n v="287145"/>
    <x v="2"/>
  </r>
  <r>
    <n v="1086"/>
    <n v="829"/>
    <x v="3"/>
    <n v="4"/>
    <n v="1"/>
    <x v="1"/>
    <n v="1902"/>
    <x v="1"/>
    <x v="0"/>
    <x v="0"/>
    <x v="1"/>
    <n v="72873"/>
    <x v="0"/>
  </r>
  <r>
    <n v="1087"/>
    <n v="4140"/>
    <x v="1"/>
    <n v="5"/>
    <n v="1"/>
    <x v="2"/>
    <n v="2000"/>
    <x v="2"/>
    <x v="0"/>
    <x v="0"/>
    <x v="0"/>
    <n v="910352"/>
    <x v="3"/>
  </r>
  <r>
    <n v="1088"/>
    <n v="4394"/>
    <x v="1"/>
    <n v="4"/>
    <n v="3"/>
    <x v="1"/>
    <n v="2004"/>
    <x v="3"/>
    <x v="2"/>
    <x v="0"/>
    <x v="0"/>
    <n v="325871"/>
    <x v="2"/>
  </r>
  <r>
    <n v="1089"/>
    <n v="4607"/>
    <x v="1"/>
    <n v="3"/>
    <n v="2"/>
    <x v="1"/>
    <n v="1981"/>
    <x v="2"/>
    <x v="0"/>
    <x v="1"/>
    <x v="0"/>
    <n v="702664"/>
    <x v="3"/>
  </r>
  <r>
    <n v="1090"/>
    <n v="1841"/>
    <x v="0"/>
    <n v="3"/>
    <n v="3"/>
    <x v="1"/>
    <n v="1974"/>
    <x v="0"/>
    <x v="1"/>
    <x v="0"/>
    <x v="1"/>
    <n v="643358"/>
    <x v="3"/>
  </r>
  <r>
    <n v="1091"/>
    <n v="4163"/>
    <x v="1"/>
    <n v="5"/>
    <n v="1"/>
    <x v="1"/>
    <n v="1947"/>
    <x v="1"/>
    <x v="0"/>
    <x v="3"/>
    <x v="0"/>
    <n v="935491"/>
    <x v="3"/>
  </r>
  <r>
    <n v="1092"/>
    <n v="715"/>
    <x v="3"/>
    <n v="1"/>
    <n v="3"/>
    <x v="2"/>
    <n v="1901"/>
    <x v="1"/>
    <x v="1"/>
    <x v="0"/>
    <x v="0"/>
    <n v="698852"/>
    <x v="3"/>
  </r>
  <r>
    <n v="1093"/>
    <n v="838"/>
    <x v="3"/>
    <n v="1"/>
    <n v="1"/>
    <x v="1"/>
    <n v="1975"/>
    <x v="0"/>
    <x v="0"/>
    <x v="2"/>
    <x v="1"/>
    <n v="278497"/>
    <x v="2"/>
  </r>
  <r>
    <n v="1094"/>
    <n v="4562"/>
    <x v="1"/>
    <n v="2"/>
    <n v="3"/>
    <x v="2"/>
    <n v="1953"/>
    <x v="0"/>
    <x v="2"/>
    <x v="3"/>
    <x v="0"/>
    <n v="691501"/>
    <x v="3"/>
  </r>
  <r>
    <n v="1095"/>
    <n v="3208"/>
    <x v="2"/>
    <n v="5"/>
    <n v="4"/>
    <x v="1"/>
    <n v="1905"/>
    <x v="1"/>
    <x v="3"/>
    <x v="2"/>
    <x v="0"/>
    <n v="755339"/>
    <x v="3"/>
  </r>
  <r>
    <n v="1096"/>
    <n v="3652"/>
    <x v="2"/>
    <n v="4"/>
    <n v="4"/>
    <x v="0"/>
    <n v="2006"/>
    <x v="3"/>
    <x v="0"/>
    <x v="2"/>
    <x v="1"/>
    <n v="599753"/>
    <x v="1"/>
  </r>
  <r>
    <n v="1097"/>
    <n v="2250"/>
    <x v="0"/>
    <n v="5"/>
    <n v="3"/>
    <x v="2"/>
    <n v="2022"/>
    <x v="3"/>
    <x v="0"/>
    <x v="1"/>
    <x v="0"/>
    <n v="234972"/>
    <x v="2"/>
  </r>
  <r>
    <n v="1098"/>
    <n v="2921"/>
    <x v="2"/>
    <n v="2"/>
    <n v="2"/>
    <x v="0"/>
    <n v="1939"/>
    <x v="1"/>
    <x v="2"/>
    <x v="1"/>
    <x v="0"/>
    <n v="634087"/>
    <x v="3"/>
  </r>
  <r>
    <n v="1099"/>
    <n v="1209"/>
    <x v="0"/>
    <n v="5"/>
    <n v="1"/>
    <x v="1"/>
    <n v="2007"/>
    <x v="3"/>
    <x v="0"/>
    <x v="2"/>
    <x v="1"/>
    <n v="560237"/>
    <x v="1"/>
  </r>
  <r>
    <n v="1100"/>
    <n v="4226"/>
    <x v="1"/>
    <n v="5"/>
    <n v="4"/>
    <x v="1"/>
    <n v="1992"/>
    <x v="2"/>
    <x v="1"/>
    <x v="2"/>
    <x v="0"/>
    <n v="670417"/>
    <x v="3"/>
  </r>
  <r>
    <n v="1101"/>
    <n v="4142"/>
    <x v="1"/>
    <n v="2"/>
    <n v="2"/>
    <x v="1"/>
    <n v="2022"/>
    <x v="3"/>
    <x v="0"/>
    <x v="0"/>
    <x v="1"/>
    <n v="464546"/>
    <x v="1"/>
  </r>
  <r>
    <n v="1102"/>
    <n v="4493"/>
    <x v="1"/>
    <n v="1"/>
    <n v="1"/>
    <x v="2"/>
    <n v="1993"/>
    <x v="2"/>
    <x v="0"/>
    <x v="3"/>
    <x v="0"/>
    <n v="713662"/>
    <x v="3"/>
  </r>
  <r>
    <n v="1103"/>
    <n v="988"/>
    <x v="3"/>
    <n v="4"/>
    <n v="4"/>
    <x v="0"/>
    <n v="1901"/>
    <x v="1"/>
    <x v="3"/>
    <x v="0"/>
    <x v="0"/>
    <n v="419432"/>
    <x v="1"/>
  </r>
  <r>
    <n v="1104"/>
    <n v="546"/>
    <x v="3"/>
    <n v="2"/>
    <n v="4"/>
    <x v="2"/>
    <n v="1972"/>
    <x v="0"/>
    <x v="3"/>
    <x v="1"/>
    <x v="0"/>
    <n v="293761"/>
    <x v="2"/>
  </r>
  <r>
    <n v="1105"/>
    <n v="3859"/>
    <x v="2"/>
    <n v="3"/>
    <n v="3"/>
    <x v="2"/>
    <n v="2010"/>
    <x v="3"/>
    <x v="0"/>
    <x v="1"/>
    <x v="0"/>
    <n v="292821"/>
    <x v="2"/>
  </r>
  <r>
    <n v="1106"/>
    <n v="900"/>
    <x v="3"/>
    <n v="1"/>
    <n v="1"/>
    <x v="1"/>
    <n v="1901"/>
    <x v="1"/>
    <x v="2"/>
    <x v="0"/>
    <x v="0"/>
    <n v="62875"/>
    <x v="0"/>
  </r>
  <r>
    <n v="1107"/>
    <n v="4490"/>
    <x v="1"/>
    <n v="3"/>
    <n v="2"/>
    <x v="0"/>
    <n v="1992"/>
    <x v="2"/>
    <x v="3"/>
    <x v="3"/>
    <x v="1"/>
    <n v="601507"/>
    <x v="3"/>
  </r>
  <r>
    <n v="1108"/>
    <n v="3657"/>
    <x v="2"/>
    <n v="1"/>
    <n v="2"/>
    <x v="1"/>
    <n v="1996"/>
    <x v="2"/>
    <x v="0"/>
    <x v="2"/>
    <x v="0"/>
    <n v="872614"/>
    <x v="3"/>
  </r>
  <r>
    <n v="1109"/>
    <n v="4845"/>
    <x v="1"/>
    <n v="4"/>
    <n v="2"/>
    <x v="2"/>
    <n v="1973"/>
    <x v="0"/>
    <x v="3"/>
    <x v="0"/>
    <x v="0"/>
    <n v="785901"/>
    <x v="3"/>
  </r>
  <r>
    <n v="1110"/>
    <n v="890"/>
    <x v="3"/>
    <n v="4"/>
    <n v="1"/>
    <x v="1"/>
    <n v="1997"/>
    <x v="2"/>
    <x v="0"/>
    <x v="1"/>
    <x v="1"/>
    <n v="485485"/>
    <x v="1"/>
  </r>
  <r>
    <n v="1111"/>
    <n v="4353"/>
    <x v="1"/>
    <n v="5"/>
    <n v="2"/>
    <x v="0"/>
    <n v="2007"/>
    <x v="3"/>
    <x v="3"/>
    <x v="3"/>
    <x v="1"/>
    <n v="391925"/>
    <x v="2"/>
  </r>
  <r>
    <n v="1112"/>
    <n v="4930"/>
    <x v="1"/>
    <n v="3"/>
    <n v="2"/>
    <x v="1"/>
    <n v="1954"/>
    <x v="0"/>
    <x v="3"/>
    <x v="1"/>
    <x v="0"/>
    <n v="56457"/>
    <x v="0"/>
  </r>
  <r>
    <n v="1113"/>
    <n v="1128"/>
    <x v="0"/>
    <n v="1"/>
    <n v="2"/>
    <x v="0"/>
    <n v="1971"/>
    <x v="0"/>
    <x v="1"/>
    <x v="3"/>
    <x v="1"/>
    <n v="974253"/>
    <x v="3"/>
  </r>
  <r>
    <n v="1114"/>
    <n v="4732"/>
    <x v="1"/>
    <n v="4"/>
    <n v="3"/>
    <x v="0"/>
    <n v="2000"/>
    <x v="2"/>
    <x v="0"/>
    <x v="3"/>
    <x v="0"/>
    <n v="83064"/>
    <x v="0"/>
  </r>
  <r>
    <n v="1115"/>
    <n v="3430"/>
    <x v="2"/>
    <n v="2"/>
    <n v="3"/>
    <x v="1"/>
    <n v="2017"/>
    <x v="3"/>
    <x v="0"/>
    <x v="3"/>
    <x v="1"/>
    <n v="977325"/>
    <x v="3"/>
  </r>
  <r>
    <n v="1116"/>
    <n v="2021"/>
    <x v="0"/>
    <n v="4"/>
    <n v="1"/>
    <x v="2"/>
    <n v="1959"/>
    <x v="0"/>
    <x v="0"/>
    <x v="0"/>
    <x v="1"/>
    <n v="689544"/>
    <x v="3"/>
  </r>
  <r>
    <n v="1117"/>
    <n v="1326"/>
    <x v="0"/>
    <n v="2"/>
    <n v="1"/>
    <x v="1"/>
    <n v="1996"/>
    <x v="2"/>
    <x v="0"/>
    <x v="0"/>
    <x v="0"/>
    <n v="934729"/>
    <x v="3"/>
  </r>
  <r>
    <n v="1118"/>
    <n v="2000"/>
    <x v="0"/>
    <n v="1"/>
    <n v="2"/>
    <x v="2"/>
    <n v="2010"/>
    <x v="3"/>
    <x v="3"/>
    <x v="0"/>
    <x v="1"/>
    <n v="808947"/>
    <x v="3"/>
  </r>
  <r>
    <n v="1119"/>
    <n v="3794"/>
    <x v="2"/>
    <n v="4"/>
    <n v="3"/>
    <x v="2"/>
    <n v="1905"/>
    <x v="1"/>
    <x v="1"/>
    <x v="3"/>
    <x v="0"/>
    <n v="259727"/>
    <x v="2"/>
  </r>
  <r>
    <n v="1120"/>
    <n v="2919"/>
    <x v="2"/>
    <n v="4"/>
    <n v="4"/>
    <x v="1"/>
    <n v="2007"/>
    <x v="3"/>
    <x v="1"/>
    <x v="3"/>
    <x v="1"/>
    <n v="975168"/>
    <x v="3"/>
  </r>
  <r>
    <n v="1121"/>
    <n v="1434"/>
    <x v="0"/>
    <n v="1"/>
    <n v="4"/>
    <x v="2"/>
    <n v="2003"/>
    <x v="3"/>
    <x v="2"/>
    <x v="1"/>
    <x v="1"/>
    <n v="210353"/>
    <x v="2"/>
  </r>
  <r>
    <n v="1122"/>
    <n v="3542"/>
    <x v="2"/>
    <n v="4"/>
    <n v="2"/>
    <x v="2"/>
    <n v="2008"/>
    <x v="3"/>
    <x v="0"/>
    <x v="2"/>
    <x v="1"/>
    <n v="832351"/>
    <x v="3"/>
  </r>
  <r>
    <n v="1123"/>
    <n v="4997"/>
    <x v="1"/>
    <n v="2"/>
    <n v="2"/>
    <x v="1"/>
    <n v="1918"/>
    <x v="1"/>
    <x v="2"/>
    <x v="0"/>
    <x v="0"/>
    <n v="286887"/>
    <x v="2"/>
  </r>
  <r>
    <n v="1124"/>
    <n v="1966"/>
    <x v="0"/>
    <n v="4"/>
    <n v="3"/>
    <x v="1"/>
    <n v="1995"/>
    <x v="2"/>
    <x v="3"/>
    <x v="3"/>
    <x v="0"/>
    <n v="475037"/>
    <x v="1"/>
  </r>
  <r>
    <n v="1125"/>
    <n v="4061"/>
    <x v="1"/>
    <n v="3"/>
    <n v="3"/>
    <x v="1"/>
    <n v="1926"/>
    <x v="1"/>
    <x v="2"/>
    <x v="1"/>
    <x v="1"/>
    <n v="809129"/>
    <x v="3"/>
  </r>
  <r>
    <n v="1126"/>
    <n v="1114"/>
    <x v="0"/>
    <n v="5"/>
    <n v="3"/>
    <x v="2"/>
    <n v="1900"/>
    <x v="1"/>
    <x v="0"/>
    <x v="1"/>
    <x v="0"/>
    <n v="992151"/>
    <x v="3"/>
  </r>
  <r>
    <n v="1127"/>
    <n v="1682"/>
    <x v="0"/>
    <n v="2"/>
    <n v="1"/>
    <x v="0"/>
    <n v="2006"/>
    <x v="3"/>
    <x v="1"/>
    <x v="1"/>
    <x v="0"/>
    <n v="644206"/>
    <x v="3"/>
  </r>
  <r>
    <n v="1128"/>
    <n v="3723"/>
    <x v="2"/>
    <n v="3"/>
    <n v="1"/>
    <x v="2"/>
    <n v="2015"/>
    <x v="3"/>
    <x v="1"/>
    <x v="0"/>
    <x v="0"/>
    <n v="263057"/>
    <x v="2"/>
  </r>
  <r>
    <n v="1129"/>
    <n v="3167"/>
    <x v="2"/>
    <n v="1"/>
    <n v="2"/>
    <x v="0"/>
    <n v="1932"/>
    <x v="1"/>
    <x v="0"/>
    <x v="0"/>
    <x v="1"/>
    <n v="526015"/>
    <x v="1"/>
  </r>
  <r>
    <n v="1130"/>
    <n v="630"/>
    <x v="3"/>
    <n v="2"/>
    <n v="1"/>
    <x v="1"/>
    <n v="1939"/>
    <x v="1"/>
    <x v="3"/>
    <x v="2"/>
    <x v="0"/>
    <n v="926611"/>
    <x v="3"/>
  </r>
  <r>
    <n v="1131"/>
    <n v="3483"/>
    <x v="2"/>
    <n v="5"/>
    <n v="3"/>
    <x v="0"/>
    <n v="1931"/>
    <x v="1"/>
    <x v="0"/>
    <x v="1"/>
    <x v="1"/>
    <n v="387088"/>
    <x v="2"/>
  </r>
  <r>
    <n v="1132"/>
    <n v="4778"/>
    <x v="1"/>
    <n v="5"/>
    <n v="3"/>
    <x v="1"/>
    <n v="1968"/>
    <x v="0"/>
    <x v="3"/>
    <x v="0"/>
    <x v="1"/>
    <n v="139142"/>
    <x v="0"/>
  </r>
  <r>
    <n v="1133"/>
    <n v="4959"/>
    <x v="1"/>
    <n v="1"/>
    <n v="1"/>
    <x v="1"/>
    <n v="1916"/>
    <x v="1"/>
    <x v="1"/>
    <x v="1"/>
    <x v="1"/>
    <n v="77603"/>
    <x v="0"/>
  </r>
  <r>
    <n v="1134"/>
    <n v="538"/>
    <x v="3"/>
    <n v="1"/>
    <n v="4"/>
    <x v="0"/>
    <n v="1907"/>
    <x v="1"/>
    <x v="3"/>
    <x v="3"/>
    <x v="1"/>
    <n v="882890"/>
    <x v="3"/>
  </r>
  <r>
    <n v="1135"/>
    <n v="4459"/>
    <x v="1"/>
    <n v="2"/>
    <n v="2"/>
    <x v="1"/>
    <n v="1956"/>
    <x v="0"/>
    <x v="0"/>
    <x v="1"/>
    <x v="1"/>
    <n v="120605"/>
    <x v="0"/>
  </r>
  <r>
    <n v="1136"/>
    <n v="4087"/>
    <x v="1"/>
    <n v="4"/>
    <n v="4"/>
    <x v="0"/>
    <n v="1941"/>
    <x v="1"/>
    <x v="0"/>
    <x v="2"/>
    <x v="0"/>
    <n v="331767"/>
    <x v="2"/>
  </r>
  <r>
    <n v="1137"/>
    <n v="1420"/>
    <x v="0"/>
    <n v="1"/>
    <n v="2"/>
    <x v="1"/>
    <n v="1997"/>
    <x v="2"/>
    <x v="0"/>
    <x v="0"/>
    <x v="0"/>
    <n v="618728"/>
    <x v="3"/>
  </r>
  <r>
    <n v="1138"/>
    <n v="3269"/>
    <x v="2"/>
    <n v="4"/>
    <n v="4"/>
    <x v="2"/>
    <n v="1908"/>
    <x v="1"/>
    <x v="3"/>
    <x v="3"/>
    <x v="1"/>
    <n v="918859"/>
    <x v="3"/>
  </r>
  <r>
    <n v="1139"/>
    <n v="4611"/>
    <x v="1"/>
    <n v="3"/>
    <n v="1"/>
    <x v="2"/>
    <n v="2019"/>
    <x v="3"/>
    <x v="3"/>
    <x v="0"/>
    <x v="0"/>
    <n v="975208"/>
    <x v="3"/>
  </r>
  <r>
    <n v="1140"/>
    <n v="992"/>
    <x v="3"/>
    <n v="5"/>
    <n v="2"/>
    <x v="1"/>
    <n v="1986"/>
    <x v="2"/>
    <x v="3"/>
    <x v="3"/>
    <x v="0"/>
    <n v="405970"/>
    <x v="1"/>
  </r>
  <r>
    <n v="1141"/>
    <n v="1631"/>
    <x v="0"/>
    <n v="4"/>
    <n v="2"/>
    <x v="1"/>
    <n v="1934"/>
    <x v="1"/>
    <x v="1"/>
    <x v="1"/>
    <x v="0"/>
    <n v="339604"/>
    <x v="2"/>
  </r>
  <r>
    <n v="1142"/>
    <n v="4021"/>
    <x v="1"/>
    <n v="5"/>
    <n v="2"/>
    <x v="0"/>
    <n v="2013"/>
    <x v="3"/>
    <x v="2"/>
    <x v="1"/>
    <x v="0"/>
    <n v="264117"/>
    <x v="2"/>
  </r>
  <r>
    <n v="1143"/>
    <n v="810"/>
    <x v="3"/>
    <n v="4"/>
    <n v="3"/>
    <x v="2"/>
    <n v="1970"/>
    <x v="0"/>
    <x v="2"/>
    <x v="2"/>
    <x v="0"/>
    <n v="788165"/>
    <x v="3"/>
  </r>
  <r>
    <n v="1144"/>
    <n v="1238"/>
    <x v="0"/>
    <n v="3"/>
    <n v="3"/>
    <x v="0"/>
    <n v="1978"/>
    <x v="2"/>
    <x v="0"/>
    <x v="2"/>
    <x v="0"/>
    <n v="516727"/>
    <x v="1"/>
  </r>
  <r>
    <n v="1145"/>
    <n v="3741"/>
    <x v="2"/>
    <n v="1"/>
    <n v="4"/>
    <x v="1"/>
    <n v="1952"/>
    <x v="0"/>
    <x v="1"/>
    <x v="3"/>
    <x v="0"/>
    <n v="160373"/>
    <x v="0"/>
  </r>
  <r>
    <n v="1146"/>
    <n v="1045"/>
    <x v="0"/>
    <n v="3"/>
    <n v="1"/>
    <x v="1"/>
    <n v="1953"/>
    <x v="0"/>
    <x v="3"/>
    <x v="2"/>
    <x v="1"/>
    <n v="974069"/>
    <x v="3"/>
  </r>
  <r>
    <n v="1147"/>
    <n v="2961"/>
    <x v="2"/>
    <n v="1"/>
    <n v="3"/>
    <x v="0"/>
    <n v="1983"/>
    <x v="2"/>
    <x v="0"/>
    <x v="2"/>
    <x v="1"/>
    <n v="317014"/>
    <x v="2"/>
  </r>
  <r>
    <n v="1148"/>
    <n v="4846"/>
    <x v="1"/>
    <n v="1"/>
    <n v="2"/>
    <x v="1"/>
    <n v="2013"/>
    <x v="3"/>
    <x v="1"/>
    <x v="2"/>
    <x v="1"/>
    <n v="68909"/>
    <x v="0"/>
  </r>
  <r>
    <n v="1149"/>
    <n v="2304"/>
    <x v="0"/>
    <n v="5"/>
    <n v="3"/>
    <x v="2"/>
    <n v="1924"/>
    <x v="1"/>
    <x v="0"/>
    <x v="2"/>
    <x v="0"/>
    <n v="321261"/>
    <x v="2"/>
  </r>
  <r>
    <n v="1150"/>
    <n v="3712"/>
    <x v="2"/>
    <n v="3"/>
    <n v="1"/>
    <x v="0"/>
    <n v="1966"/>
    <x v="0"/>
    <x v="1"/>
    <x v="1"/>
    <x v="0"/>
    <n v="299975"/>
    <x v="2"/>
  </r>
  <r>
    <n v="1151"/>
    <n v="4310"/>
    <x v="1"/>
    <n v="4"/>
    <n v="3"/>
    <x v="2"/>
    <n v="2023"/>
    <x v="3"/>
    <x v="1"/>
    <x v="2"/>
    <x v="1"/>
    <n v="903906"/>
    <x v="3"/>
  </r>
  <r>
    <n v="1152"/>
    <n v="1313"/>
    <x v="0"/>
    <n v="3"/>
    <n v="2"/>
    <x v="2"/>
    <n v="1961"/>
    <x v="0"/>
    <x v="2"/>
    <x v="1"/>
    <x v="0"/>
    <n v="668214"/>
    <x v="3"/>
  </r>
  <r>
    <n v="1153"/>
    <n v="4624"/>
    <x v="1"/>
    <n v="5"/>
    <n v="4"/>
    <x v="2"/>
    <n v="1954"/>
    <x v="0"/>
    <x v="0"/>
    <x v="1"/>
    <x v="0"/>
    <n v="487538"/>
    <x v="1"/>
  </r>
  <r>
    <n v="1154"/>
    <n v="2532"/>
    <x v="2"/>
    <n v="1"/>
    <n v="2"/>
    <x v="0"/>
    <n v="1945"/>
    <x v="1"/>
    <x v="3"/>
    <x v="0"/>
    <x v="1"/>
    <n v="177463"/>
    <x v="0"/>
  </r>
  <r>
    <n v="1155"/>
    <n v="4913"/>
    <x v="1"/>
    <n v="5"/>
    <n v="1"/>
    <x v="1"/>
    <n v="1923"/>
    <x v="1"/>
    <x v="2"/>
    <x v="1"/>
    <x v="1"/>
    <n v="151536"/>
    <x v="0"/>
  </r>
  <r>
    <n v="1156"/>
    <n v="744"/>
    <x v="3"/>
    <n v="2"/>
    <n v="4"/>
    <x v="2"/>
    <n v="1997"/>
    <x v="2"/>
    <x v="2"/>
    <x v="1"/>
    <x v="1"/>
    <n v="856560"/>
    <x v="3"/>
  </r>
  <r>
    <n v="1157"/>
    <n v="771"/>
    <x v="3"/>
    <n v="2"/>
    <n v="3"/>
    <x v="2"/>
    <n v="1945"/>
    <x v="1"/>
    <x v="3"/>
    <x v="2"/>
    <x v="0"/>
    <n v="301981"/>
    <x v="2"/>
  </r>
  <r>
    <n v="1158"/>
    <n v="4011"/>
    <x v="1"/>
    <n v="4"/>
    <n v="3"/>
    <x v="2"/>
    <n v="1921"/>
    <x v="1"/>
    <x v="1"/>
    <x v="1"/>
    <x v="0"/>
    <n v="540533"/>
    <x v="1"/>
  </r>
  <r>
    <n v="1159"/>
    <n v="2271"/>
    <x v="0"/>
    <n v="5"/>
    <n v="3"/>
    <x v="1"/>
    <n v="1910"/>
    <x v="1"/>
    <x v="3"/>
    <x v="3"/>
    <x v="0"/>
    <n v="381145"/>
    <x v="2"/>
  </r>
  <r>
    <n v="1160"/>
    <n v="1762"/>
    <x v="0"/>
    <n v="4"/>
    <n v="4"/>
    <x v="1"/>
    <n v="1947"/>
    <x v="1"/>
    <x v="0"/>
    <x v="2"/>
    <x v="1"/>
    <n v="836872"/>
    <x v="3"/>
  </r>
  <r>
    <n v="1161"/>
    <n v="2924"/>
    <x v="2"/>
    <n v="4"/>
    <n v="2"/>
    <x v="0"/>
    <n v="1907"/>
    <x v="1"/>
    <x v="3"/>
    <x v="2"/>
    <x v="1"/>
    <n v="230685"/>
    <x v="2"/>
  </r>
  <r>
    <n v="1162"/>
    <n v="4861"/>
    <x v="1"/>
    <n v="2"/>
    <n v="4"/>
    <x v="1"/>
    <n v="1938"/>
    <x v="1"/>
    <x v="1"/>
    <x v="2"/>
    <x v="0"/>
    <n v="697779"/>
    <x v="3"/>
  </r>
  <r>
    <n v="1163"/>
    <n v="1420"/>
    <x v="0"/>
    <n v="4"/>
    <n v="4"/>
    <x v="0"/>
    <n v="2006"/>
    <x v="3"/>
    <x v="3"/>
    <x v="0"/>
    <x v="1"/>
    <n v="979167"/>
    <x v="3"/>
  </r>
  <r>
    <n v="1164"/>
    <n v="3930"/>
    <x v="2"/>
    <n v="2"/>
    <n v="1"/>
    <x v="0"/>
    <n v="1934"/>
    <x v="1"/>
    <x v="1"/>
    <x v="2"/>
    <x v="1"/>
    <n v="547275"/>
    <x v="1"/>
  </r>
  <r>
    <n v="1165"/>
    <n v="4935"/>
    <x v="1"/>
    <n v="1"/>
    <n v="4"/>
    <x v="0"/>
    <n v="1948"/>
    <x v="1"/>
    <x v="1"/>
    <x v="1"/>
    <x v="0"/>
    <n v="200619"/>
    <x v="2"/>
  </r>
  <r>
    <n v="1166"/>
    <n v="4984"/>
    <x v="1"/>
    <n v="5"/>
    <n v="3"/>
    <x v="0"/>
    <n v="1945"/>
    <x v="1"/>
    <x v="0"/>
    <x v="3"/>
    <x v="1"/>
    <n v="655950"/>
    <x v="3"/>
  </r>
  <r>
    <n v="1167"/>
    <n v="3124"/>
    <x v="2"/>
    <n v="4"/>
    <n v="2"/>
    <x v="0"/>
    <n v="1937"/>
    <x v="1"/>
    <x v="3"/>
    <x v="2"/>
    <x v="1"/>
    <n v="810416"/>
    <x v="3"/>
  </r>
  <r>
    <n v="1168"/>
    <n v="4260"/>
    <x v="1"/>
    <n v="2"/>
    <n v="2"/>
    <x v="2"/>
    <n v="1907"/>
    <x v="1"/>
    <x v="3"/>
    <x v="2"/>
    <x v="1"/>
    <n v="50005"/>
    <x v="0"/>
  </r>
  <r>
    <n v="1169"/>
    <n v="2550"/>
    <x v="2"/>
    <n v="3"/>
    <n v="2"/>
    <x v="1"/>
    <n v="1953"/>
    <x v="0"/>
    <x v="0"/>
    <x v="3"/>
    <x v="0"/>
    <n v="284152"/>
    <x v="2"/>
  </r>
  <r>
    <n v="1170"/>
    <n v="4000"/>
    <x v="2"/>
    <n v="4"/>
    <n v="3"/>
    <x v="2"/>
    <n v="1936"/>
    <x v="1"/>
    <x v="1"/>
    <x v="2"/>
    <x v="0"/>
    <n v="319182"/>
    <x v="2"/>
  </r>
  <r>
    <n v="1171"/>
    <n v="1665"/>
    <x v="0"/>
    <n v="1"/>
    <n v="3"/>
    <x v="0"/>
    <n v="1990"/>
    <x v="2"/>
    <x v="3"/>
    <x v="0"/>
    <x v="1"/>
    <n v="842846"/>
    <x v="3"/>
  </r>
  <r>
    <n v="1172"/>
    <n v="875"/>
    <x v="3"/>
    <n v="1"/>
    <n v="3"/>
    <x v="1"/>
    <n v="1991"/>
    <x v="2"/>
    <x v="0"/>
    <x v="1"/>
    <x v="0"/>
    <n v="530875"/>
    <x v="1"/>
  </r>
  <r>
    <n v="1173"/>
    <n v="2533"/>
    <x v="2"/>
    <n v="3"/>
    <n v="3"/>
    <x v="2"/>
    <n v="1939"/>
    <x v="1"/>
    <x v="1"/>
    <x v="3"/>
    <x v="0"/>
    <n v="905938"/>
    <x v="3"/>
  </r>
  <r>
    <n v="1174"/>
    <n v="645"/>
    <x v="3"/>
    <n v="2"/>
    <n v="3"/>
    <x v="2"/>
    <n v="1933"/>
    <x v="1"/>
    <x v="0"/>
    <x v="3"/>
    <x v="0"/>
    <n v="913018"/>
    <x v="3"/>
  </r>
  <r>
    <n v="1175"/>
    <n v="4888"/>
    <x v="1"/>
    <n v="4"/>
    <n v="4"/>
    <x v="0"/>
    <n v="1995"/>
    <x v="2"/>
    <x v="3"/>
    <x v="0"/>
    <x v="1"/>
    <n v="445822"/>
    <x v="1"/>
  </r>
  <r>
    <n v="1176"/>
    <n v="931"/>
    <x v="3"/>
    <n v="2"/>
    <n v="3"/>
    <x v="2"/>
    <n v="1978"/>
    <x v="2"/>
    <x v="0"/>
    <x v="1"/>
    <x v="0"/>
    <n v="852914"/>
    <x v="3"/>
  </r>
  <r>
    <n v="1177"/>
    <n v="1204"/>
    <x v="0"/>
    <n v="1"/>
    <n v="3"/>
    <x v="2"/>
    <n v="2007"/>
    <x v="3"/>
    <x v="2"/>
    <x v="0"/>
    <x v="1"/>
    <n v="804189"/>
    <x v="3"/>
  </r>
  <r>
    <n v="1178"/>
    <n v="3132"/>
    <x v="2"/>
    <n v="2"/>
    <n v="3"/>
    <x v="2"/>
    <n v="1916"/>
    <x v="1"/>
    <x v="1"/>
    <x v="1"/>
    <x v="1"/>
    <n v="252945"/>
    <x v="2"/>
  </r>
  <r>
    <n v="1179"/>
    <n v="4994"/>
    <x v="1"/>
    <n v="1"/>
    <n v="3"/>
    <x v="2"/>
    <n v="1932"/>
    <x v="1"/>
    <x v="2"/>
    <x v="0"/>
    <x v="0"/>
    <n v="608236"/>
    <x v="3"/>
  </r>
  <r>
    <n v="1180"/>
    <n v="1463"/>
    <x v="0"/>
    <n v="2"/>
    <n v="2"/>
    <x v="2"/>
    <n v="1946"/>
    <x v="1"/>
    <x v="2"/>
    <x v="2"/>
    <x v="1"/>
    <n v="402131"/>
    <x v="1"/>
  </r>
  <r>
    <n v="1181"/>
    <n v="2734"/>
    <x v="2"/>
    <n v="3"/>
    <n v="3"/>
    <x v="0"/>
    <n v="2009"/>
    <x v="3"/>
    <x v="1"/>
    <x v="0"/>
    <x v="0"/>
    <n v="272873"/>
    <x v="2"/>
  </r>
  <r>
    <n v="1182"/>
    <n v="2541"/>
    <x v="2"/>
    <n v="5"/>
    <n v="4"/>
    <x v="0"/>
    <n v="1951"/>
    <x v="0"/>
    <x v="1"/>
    <x v="3"/>
    <x v="0"/>
    <n v="272322"/>
    <x v="2"/>
  </r>
  <r>
    <n v="1183"/>
    <n v="2328"/>
    <x v="0"/>
    <n v="3"/>
    <n v="4"/>
    <x v="2"/>
    <n v="2017"/>
    <x v="3"/>
    <x v="0"/>
    <x v="3"/>
    <x v="1"/>
    <n v="70875"/>
    <x v="0"/>
  </r>
  <r>
    <n v="1184"/>
    <n v="2608"/>
    <x v="2"/>
    <n v="3"/>
    <n v="4"/>
    <x v="0"/>
    <n v="1979"/>
    <x v="2"/>
    <x v="1"/>
    <x v="3"/>
    <x v="1"/>
    <n v="325201"/>
    <x v="2"/>
  </r>
  <r>
    <n v="1185"/>
    <n v="4568"/>
    <x v="1"/>
    <n v="5"/>
    <n v="1"/>
    <x v="0"/>
    <n v="1992"/>
    <x v="2"/>
    <x v="2"/>
    <x v="0"/>
    <x v="0"/>
    <n v="82400"/>
    <x v="0"/>
  </r>
  <r>
    <n v="1186"/>
    <n v="1438"/>
    <x v="0"/>
    <n v="5"/>
    <n v="2"/>
    <x v="1"/>
    <n v="1908"/>
    <x v="1"/>
    <x v="2"/>
    <x v="3"/>
    <x v="0"/>
    <n v="514674"/>
    <x v="1"/>
  </r>
  <r>
    <n v="1187"/>
    <n v="1306"/>
    <x v="0"/>
    <n v="4"/>
    <n v="3"/>
    <x v="2"/>
    <n v="1932"/>
    <x v="1"/>
    <x v="3"/>
    <x v="3"/>
    <x v="0"/>
    <n v="118607"/>
    <x v="0"/>
  </r>
  <r>
    <n v="1188"/>
    <n v="1963"/>
    <x v="0"/>
    <n v="4"/>
    <n v="1"/>
    <x v="0"/>
    <n v="1959"/>
    <x v="0"/>
    <x v="1"/>
    <x v="2"/>
    <x v="0"/>
    <n v="923993"/>
    <x v="3"/>
  </r>
  <r>
    <n v="1189"/>
    <n v="3915"/>
    <x v="2"/>
    <n v="3"/>
    <n v="3"/>
    <x v="0"/>
    <n v="2012"/>
    <x v="3"/>
    <x v="2"/>
    <x v="2"/>
    <x v="1"/>
    <n v="339647"/>
    <x v="2"/>
  </r>
  <r>
    <n v="1190"/>
    <n v="510"/>
    <x v="3"/>
    <n v="3"/>
    <n v="1"/>
    <x v="2"/>
    <n v="1992"/>
    <x v="2"/>
    <x v="3"/>
    <x v="1"/>
    <x v="1"/>
    <n v="466981"/>
    <x v="1"/>
  </r>
  <r>
    <n v="1191"/>
    <n v="2368"/>
    <x v="0"/>
    <n v="1"/>
    <n v="1"/>
    <x v="1"/>
    <n v="1976"/>
    <x v="2"/>
    <x v="3"/>
    <x v="1"/>
    <x v="1"/>
    <n v="151096"/>
    <x v="0"/>
  </r>
  <r>
    <n v="1192"/>
    <n v="1384"/>
    <x v="0"/>
    <n v="1"/>
    <n v="4"/>
    <x v="2"/>
    <n v="1920"/>
    <x v="1"/>
    <x v="0"/>
    <x v="1"/>
    <x v="0"/>
    <n v="620900"/>
    <x v="3"/>
  </r>
  <r>
    <n v="1193"/>
    <n v="4064"/>
    <x v="1"/>
    <n v="4"/>
    <n v="4"/>
    <x v="1"/>
    <n v="1957"/>
    <x v="0"/>
    <x v="2"/>
    <x v="0"/>
    <x v="1"/>
    <n v="934750"/>
    <x v="3"/>
  </r>
  <r>
    <n v="1194"/>
    <n v="1889"/>
    <x v="0"/>
    <n v="4"/>
    <n v="1"/>
    <x v="2"/>
    <n v="1984"/>
    <x v="2"/>
    <x v="0"/>
    <x v="1"/>
    <x v="1"/>
    <n v="311538"/>
    <x v="2"/>
  </r>
  <r>
    <n v="1195"/>
    <n v="3901"/>
    <x v="2"/>
    <n v="1"/>
    <n v="4"/>
    <x v="2"/>
    <n v="1968"/>
    <x v="0"/>
    <x v="2"/>
    <x v="0"/>
    <x v="1"/>
    <n v="134335"/>
    <x v="0"/>
  </r>
  <r>
    <n v="1196"/>
    <n v="4821"/>
    <x v="1"/>
    <n v="1"/>
    <n v="1"/>
    <x v="2"/>
    <n v="1909"/>
    <x v="1"/>
    <x v="0"/>
    <x v="0"/>
    <x v="1"/>
    <n v="413133"/>
    <x v="1"/>
  </r>
  <r>
    <n v="1197"/>
    <n v="1324"/>
    <x v="0"/>
    <n v="2"/>
    <n v="2"/>
    <x v="2"/>
    <n v="1905"/>
    <x v="1"/>
    <x v="0"/>
    <x v="1"/>
    <x v="0"/>
    <n v="667300"/>
    <x v="3"/>
  </r>
  <r>
    <n v="1198"/>
    <n v="2765"/>
    <x v="2"/>
    <n v="2"/>
    <n v="4"/>
    <x v="1"/>
    <n v="2019"/>
    <x v="3"/>
    <x v="1"/>
    <x v="1"/>
    <x v="1"/>
    <n v="131748"/>
    <x v="0"/>
  </r>
  <r>
    <n v="1199"/>
    <n v="1436"/>
    <x v="0"/>
    <n v="1"/>
    <n v="4"/>
    <x v="1"/>
    <n v="2014"/>
    <x v="3"/>
    <x v="0"/>
    <x v="0"/>
    <x v="1"/>
    <n v="976932"/>
    <x v="3"/>
  </r>
  <r>
    <n v="1200"/>
    <n v="3300"/>
    <x v="2"/>
    <n v="2"/>
    <n v="4"/>
    <x v="0"/>
    <n v="2020"/>
    <x v="3"/>
    <x v="1"/>
    <x v="2"/>
    <x v="1"/>
    <n v="736779"/>
    <x v="3"/>
  </r>
  <r>
    <n v="1201"/>
    <n v="3053"/>
    <x v="2"/>
    <n v="5"/>
    <n v="2"/>
    <x v="2"/>
    <n v="1912"/>
    <x v="1"/>
    <x v="3"/>
    <x v="3"/>
    <x v="1"/>
    <n v="115195"/>
    <x v="0"/>
  </r>
  <r>
    <n v="1202"/>
    <n v="4345"/>
    <x v="1"/>
    <n v="4"/>
    <n v="1"/>
    <x v="1"/>
    <n v="1964"/>
    <x v="0"/>
    <x v="2"/>
    <x v="3"/>
    <x v="0"/>
    <n v="779055"/>
    <x v="3"/>
  </r>
  <r>
    <n v="1203"/>
    <n v="2296"/>
    <x v="0"/>
    <n v="4"/>
    <n v="3"/>
    <x v="1"/>
    <n v="1919"/>
    <x v="1"/>
    <x v="3"/>
    <x v="3"/>
    <x v="0"/>
    <n v="664134"/>
    <x v="3"/>
  </r>
  <r>
    <n v="1204"/>
    <n v="553"/>
    <x v="3"/>
    <n v="1"/>
    <n v="4"/>
    <x v="1"/>
    <n v="1956"/>
    <x v="0"/>
    <x v="2"/>
    <x v="2"/>
    <x v="1"/>
    <n v="676692"/>
    <x v="3"/>
  </r>
  <r>
    <n v="1205"/>
    <n v="1226"/>
    <x v="0"/>
    <n v="3"/>
    <n v="1"/>
    <x v="2"/>
    <n v="2010"/>
    <x v="3"/>
    <x v="3"/>
    <x v="0"/>
    <x v="0"/>
    <n v="351286"/>
    <x v="2"/>
  </r>
  <r>
    <n v="1206"/>
    <n v="3236"/>
    <x v="2"/>
    <n v="1"/>
    <n v="2"/>
    <x v="0"/>
    <n v="1945"/>
    <x v="1"/>
    <x v="2"/>
    <x v="1"/>
    <x v="0"/>
    <n v="835608"/>
    <x v="3"/>
  </r>
  <r>
    <n v="1207"/>
    <n v="3670"/>
    <x v="2"/>
    <n v="2"/>
    <n v="3"/>
    <x v="1"/>
    <n v="1907"/>
    <x v="1"/>
    <x v="0"/>
    <x v="0"/>
    <x v="0"/>
    <n v="121540"/>
    <x v="0"/>
  </r>
  <r>
    <n v="1208"/>
    <n v="2413"/>
    <x v="0"/>
    <n v="3"/>
    <n v="4"/>
    <x v="2"/>
    <n v="1909"/>
    <x v="1"/>
    <x v="2"/>
    <x v="0"/>
    <x v="0"/>
    <n v="743649"/>
    <x v="3"/>
  </r>
  <r>
    <n v="1209"/>
    <n v="2096"/>
    <x v="0"/>
    <n v="2"/>
    <n v="2"/>
    <x v="1"/>
    <n v="1972"/>
    <x v="0"/>
    <x v="2"/>
    <x v="1"/>
    <x v="1"/>
    <n v="389092"/>
    <x v="2"/>
  </r>
  <r>
    <n v="1210"/>
    <n v="2414"/>
    <x v="0"/>
    <n v="5"/>
    <n v="2"/>
    <x v="1"/>
    <n v="2012"/>
    <x v="3"/>
    <x v="3"/>
    <x v="2"/>
    <x v="0"/>
    <n v="895383"/>
    <x v="3"/>
  </r>
  <r>
    <n v="1211"/>
    <n v="2966"/>
    <x v="2"/>
    <n v="2"/>
    <n v="3"/>
    <x v="0"/>
    <n v="2004"/>
    <x v="3"/>
    <x v="3"/>
    <x v="3"/>
    <x v="0"/>
    <n v="61755"/>
    <x v="0"/>
  </r>
  <r>
    <n v="1212"/>
    <n v="3237"/>
    <x v="2"/>
    <n v="5"/>
    <n v="1"/>
    <x v="1"/>
    <n v="1966"/>
    <x v="0"/>
    <x v="3"/>
    <x v="3"/>
    <x v="1"/>
    <n v="827203"/>
    <x v="3"/>
  </r>
  <r>
    <n v="1213"/>
    <n v="1349"/>
    <x v="0"/>
    <n v="5"/>
    <n v="4"/>
    <x v="1"/>
    <n v="1910"/>
    <x v="1"/>
    <x v="1"/>
    <x v="0"/>
    <x v="1"/>
    <n v="430129"/>
    <x v="1"/>
  </r>
  <r>
    <n v="1214"/>
    <n v="2609"/>
    <x v="2"/>
    <n v="2"/>
    <n v="4"/>
    <x v="2"/>
    <n v="1911"/>
    <x v="1"/>
    <x v="1"/>
    <x v="2"/>
    <x v="1"/>
    <n v="658841"/>
    <x v="3"/>
  </r>
  <r>
    <n v="1215"/>
    <n v="502"/>
    <x v="3"/>
    <n v="2"/>
    <n v="1"/>
    <x v="2"/>
    <n v="1909"/>
    <x v="1"/>
    <x v="2"/>
    <x v="3"/>
    <x v="1"/>
    <n v="184962"/>
    <x v="0"/>
  </r>
  <r>
    <n v="1216"/>
    <n v="4755"/>
    <x v="1"/>
    <n v="5"/>
    <n v="1"/>
    <x v="0"/>
    <n v="1924"/>
    <x v="1"/>
    <x v="2"/>
    <x v="2"/>
    <x v="0"/>
    <n v="930808"/>
    <x v="3"/>
  </r>
  <r>
    <n v="1217"/>
    <n v="4569"/>
    <x v="1"/>
    <n v="3"/>
    <n v="1"/>
    <x v="2"/>
    <n v="1948"/>
    <x v="1"/>
    <x v="0"/>
    <x v="1"/>
    <x v="1"/>
    <n v="306760"/>
    <x v="2"/>
  </r>
  <r>
    <n v="1218"/>
    <n v="1392"/>
    <x v="0"/>
    <n v="5"/>
    <n v="3"/>
    <x v="2"/>
    <n v="1948"/>
    <x v="1"/>
    <x v="0"/>
    <x v="0"/>
    <x v="0"/>
    <n v="67175"/>
    <x v="0"/>
  </r>
  <r>
    <n v="1219"/>
    <n v="2530"/>
    <x v="2"/>
    <n v="4"/>
    <n v="3"/>
    <x v="0"/>
    <n v="1988"/>
    <x v="2"/>
    <x v="2"/>
    <x v="0"/>
    <x v="0"/>
    <n v="902119"/>
    <x v="3"/>
  </r>
  <r>
    <n v="1220"/>
    <n v="3660"/>
    <x v="2"/>
    <n v="5"/>
    <n v="4"/>
    <x v="1"/>
    <n v="1910"/>
    <x v="1"/>
    <x v="1"/>
    <x v="2"/>
    <x v="1"/>
    <n v="921415"/>
    <x v="3"/>
  </r>
  <r>
    <n v="1221"/>
    <n v="2876"/>
    <x v="2"/>
    <n v="3"/>
    <n v="3"/>
    <x v="0"/>
    <n v="1961"/>
    <x v="0"/>
    <x v="2"/>
    <x v="3"/>
    <x v="1"/>
    <n v="531503"/>
    <x v="1"/>
  </r>
  <r>
    <n v="1222"/>
    <n v="2433"/>
    <x v="0"/>
    <n v="4"/>
    <n v="2"/>
    <x v="2"/>
    <n v="2017"/>
    <x v="3"/>
    <x v="0"/>
    <x v="2"/>
    <x v="0"/>
    <n v="800071"/>
    <x v="3"/>
  </r>
  <r>
    <n v="1223"/>
    <n v="1880"/>
    <x v="0"/>
    <n v="1"/>
    <n v="4"/>
    <x v="0"/>
    <n v="1935"/>
    <x v="1"/>
    <x v="1"/>
    <x v="1"/>
    <x v="0"/>
    <n v="729648"/>
    <x v="3"/>
  </r>
  <r>
    <n v="1224"/>
    <n v="4181"/>
    <x v="1"/>
    <n v="1"/>
    <n v="3"/>
    <x v="1"/>
    <n v="1938"/>
    <x v="1"/>
    <x v="1"/>
    <x v="3"/>
    <x v="1"/>
    <n v="96629"/>
    <x v="0"/>
  </r>
  <r>
    <n v="1225"/>
    <n v="1790"/>
    <x v="0"/>
    <n v="3"/>
    <n v="1"/>
    <x v="0"/>
    <n v="1952"/>
    <x v="0"/>
    <x v="0"/>
    <x v="3"/>
    <x v="1"/>
    <n v="691067"/>
    <x v="3"/>
  </r>
  <r>
    <n v="1226"/>
    <n v="2140"/>
    <x v="0"/>
    <n v="5"/>
    <n v="2"/>
    <x v="2"/>
    <n v="1989"/>
    <x v="2"/>
    <x v="2"/>
    <x v="2"/>
    <x v="1"/>
    <n v="228872"/>
    <x v="2"/>
  </r>
  <r>
    <n v="1227"/>
    <n v="3182"/>
    <x v="2"/>
    <n v="2"/>
    <n v="1"/>
    <x v="2"/>
    <n v="1977"/>
    <x v="2"/>
    <x v="3"/>
    <x v="1"/>
    <x v="0"/>
    <n v="742727"/>
    <x v="3"/>
  </r>
  <r>
    <n v="1228"/>
    <n v="1487"/>
    <x v="0"/>
    <n v="3"/>
    <n v="4"/>
    <x v="0"/>
    <n v="2002"/>
    <x v="3"/>
    <x v="2"/>
    <x v="3"/>
    <x v="0"/>
    <n v="520970"/>
    <x v="1"/>
  </r>
  <r>
    <n v="1229"/>
    <n v="1718"/>
    <x v="0"/>
    <n v="4"/>
    <n v="1"/>
    <x v="1"/>
    <n v="1955"/>
    <x v="0"/>
    <x v="2"/>
    <x v="0"/>
    <x v="1"/>
    <n v="380657"/>
    <x v="2"/>
  </r>
  <r>
    <n v="1230"/>
    <n v="1855"/>
    <x v="0"/>
    <n v="4"/>
    <n v="3"/>
    <x v="0"/>
    <n v="2003"/>
    <x v="3"/>
    <x v="0"/>
    <x v="1"/>
    <x v="0"/>
    <n v="657050"/>
    <x v="3"/>
  </r>
  <r>
    <n v="1231"/>
    <n v="4765"/>
    <x v="1"/>
    <n v="1"/>
    <n v="3"/>
    <x v="1"/>
    <n v="1900"/>
    <x v="1"/>
    <x v="1"/>
    <x v="3"/>
    <x v="1"/>
    <n v="210094"/>
    <x v="2"/>
  </r>
  <r>
    <n v="1232"/>
    <n v="4635"/>
    <x v="1"/>
    <n v="4"/>
    <n v="4"/>
    <x v="1"/>
    <n v="1955"/>
    <x v="0"/>
    <x v="0"/>
    <x v="2"/>
    <x v="0"/>
    <n v="774689"/>
    <x v="3"/>
  </r>
  <r>
    <n v="1233"/>
    <n v="2060"/>
    <x v="0"/>
    <n v="3"/>
    <n v="1"/>
    <x v="0"/>
    <n v="2017"/>
    <x v="3"/>
    <x v="2"/>
    <x v="3"/>
    <x v="0"/>
    <n v="969163"/>
    <x v="3"/>
  </r>
  <r>
    <n v="1234"/>
    <n v="1918"/>
    <x v="0"/>
    <n v="4"/>
    <n v="4"/>
    <x v="1"/>
    <n v="1903"/>
    <x v="1"/>
    <x v="3"/>
    <x v="0"/>
    <x v="1"/>
    <n v="107941"/>
    <x v="0"/>
  </r>
  <r>
    <n v="1235"/>
    <n v="1454"/>
    <x v="0"/>
    <n v="3"/>
    <n v="1"/>
    <x v="2"/>
    <n v="1929"/>
    <x v="1"/>
    <x v="3"/>
    <x v="1"/>
    <x v="1"/>
    <n v="355617"/>
    <x v="2"/>
  </r>
  <r>
    <n v="1236"/>
    <n v="1483"/>
    <x v="0"/>
    <n v="2"/>
    <n v="2"/>
    <x v="0"/>
    <n v="1911"/>
    <x v="1"/>
    <x v="3"/>
    <x v="3"/>
    <x v="1"/>
    <n v="760958"/>
    <x v="3"/>
  </r>
  <r>
    <n v="1237"/>
    <n v="1474"/>
    <x v="0"/>
    <n v="1"/>
    <n v="3"/>
    <x v="1"/>
    <n v="2019"/>
    <x v="3"/>
    <x v="0"/>
    <x v="0"/>
    <x v="0"/>
    <n v="66040"/>
    <x v="0"/>
  </r>
  <r>
    <n v="1238"/>
    <n v="4633"/>
    <x v="1"/>
    <n v="4"/>
    <n v="4"/>
    <x v="2"/>
    <n v="1934"/>
    <x v="1"/>
    <x v="1"/>
    <x v="3"/>
    <x v="0"/>
    <n v="119806"/>
    <x v="0"/>
  </r>
  <r>
    <n v="1239"/>
    <n v="4472"/>
    <x v="1"/>
    <n v="3"/>
    <n v="2"/>
    <x v="0"/>
    <n v="1976"/>
    <x v="2"/>
    <x v="0"/>
    <x v="3"/>
    <x v="1"/>
    <n v="718646"/>
    <x v="3"/>
  </r>
  <r>
    <n v="1240"/>
    <n v="1413"/>
    <x v="0"/>
    <n v="5"/>
    <n v="2"/>
    <x v="2"/>
    <n v="1951"/>
    <x v="0"/>
    <x v="3"/>
    <x v="1"/>
    <x v="0"/>
    <n v="250211"/>
    <x v="2"/>
  </r>
  <r>
    <n v="1241"/>
    <n v="536"/>
    <x v="3"/>
    <n v="1"/>
    <n v="4"/>
    <x v="2"/>
    <n v="1930"/>
    <x v="1"/>
    <x v="2"/>
    <x v="2"/>
    <x v="1"/>
    <n v="686364"/>
    <x v="3"/>
  </r>
  <r>
    <n v="1242"/>
    <n v="3887"/>
    <x v="2"/>
    <n v="2"/>
    <n v="4"/>
    <x v="2"/>
    <n v="2001"/>
    <x v="3"/>
    <x v="1"/>
    <x v="2"/>
    <x v="0"/>
    <n v="105916"/>
    <x v="0"/>
  </r>
  <r>
    <n v="1243"/>
    <n v="2211"/>
    <x v="0"/>
    <n v="3"/>
    <n v="2"/>
    <x v="1"/>
    <n v="2006"/>
    <x v="3"/>
    <x v="0"/>
    <x v="0"/>
    <x v="1"/>
    <n v="722960"/>
    <x v="3"/>
  </r>
  <r>
    <n v="1244"/>
    <n v="3520"/>
    <x v="2"/>
    <n v="2"/>
    <n v="1"/>
    <x v="0"/>
    <n v="1986"/>
    <x v="2"/>
    <x v="0"/>
    <x v="0"/>
    <x v="0"/>
    <n v="445507"/>
    <x v="1"/>
  </r>
  <r>
    <n v="1245"/>
    <n v="1295"/>
    <x v="0"/>
    <n v="2"/>
    <n v="2"/>
    <x v="0"/>
    <n v="1967"/>
    <x v="0"/>
    <x v="1"/>
    <x v="0"/>
    <x v="0"/>
    <n v="456339"/>
    <x v="1"/>
  </r>
  <r>
    <n v="1246"/>
    <n v="4536"/>
    <x v="1"/>
    <n v="4"/>
    <n v="4"/>
    <x v="1"/>
    <n v="1951"/>
    <x v="0"/>
    <x v="1"/>
    <x v="1"/>
    <x v="0"/>
    <n v="840243"/>
    <x v="3"/>
  </r>
  <r>
    <n v="1247"/>
    <n v="3611"/>
    <x v="2"/>
    <n v="4"/>
    <n v="2"/>
    <x v="0"/>
    <n v="1979"/>
    <x v="2"/>
    <x v="2"/>
    <x v="2"/>
    <x v="0"/>
    <n v="605564"/>
    <x v="3"/>
  </r>
  <r>
    <n v="1248"/>
    <n v="1824"/>
    <x v="0"/>
    <n v="3"/>
    <n v="1"/>
    <x v="2"/>
    <n v="1906"/>
    <x v="1"/>
    <x v="1"/>
    <x v="0"/>
    <x v="1"/>
    <n v="235217"/>
    <x v="2"/>
  </r>
  <r>
    <n v="1249"/>
    <n v="817"/>
    <x v="3"/>
    <n v="5"/>
    <n v="3"/>
    <x v="0"/>
    <n v="1921"/>
    <x v="1"/>
    <x v="2"/>
    <x v="0"/>
    <x v="0"/>
    <n v="917481"/>
    <x v="3"/>
  </r>
  <r>
    <n v="1250"/>
    <n v="2896"/>
    <x v="2"/>
    <n v="3"/>
    <n v="3"/>
    <x v="1"/>
    <n v="1992"/>
    <x v="2"/>
    <x v="3"/>
    <x v="3"/>
    <x v="1"/>
    <n v="251750"/>
    <x v="2"/>
  </r>
  <r>
    <n v="1251"/>
    <n v="2662"/>
    <x v="2"/>
    <n v="5"/>
    <n v="2"/>
    <x v="2"/>
    <n v="1974"/>
    <x v="0"/>
    <x v="3"/>
    <x v="3"/>
    <x v="1"/>
    <n v="269854"/>
    <x v="2"/>
  </r>
  <r>
    <n v="1252"/>
    <n v="3245"/>
    <x v="2"/>
    <n v="2"/>
    <n v="1"/>
    <x v="1"/>
    <n v="1955"/>
    <x v="0"/>
    <x v="0"/>
    <x v="0"/>
    <x v="1"/>
    <n v="796403"/>
    <x v="3"/>
  </r>
  <r>
    <n v="1253"/>
    <n v="2091"/>
    <x v="0"/>
    <n v="1"/>
    <n v="3"/>
    <x v="2"/>
    <n v="1996"/>
    <x v="2"/>
    <x v="3"/>
    <x v="3"/>
    <x v="1"/>
    <n v="994218"/>
    <x v="3"/>
  </r>
  <r>
    <n v="1254"/>
    <n v="3611"/>
    <x v="2"/>
    <n v="3"/>
    <n v="2"/>
    <x v="2"/>
    <n v="1957"/>
    <x v="0"/>
    <x v="3"/>
    <x v="3"/>
    <x v="0"/>
    <n v="761045"/>
    <x v="3"/>
  </r>
  <r>
    <n v="1255"/>
    <n v="4430"/>
    <x v="1"/>
    <n v="3"/>
    <n v="2"/>
    <x v="0"/>
    <n v="1992"/>
    <x v="2"/>
    <x v="2"/>
    <x v="3"/>
    <x v="1"/>
    <n v="717554"/>
    <x v="3"/>
  </r>
  <r>
    <n v="1256"/>
    <n v="2496"/>
    <x v="0"/>
    <n v="5"/>
    <n v="1"/>
    <x v="2"/>
    <n v="1963"/>
    <x v="0"/>
    <x v="0"/>
    <x v="1"/>
    <x v="0"/>
    <n v="385206"/>
    <x v="2"/>
  </r>
  <r>
    <n v="1257"/>
    <n v="1812"/>
    <x v="0"/>
    <n v="2"/>
    <n v="4"/>
    <x v="1"/>
    <n v="2022"/>
    <x v="3"/>
    <x v="1"/>
    <x v="0"/>
    <x v="0"/>
    <n v="200434"/>
    <x v="2"/>
  </r>
  <r>
    <n v="1258"/>
    <n v="1785"/>
    <x v="0"/>
    <n v="2"/>
    <n v="2"/>
    <x v="0"/>
    <n v="2002"/>
    <x v="3"/>
    <x v="0"/>
    <x v="0"/>
    <x v="0"/>
    <n v="890931"/>
    <x v="3"/>
  </r>
  <r>
    <n v="1259"/>
    <n v="4811"/>
    <x v="1"/>
    <n v="5"/>
    <n v="4"/>
    <x v="1"/>
    <n v="1911"/>
    <x v="1"/>
    <x v="3"/>
    <x v="3"/>
    <x v="0"/>
    <n v="620569"/>
    <x v="3"/>
  </r>
  <r>
    <n v="1260"/>
    <n v="2883"/>
    <x v="2"/>
    <n v="2"/>
    <n v="4"/>
    <x v="2"/>
    <n v="1906"/>
    <x v="1"/>
    <x v="1"/>
    <x v="1"/>
    <x v="1"/>
    <n v="881284"/>
    <x v="3"/>
  </r>
  <r>
    <n v="1261"/>
    <n v="3739"/>
    <x v="2"/>
    <n v="4"/>
    <n v="3"/>
    <x v="1"/>
    <n v="2022"/>
    <x v="3"/>
    <x v="0"/>
    <x v="3"/>
    <x v="0"/>
    <n v="836408"/>
    <x v="3"/>
  </r>
  <r>
    <n v="1262"/>
    <n v="2639"/>
    <x v="2"/>
    <n v="1"/>
    <n v="4"/>
    <x v="1"/>
    <n v="1954"/>
    <x v="0"/>
    <x v="0"/>
    <x v="1"/>
    <x v="1"/>
    <n v="827981"/>
    <x v="3"/>
  </r>
  <r>
    <n v="1263"/>
    <n v="2204"/>
    <x v="0"/>
    <n v="3"/>
    <n v="1"/>
    <x v="2"/>
    <n v="2002"/>
    <x v="3"/>
    <x v="0"/>
    <x v="0"/>
    <x v="0"/>
    <n v="554869"/>
    <x v="1"/>
  </r>
  <r>
    <n v="1264"/>
    <n v="862"/>
    <x v="3"/>
    <n v="1"/>
    <n v="3"/>
    <x v="0"/>
    <n v="2005"/>
    <x v="3"/>
    <x v="0"/>
    <x v="3"/>
    <x v="0"/>
    <n v="753196"/>
    <x v="3"/>
  </r>
  <r>
    <n v="1265"/>
    <n v="3104"/>
    <x v="2"/>
    <n v="3"/>
    <n v="3"/>
    <x v="1"/>
    <n v="1961"/>
    <x v="0"/>
    <x v="2"/>
    <x v="0"/>
    <x v="1"/>
    <n v="578883"/>
    <x v="1"/>
  </r>
  <r>
    <n v="1266"/>
    <n v="2216"/>
    <x v="0"/>
    <n v="4"/>
    <n v="3"/>
    <x v="2"/>
    <n v="2011"/>
    <x v="3"/>
    <x v="0"/>
    <x v="1"/>
    <x v="0"/>
    <n v="670218"/>
    <x v="3"/>
  </r>
  <r>
    <n v="1267"/>
    <n v="4951"/>
    <x v="1"/>
    <n v="2"/>
    <n v="2"/>
    <x v="0"/>
    <n v="1989"/>
    <x v="2"/>
    <x v="3"/>
    <x v="2"/>
    <x v="0"/>
    <n v="196474"/>
    <x v="0"/>
  </r>
  <r>
    <n v="1268"/>
    <n v="4786"/>
    <x v="1"/>
    <n v="5"/>
    <n v="2"/>
    <x v="0"/>
    <n v="2003"/>
    <x v="3"/>
    <x v="3"/>
    <x v="1"/>
    <x v="0"/>
    <n v="311745"/>
    <x v="2"/>
  </r>
  <r>
    <n v="1269"/>
    <n v="4238"/>
    <x v="1"/>
    <n v="4"/>
    <n v="4"/>
    <x v="0"/>
    <n v="1972"/>
    <x v="0"/>
    <x v="2"/>
    <x v="2"/>
    <x v="0"/>
    <n v="770643"/>
    <x v="3"/>
  </r>
  <r>
    <n v="1270"/>
    <n v="2969"/>
    <x v="2"/>
    <n v="1"/>
    <n v="3"/>
    <x v="1"/>
    <n v="2004"/>
    <x v="3"/>
    <x v="1"/>
    <x v="0"/>
    <x v="0"/>
    <n v="404820"/>
    <x v="1"/>
  </r>
  <r>
    <n v="1271"/>
    <n v="1056"/>
    <x v="0"/>
    <n v="5"/>
    <n v="3"/>
    <x v="1"/>
    <n v="1997"/>
    <x v="2"/>
    <x v="1"/>
    <x v="0"/>
    <x v="1"/>
    <n v="748083"/>
    <x v="3"/>
  </r>
  <r>
    <n v="1272"/>
    <n v="1325"/>
    <x v="0"/>
    <n v="2"/>
    <n v="1"/>
    <x v="1"/>
    <n v="2008"/>
    <x v="3"/>
    <x v="3"/>
    <x v="3"/>
    <x v="0"/>
    <n v="232394"/>
    <x v="2"/>
  </r>
  <r>
    <n v="1273"/>
    <n v="3308"/>
    <x v="2"/>
    <n v="4"/>
    <n v="4"/>
    <x v="0"/>
    <n v="1976"/>
    <x v="2"/>
    <x v="3"/>
    <x v="2"/>
    <x v="0"/>
    <n v="752124"/>
    <x v="3"/>
  </r>
  <r>
    <n v="1274"/>
    <n v="3219"/>
    <x v="2"/>
    <n v="5"/>
    <n v="1"/>
    <x v="1"/>
    <n v="1954"/>
    <x v="0"/>
    <x v="2"/>
    <x v="1"/>
    <x v="1"/>
    <n v="468127"/>
    <x v="1"/>
  </r>
  <r>
    <n v="1275"/>
    <n v="4008"/>
    <x v="1"/>
    <n v="4"/>
    <n v="4"/>
    <x v="2"/>
    <n v="2018"/>
    <x v="3"/>
    <x v="1"/>
    <x v="0"/>
    <x v="0"/>
    <n v="796648"/>
    <x v="3"/>
  </r>
  <r>
    <n v="1276"/>
    <n v="4241"/>
    <x v="1"/>
    <n v="4"/>
    <n v="4"/>
    <x v="1"/>
    <n v="1935"/>
    <x v="1"/>
    <x v="1"/>
    <x v="2"/>
    <x v="1"/>
    <n v="855837"/>
    <x v="3"/>
  </r>
  <r>
    <n v="1277"/>
    <n v="2074"/>
    <x v="0"/>
    <n v="2"/>
    <n v="2"/>
    <x v="1"/>
    <n v="1988"/>
    <x v="2"/>
    <x v="0"/>
    <x v="1"/>
    <x v="0"/>
    <n v="108122"/>
    <x v="0"/>
  </r>
  <r>
    <n v="1278"/>
    <n v="4498"/>
    <x v="1"/>
    <n v="3"/>
    <n v="2"/>
    <x v="0"/>
    <n v="1923"/>
    <x v="1"/>
    <x v="0"/>
    <x v="2"/>
    <x v="0"/>
    <n v="804849"/>
    <x v="3"/>
  </r>
  <r>
    <n v="1279"/>
    <n v="2629"/>
    <x v="2"/>
    <n v="5"/>
    <n v="1"/>
    <x v="1"/>
    <n v="1943"/>
    <x v="1"/>
    <x v="0"/>
    <x v="1"/>
    <x v="1"/>
    <n v="282661"/>
    <x v="2"/>
  </r>
  <r>
    <n v="1280"/>
    <n v="2903"/>
    <x v="2"/>
    <n v="2"/>
    <n v="4"/>
    <x v="2"/>
    <n v="1916"/>
    <x v="1"/>
    <x v="2"/>
    <x v="1"/>
    <x v="0"/>
    <n v="703197"/>
    <x v="3"/>
  </r>
  <r>
    <n v="1281"/>
    <n v="3829"/>
    <x v="2"/>
    <n v="4"/>
    <n v="3"/>
    <x v="0"/>
    <n v="1901"/>
    <x v="1"/>
    <x v="3"/>
    <x v="1"/>
    <x v="0"/>
    <n v="315591"/>
    <x v="2"/>
  </r>
  <r>
    <n v="1282"/>
    <n v="1088"/>
    <x v="0"/>
    <n v="2"/>
    <n v="2"/>
    <x v="2"/>
    <n v="1912"/>
    <x v="1"/>
    <x v="2"/>
    <x v="1"/>
    <x v="1"/>
    <n v="234215"/>
    <x v="2"/>
  </r>
  <r>
    <n v="1283"/>
    <n v="2512"/>
    <x v="2"/>
    <n v="3"/>
    <n v="3"/>
    <x v="0"/>
    <n v="1930"/>
    <x v="1"/>
    <x v="1"/>
    <x v="2"/>
    <x v="1"/>
    <n v="60662"/>
    <x v="0"/>
  </r>
  <r>
    <n v="1284"/>
    <n v="2047"/>
    <x v="0"/>
    <n v="5"/>
    <n v="1"/>
    <x v="0"/>
    <n v="1992"/>
    <x v="2"/>
    <x v="3"/>
    <x v="2"/>
    <x v="0"/>
    <n v="506217"/>
    <x v="1"/>
  </r>
  <r>
    <n v="1285"/>
    <n v="794"/>
    <x v="3"/>
    <n v="3"/>
    <n v="2"/>
    <x v="1"/>
    <n v="2013"/>
    <x v="3"/>
    <x v="0"/>
    <x v="3"/>
    <x v="1"/>
    <n v="632570"/>
    <x v="3"/>
  </r>
  <r>
    <n v="1286"/>
    <n v="2485"/>
    <x v="0"/>
    <n v="1"/>
    <n v="2"/>
    <x v="2"/>
    <n v="1927"/>
    <x v="1"/>
    <x v="2"/>
    <x v="2"/>
    <x v="0"/>
    <n v="448115"/>
    <x v="1"/>
  </r>
  <r>
    <n v="1287"/>
    <n v="3617"/>
    <x v="2"/>
    <n v="5"/>
    <n v="4"/>
    <x v="0"/>
    <n v="1959"/>
    <x v="0"/>
    <x v="2"/>
    <x v="2"/>
    <x v="1"/>
    <n v="865014"/>
    <x v="3"/>
  </r>
  <r>
    <n v="1288"/>
    <n v="2190"/>
    <x v="0"/>
    <n v="3"/>
    <n v="1"/>
    <x v="1"/>
    <n v="1926"/>
    <x v="1"/>
    <x v="0"/>
    <x v="3"/>
    <x v="0"/>
    <n v="641759"/>
    <x v="3"/>
  </r>
  <r>
    <n v="1289"/>
    <n v="1636"/>
    <x v="0"/>
    <n v="4"/>
    <n v="4"/>
    <x v="0"/>
    <n v="1914"/>
    <x v="1"/>
    <x v="2"/>
    <x v="2"/>
    <x v="1"/>
    <n v="697801"/>
    <x v="3"/>
  </r>
  <r>
    <n v="1290"/>
    <n v="2564"/>
    <x v="2"/>
    <n v="5"/>
    <n v="2"/>
    <x v="0"/>
    <n v="1994"/>
    <x v="2"/>
    <x v="0"/>
    <x v="1"/>
    <x v="1"/>
    <n v="223285"/>
    <x v="2"/>
  </r>
  <r>
    <n v="1291"/>
    <n v="4955"/>
    <x v="1"/>
    <n v="5"/>
    <n v="1"/>
    <x v="0"/>
    <n v="2003"/>
    <x v="3"/>
    <x v="1"/>
    <x v="0"/>
    <x v="1"/>
    <n v="681866"/>
    <x v="3"/>
  </r>
  <r>
    <n v="1292"/>
    <n v="1507"/>
    <x v="0"/>
    <n v="2"/>
    <n v="2"/>
    <x v="0"/>
    <n v="1978"/>
    <x v="2"/>
    <x v="3"/>
    <x v="0"/>
    <x v="1"/>
    <n v="912303"/>
    <x v="3"/>
  </r>
  <r>
    <n v="1293"/>
    <n v="3014"/>
    <x v="2"/>
    <n v="4"/>
    <n v="1"/>
    <x v="0"/>
    <n v="1932"/>
    <x v="1"/>
    <x v="1"/>
    <x v="3"/>
    <x v="1"/>
    <n v="657493"/>
    <x v="3"/>
  </r>
  <r>
    <n v="1294"/>
    <n v="4026"/>
    <x v="1"/>
    <n v="1"/>
    <n v="2"/>
    <x v="0"/>
    <n v="1919"/>
    <x v="1"/>
    <x v="1"/>
    <x v="2"/>
    <x v="1"/>
    <n v="910513"/>
    <x v="3"/>
  </r>
  <r>
    <n v="1295"/>
    <n v="1747"/>
    <x v="0"/>
    <n v="3"/>
    <n v="3"/>
    <x v="1"/>
    <n v="1941"/>
    <x v="1"/>
    <x v="0"/>
    <x v="2"/>
    <x v="1"/>
    <n v="942215"/>
    <x v="3"/>
  </r>
  <r>
    <n v="1296"/>
    <n v="4402"/>
    <x v="1"/>
    <n v="2"/>
    <n v="3"/>
    <x v="0"/>
    <n v="1911"/>
    <x v="1"/>
    <x v="2"/>
    <x v="3"/>
    <x v="1"/>
    <n v="284631"/>
    <x v="2"/>
  </r>
  <r>
    <n v="1297"/>
    <n v="1935"/>
    <x v="0"/>
    <n v="3"/>
    <n v="4"/>
    <x v="2"/>
    <n v="2000"/>
    <x v="2"/>
    <x v="1"/>
    <x v="0"/>
    <x v="1"/>
    <n v="133805"/>
    <x v="0"/>
  </r>
  <r>
    <n v="1298"/>
    <n v="1071"/>
    <x v="0"/>
    <n v="1"/>
    <n v="3"/>
    <x v="1"/>
    <n v="1972"/>
    <x v="0"/>
    <x v="1"/>
    <x v="1"/>
    <x v="0"/>
    <n v="174698"/>
    <x v="0"/>
  </r>
  <r>
    <n v="1299"/>
    <n v="2882"/>
    <x v="2"/>
    <n v="1"/>
    <n v="2"/>
    <x v="2"/>
    <n v="1922"/>
    <x v="1"/>
    <x v="1"/>
    <x v="2"/>
    <x v="1"/>
    <n v="218902"/>
    <x v="2"/>
  </r>
  <r>
    <n v="1300"/>
    <n v="1745"/>
    <x v="0"/>
    <n v="5"/>
    <n v="2"/>
    <x v="0"/>
    <n v="1971"/>
    <x v="0"/>
    <x v="2"/>
    <x v="3"/>
    <x v="0"/>
    <n v="974570"/>
    <x v="3"/>
  </r>
  <r>
    <n v="1301"/>
    <n v="2584"/>
    <x v="2"/>
    <n v="1"/>
    <n v="3"/>
    <x v="2"/>
    <n v="1995"/>
    <x v="2"/>
    <x v="2"/>
    <x v="1"/>
    <x v="1"/>
    <n v="60712"/>
    <x v="0"/>
  </r>
  <r>
    <n v="1302"/>
    <n v="777"/>
    <x v="3"/>
    <n v="3"/>
    <n v="4"/>
    <x v="0"/>
    <n v="2011"/>
    <x v="3"/>
    <x v="0"/>
    <x v="3"/>
    <x v="0"/>
    <n v="393671"/>
    <x v="2"/>
  </r>
  <r>
    <n v="1303"/>
    <n v="2387"/>
    <x v="0"/>
    <n v="4"/>
    <n v="3"/>
    <x v="0"/>
    <n v="1913"/>
    <x v="1"/>
    <x v="1"/>
    <x v="3"/>
    <x v="0"/>
    <n v="965885"/>
    <x v="3"/>
  </r>
  <r>
    <n v="1304"/>
    <n v="1765"/>
    <x v="0"/>
    <n v="4"/>
    <n v="1"/>
    <x v="1"/>
    <n v="1990"/>
    <x v="2"/>
    <x v="3"/>
    <x v="3"/>
    <x v="1"/>
    <n v="701176"/>
    <x v="3"/>
  </r>
  <r>
    <n v="1305"/>
    <n v="1540"/>
    <x v="0"/>
    <n v="5"/>
    <n v="1"/>
    <x v="1"/>
    <n v="1924"/>
    <x v="1"/>
    <x v="2"/>
    <x v="0"/>
    <x v="1"/>
    <n v="806686"/>
    <x v="3"/>
  </r>
  <r>
    <n v="1306"/>
    <n v="1417"/>
    <x v="0"/>
    <n v="3"/>
    <n v="1"/>
    <x v="0"/>
    <n v="1976"/>
    <x v="2"/>
    <x v="0"/>
    <x v="0"/>
    <x v="0"/>
    <n v="568680"/>
    <x v="1"/>
  </r>
  <r>
    <n v="1307"/>
    <n v="1385"/>
    <x v="0"/>
    <n v="3"/>
    <n v="3"/>
    <x v="1"/>
    <n v="2018"/>
    <x v="3"/>
    <x v="1"/>
    <x v="3"/>
    <x v="0"/>
    <n v="246437"/>
    <x v="2"/>
  </r>
  <r>
    <n v="1308"/>
    <n v="3252"/>
    <x v="2"/>
    <n v="1"/>
    <n v="3"/>
    <x v="2"/>
    <n v="1984"/>
    <x v="2"/>
    <x v="3"/>
    <x v="2"/>
    <x v="1"/>
    <n v="661473"/>
    <x v="3"/>
  </r>
  <r>
    <n v="1309"/>
    <n v="521"/>
    <x v="3"/>
    <n v="3"/>
    <n v="3"/>
    <x v="1"/>
    <n v="2008"/>
    <x v="3"/>
    <x v="2"/>
    <x v="1"/>
    <x v="1"/>
    <n v="411995"/>
    <x v="1"/>
  </r>
  <r>
    <n v="1310"/>
    <n v="3691"/>
    <x v="2"/>
    <n v="2"/>
    <n v="1"/>
    <x v="1"/>
    <n v="1930"/>
    <x v="1"/>
    <x v="3"/>
    <x v="2"/>
    <x v="1"/>
    <n v="474022"/>
    <x v="1"/>
  </r>
  <r>
    <n v="1311"/>
    <n v="2853"/>
    <x v="2"/>
    <n v="1"/>
    <n v="4"/>
    <x v="2"/>
    <n v="2000"/>
    <x v="2"/>
    <x v="2"/>
    <x v="0"/>
    <x v="0"/>
    <n v="586498"/>
    <x v="1"/>
  </r>
  <r>
    <n v="1312"/>
    <n v="1186"/>
    <x v="0"/>
    <n v="2"/>
    <n v="2"/>
    <x v="1"/>
    <n v="2011"/>
    <x v="3"/>
    <x v="0"/>
    <x v="1"/>
    <x v="1"/>
    <n v="86972"/>
    <x v="0"/>
  </r>
  <r>
    <n v="1313"/>
    <n v="784"/>
    <x v="3"/>
    <n v="5"/>
    <n v="3"/>
    <x v="0"/>
    <n v="2021"/>
    <x v="3"/>
    <x v="3"/>
    <x v="3"/>
    <x v="1"/>
    <n v="811254"/>
    <x v="3"/>
  </r>
  <r>
    <n v="1314"/>
    <n v="4247"/>
    <x v="1"/>
    <n v="4"/>
    <n v="4"/>
    <x v="2"/>
    <n v="2006"/>
    <x v="3"/>
    <x v="1"/>
    <x v="2"/>
    <x v="1"/>
    <n v="346280"/>
    <x v="2"/>
  </r>
  <r>
    <n v="1315"/>
    <n v="1262"/>
    <x v="0"/>
    <n v="5"/>
    <n v="2"/>
    <x v="0"/>
    <n v="1953"/>
    <x v="0"/>
    <x v="1"/>
    <x v="2"/>
    <x v="1"/>
    <n v="487513"/>
    <x v="1"/>
  </r>
  <r>
    <n v="1316"/>
    <n v="2928"/>
    <x v="2"/>
    <n v="4"/>
    <n v="2"/>
    <x v="2"/>
    <n v="1904"/>
    <x v="1"/>
    <x v="2"/>
    <x v="3"/>
    <x v="1"/>
    <n v="952877"/>
    <x v="3"/>
  </r>
  <r>
    <n v="1317"/>
    <n v="3007"/>
    <x v="2"/>
    <n v="5"/>
    <n v="2"/>
    <x v="0"/>
    <n v="1912"/>
    <x v="1"/>
    <x v="1"/>
    <x v="2"/>
    <x v="0"/>
    <n v="852377"/>
    <x v="3"/>
  </r>
  <r>
    <n v="1318"/>
    <n v="528"/>
    <x v="3"/>
    <n v="3"/>
    <n v="4"/>
    <x v="0"/>
    <n v="1927"/>
    <x v="1"/>
    <x v="3"/>
    <x v="0"/>
    <x v="0"/>
    <n v="800561"/>
    <x v="3"/>
  </r>
  <r>
    <n v="1319"/>
    <n v="1406"/>
    <x v="0"/>
    <n v="2"/>
    <n v="4"/>
    <x v="1"/>
    <n v="1942"/>
    <x v="1"/>
    <x v="0"/>
    <x v="3"/>
    <x v="1"/>
    <n v="391324"/>
    <x v="2"/>
  </r>
  <r>
    <n v="1320"/>
    <n v="3604"/>
    <x v="2"/>
    <n v="4"/>
    <n v="1"/>
    <x v="0"/>
    <n v="1988"/>
    <x v="2"/>
    <x v="2"/>
    <x v="2"/>
    <x v="1"/>
    <n v="382597"/>
    <x v="2"/>
  </r>
  <r>
    <n v="1321"/>
    <n v="4499"/>
    <x v="1"/>
    <n v="1"/>
    <n v="4"/>
    <x v="1"/>
    <n v="2014"/>
    <x v="3"/>
    <x v="3"/>
    <x v="3"/>
    <x v="0"/>
    <n v="921836"/>
    <x v="3"/>
  </r>
  <r>
    <n v="1322"/>
    <n v="3494"/>
    <x v="2"/>
    <n v="2"/>
    <n v="4"/>
    <x v="2"/>
    <n v="1998"/>
    <x v="2"/>
    <x v="2"/>
    <x v="1"/>
    <x v="1"/>
    <n v="980728"/>
    <x v="3"/>
  </r>
  <r>
    <n v="1323"/>
    <n v="3006"/>
    <x v="2"/>
    <n v="1"/>
    <n v="4"/>
    <x v="0"/>
    <n v="1946"/>
    <x v="1"/>
    <x v="0"/>
    <x v="3"/>
    <x v="0"/>
    <n v="53052"/>
    <x v="0"/>
  </r>
  <r>
    <n v="1324"/>
    <n v="4109"/>
    <x v="1"/>
    <n v="2"/>
    <n v="2"/>
    <x v="0"/>
    <n v="2002"/>
    <x v="3"/>
    <x v="2"/>
    <x v="2"/>
    <x v="1"/>
    <n v="339416"/>
    <x v="2"/>
  </r>
  <r>
    <n v="1325"/>
    <n v="4053"/>
    <x v="1"/>
    <n v="2"/>
    <n v="3"/>
    <x v="2"/>
    <n v="1970"/>
    <x v="0"/>
    <x v="1"/>
    <x v="0"/>
    <x v="0"/>
    <n v="353294"/>
    <x v="2"/>
  </r>
  <r>
    <n v="1326"/>
    <n v="1953"/>
    <x v="0"/>
    <n v="5"/>
    <n v="1"/>
    <x v="2"/>
    <n v="1937"/>
    <x v="1"/>
    <x v="1"/>
    <x v="3"/>
    <x v="0"/>
    <n v="801564"/>
    <x v="3"/>
  </r>
  <r>
    <n v="1327"/>
    <n v="3856"/>
    <x v="2"/>
    <n v="4"/>
    <n v="3"/>
    <x v="0"/>
    <n v="1995"/>
    <x v="2"/>
    <x v="2"/>
    <x v="3"/>
    <x v="1"/>
    <n v="198388"/>
    <x v="0"/>
  </r>
  <r>
    <n v="1328"/>
    <n v="1015"/>
    <x v="0"/>
    <n v="4"/>
    <n v="3"/>
    <x v="2"/>
    <n v="1966"/>
    <x v="0"/>
    <x v="0"/>
    <x v="2"/>
    <x v="0"/>
    <n v="496605"/>
    <x v="1"/>
  </r>
  <r>
    <n v="1329"/>
    <n v="538"/>
    <x v="3"/>
    <n v="2"/>
    <n v="4"/>
    <x v="1"/>
    <n v="1961"/>
    <x v="0"/>
    <x v="0"/>
    <x v="0"/>
    <x v="1"/>
    <n v="712600"/>
    <x v="3"/>
  </r>
  <r>
    <n v="1330"/>
    <n v="3842"/>
    <x v="2"/>
    <n v="3"/>
    <n v="1"/>
    <x v="2"/>
    <n v="2008"/>
    <x v="3"/>
    <x v="1"/>
    <x v="0"/>
    <x v="0"/>
    <n v="933527"/>
    <x v="3"/>
  </r>
  <r>
    <n v="1331"/>
    <n v="1386"/>
    <x v="0"/>
    <n v="3"/>
    <n v="3"/>
    <x v="2"/>
    <n v="1938"/>
    <x v="1"/>
    <x v="0"/>
    <x v="1"/>
    <x v="1"/>
    <n v="380918"/>
    <x v="2"/>
  </r>
  <r>
    <n v="1332"/>
    <n v="3344"/>
    <x v="2"/>
    <n v="1"/>
    <n v="3"/>
    <x v="0"/>
    <n v="1936"/>
    <x v="1"/>
    <x v="2"/>
    <x v="1"/>
    <x v="1"/>
    <n v="879607"/>
    <x v="3"/>
  </r>
  <r>
    <n v="1333"/>
    <n v="2704"/>
    <x v="2"/>
    <n v="1"/>
    <n v="1"/>
    <x v="1"/>
    <n v="2018"/>
    <x v="3"/>
    <x v="3"/>
    <x v="2"/>
    <x v="1"/>
    <n v="443781"/>
    <x v="1"/>
  </r>
  <r>
    <n v="1334"/>
    <n v="1598"/>
    <x v="0"/>
    <n v="5"/>
    <n v="4"/>
    <x v="2"/>
    <n v="2013"/>
    <x v="3"/>
    <x v="2"/>
    <x v="0"/>
    <x v="0"/>
    <n v="66375"/>
    <x v="0"/>
  </r>
  <r>
    <n v="1335"/>
    <n v="2323"/>
    <x v="0"/>
    <n v="2"/>
    <n v="3"/>
    <x v="1"/>
    <n v="1985"/>
    <x v="2"/>
    <x v="1"/>
    <x v="0"/>
    <x v="1"/>
    <n v="599998"/>
    <x v="1"/>
  </r>
  <r>
    <n v="1336"/>
    <n v="3701"/>
    <x v="2"/>
    <n v="1"/>
    <n v="2"/>
    <x v="1"/>
    <n v="1907"/>
    <x v="1"/>
    <x v="1"/>
    <x v="1"/>
    <x v="1"/>
    <n v="755255"/>
    <x v="3"/>
  </r>
  <r>
    <n v="1337"/>
    <n v="3655"/>
    <x v="2"/>
    <n v="1"/>
    <n v="3"/>
    <x v="1"/>
    <n v="1980"/>
    <x v="2"/>
    <x v="1"/>
    <x v="1"/>
    <x v="1"/>
    <n v="828912"/>
    <x v="3"/>
  </r>
  <r>
    <n v="1338"/>
    <n v="3593"/>
    <x v="2"/>
    <n v="2"/>
    <n v="2"/>
    <x v="0"/>
    <n v="1951"/>
    <x v="0"/>
    <x v="0"/>
    <x v="2"/>
    <x v="0"/>
    <n v="720534"/>
    <x v="3"/>
  </r>
  <r>
    <n v="1339"/>
    <n v="4030"/>
    <x v="1"/>
    <n v="5"/>
    <n v="4"/>
    <x v="2"/>
    <n v="1990"/>
    <x v="2"/>
    <x v="2"/>
    <x v="0"/>
    <x v="1"/>
    <n v="419170"/>
    <x v="1"/>
  </r>
  <r>
    <n v="1340"/>
    <n v="4278"/>
    <x v="1"/>
    <n v="1"/>
    <n v="3"/>
    <x v="0"/>
    <n v="1932"/>
    <x v="1"/>
    <x v="3"/>
    <x v="3"/>
    <x v="0"/>
    <n v="530545"/>
    <x v="1"/>
  </r>
  <r>
    <n v="1341"/>
    <n v="3396"/>
    <x v="2"/>
    <n v="5"/>
    <n v="1"/>
    <x v="2"/>
    <n v="2009"/>
    <x v="3"/>
    <x v="2"/>
    <x v="1"/>
    <x v="0"/>
    <n v="77597"/>
    <x v="0"/>
  </r>
  <r>
    <n v="1342"/>
    <n v="3953"/>
    <x v="2"/>
    <n v="4"/>
    <n v="1"/>
    <x v="2"/>
    <n v="1980"/>
    <x v="2"/>
    <x v="3"/>
    <x v="2"/>
    <x v="0"/>
    <n v="386433"/>
    <x v="2"/>
  </r>
  <r>
    <n v="1343"/>
    <n v="4011"/>
    <x v="1"/>
    <n v="5"/>
    <n v="3"/>
    <x v="0"/>
    <n v="1941"/>
    <x v="1"/>
    <x v="2"/>
    <x v="0"/>
    <x v="1"/>
    <n v="481613"/>
    <x v="1"/>
  </r>
  <r>
    <n v="1344"/>
    <n v="1488"/>
    <x v="0"/>
    <n v="3"/>
    <n v="4"/>
    <x v="1"/>
    <n v="1975"/>
    <x v="0"/>
    <x v="1"/>
    <x v="0"/>
    <x v="1"/>
    <n v="135687"/>
    <x v="0"/>
  </r>
  <r>
    <n v="1345"/>
    <n v="4616"/>
    <x v="1"/>
    <n v="3"/>
    <n v="4"/>
    <x v="1"/>
    <n v="2011"/>
    <x v="3"/>
    <x v="3"/>
    <x v="1"/>
    <x v="0"/>
    <n v="168968"/>
    <x v="0"/>
  </r>
  <r>
    <n v="1346"/>
    <n v="4526"/>
    <x v="1"/>
    <n v="5"/>
    <n v="1"/>
    <x v="2"/>
    <n v="2009"/>
    <x v="3"/>
    <x v="2"/>
    <x v="2"/>
    <x v="1"/>
    <n v="614562"/>
    <x v="3"/>
  </r>
  <r>
    <n v="1347"/>
    <n v="4679"/>
    <x v="1"/>
    <n v="3"/>
    <n v="3"/>
    <x v="0"/>
    <n v="1926"/>
    <x v="1"/>
    <x v="0"/>
    <x v="3"/>
    <x v="1"/>
    <n v="517453"/>
    <x v="1"/>
  </r>
  <r>
    <n v="1348"/>
    <n v="2182"/>
    <x v="0"/>
    <n v="4"/>
    <n v="4"/>
    <x v="1"/>
    <n v="2011"/>
    <x v="3"/>
    <x v="0"/>
    <x v="1"/>
    <x v="0"/>
    <n v="253570"/>
    <x v="2"/>
  </r>
  <r>
    <n v="1349"/>
    <n v="4463"/>
    <x v="1"/>
    <n v="2"/>
    <n v="1"/>
    <x v="1"/>
    <n v="1907"/>
    <x v="1"/>
    <x v="2"/>
    <x v="2"/>
    <x v="0"/>
    <n v="481413"/>
    <x v="1"/>
  </r>
  <r>
    <n v="1350"/>
    <n v="1433"/>
    <x v="0"/>
    <n v="3"/>
    <n v="2"/>
    <x v="2"/>
    <n v="1922"/>
    <x v="1"/>
    <x v="1"/>
    <x v="0"/>
    <x v="1"/>
    <n v="622922"/>
    <x v="3"/>
  </r>
  <r>
    <n v="1351"/>
    <n v="4098"/>
    <x v="1"/>
    <n v="3"/>
    <n v="3"/>
    <x v="2"/>
    <n v="2023"/>
    <x v="3"/>
    <x v="3"/>
    <x v="3"/>
    <x v="0"/>
    <n v="866473"/>
    <x v="3"/>
  </r>
  <r>
    <n v="1352"/>
    <n v="3733"/>
    <x v="2"/>
    <n v="5"/>
    <n v="2"/>
    <x v="0"/>
    <n v="2005"/>
    <x v="3"/>
    <x v="2"/>
    <x v="2"/>
    <x v="1"/>
    <n v="974752"/>
    <x v="3"/>
  </r>
  <r>
    <n v="1353"/>
    <n v="2480"/>
    <x v="0"/>
    <n v="4"/>
    <n v="2"/>
    <x v="2"/>
    <n v="2012"/>
    <x v="3"/>
    <x v="0"/>
    <x v="3"/>
    <x v="0"/>
    <n v="397509"/>
    <x v="2"/>
  </r>
  <r>
    <n v="1354"/>
    <n v="2355"/>
    <x v="0"/>
    <n v="2"/>
    <n v="4"/>
    <x v="1"/>
    <n v="1963"/>
    <x v="0"/>
    <x v="3"/>
    <x v="2"/>
    <x v="1"/>
    <n v="969707"/>
    <x v="3"/>
  </r>
  <r>
    <n v="1355"/>
    <n v="3556"/>
    <x v="2"/>
    <n v="5"/>
    <n v="4"/>
    <x v="1"/>
    <n v="2022"/>
    <x v="3"/>
    <x v="0"/>
    <x v="2"/>
    <x v="1"/>
    <n v="888418"/>
    <x v="3"/>
  </r>
  <r>
    <n v="1356"/>
    <n v="1292"/>
    <x v="0"/>
    <n v="5"/>
    <n v="4"/>
    <x v="1"/>
    <n v="1992"/>
    <x v="2"/>
    <x v="0"/>
    <x v="2"/>
    <x v="0"/>
    <n v="861802"/>
    <x v="3"/>
  </r>
  <r>
    <n v="1357"/>
    <n v="1291"/>
    <x v="0"/>
    <n v="4"/>
    <n v="3"/>
    <x v="1"/>
    <n v="2013"/>
    <x v="3"/>
    <x v="2"/>
    <x v="2"/>
    <x v="1"/>
    <n v="347391"/>
    <x v="2"/>
  </r>
  <r>
    <n v="1358"/>
    <n v="2309"/>
    <x v="0"/>
    <n v="2"/>
    <n v="2"/>
    <x v="0"/>
    <n v="1919"/>
    <x v="1"/>
    <x v="0"/>
    <x v="3"/>
    <x v="1"/>
    <n v="960835"/>
    <x v="3"/>
  </r>
  <r>
    <n v="1359"/>
    <n v="2755"/>
    <x v="2"/>
    <n v="4"/>
    <n v="3"/>
    <x v="0"/>
    <n v="1915"/>
    <x v="1"/>
    <x v="3"/>
    <x v="1"/>
    <x v="0"/>
    <n v="431688"/>
    <x v="1"/>
  </r>
  <r>
    <n v="1360"/>
    <n v="4110"/>
    <x v="1"/>
    <n v="2"/>
    <n v="4"/>
    <x v="2"/>
    <n v="1916"/>
    <x v="1"/>
    <x v="1"/>
    <x v="3"/>
    <x v="1"/>
    <n v="256994"/>
    <x v="2"/>
  </r>
  <r>
    <n v="1361"/>
    <n v="2107"/>
    <x v="0"/>
    <n v="4"/>
    <n v="2"/>
    <x v="2"/>
    <n v="1979"/>
    <x v="2"/>
    <x v="2"/>
    <x v="2"/>
    <x v="1"/>
    <n v="830768"/>
    <x v="3"/>
  </r>
  <r>
    <n v="1362"/>
    <n v="1484"/>
    <x v="0"/>
    <n v="5"/>
    <n v="3"/>
    <x v="2"/>
    <n v="1918"/>
    <x v="1"/>
    <x v="3"/>
    <x v="3"/>
    <x v="1"/>
    <n v="443650"/>
    <x v="1"/>
  </r>
  <r>
    <n v="1363"/>
    <n v="4176"/>
    <x v="1"/>
    <n v="5"/>
    <n v="3"/>
    <x v="0"/>
    <n v="2019"/>
    <x v="3"/>
    <x v="2"/>
    <x v="3"/>
    <x v="0"/>
    <n v="637270"/>
    <x v="3"/>
  </r>
  <r>
    <n v="1364"/>
    <n v="3880"/>
    <x v="2"/>
    <n v="1"/>
    <n v="1"/>
    <x v="1"/>
    <n v="2019"/>
    <x v="3"/>
    <x v="0"/>
    <x v="3"/>
    <x v="0"/>
    <n v="901612"/>
    <x v="3"/>
  </r>
  <r>
    <n v="1365"/>
    <n v="1019"/>
    <x v="0"/>
    <n v="3"/>
    <n v="3"/>
    <x v="2"/>
    <n v="1907"/>
    <x v="1"/>
    <x v="0"/>
    <x v="2"/>
    <x v="0"/>
    <n v="682822"/>
    <x v="3"/>
  </r>
  <r>
    <n v="1366"/>
    <n v="1090"/>
    <x v="0"/>
    <n v="4"/>
    <n v="4"/>
    <x v="1"/>
    <n v="1937"/>
    <x v="1"/>
    <x v="3"/>
    <x v="3"/>
    <x v="0"/>
    <n v="739834"/>
    <x v="3"/>
  </r>
  <r>
    <n v="1367"/>
    <n v="1550"/>
    <x v="0"/>
    <n v="1"/>
    <n v="3"/>
    <x v="2"/>
    <n v="1937"/>
    <x v="1"/>
    <x v="3"/>
    <x v="0"/>
    <x v="0"/>
    <n v="336788"/>
    <x v="2"/>
  </r>
  <r>
    <n v="1368"/>
    <n v="4133"/>
    <x v="1"/>
    <n v="3"/>
    <n v="2"/>
    <x v="2"/>
    <n v="1952"/>
    <x v="0"/>
    <x v="1"/>
    <x v="2"/>
    <x v="1"/>
    <n v="612781"/>
    <x v="3"/>
  </r>
  <r>
    <n v="1369"/>
    <n v="4944"/>
    <x v="1"/>
    <n v="4"/>
    <n v="3"/>
    <x v="2"/>
    <n v="1992"/>
    <x v="2"/>
    <x v="3"/>
    <x v="3"/>
    <x v="1"/>
    <n v="395968"/>
    <x v="2"/>
  </r>
  <r>
    <n v="1370"/>
    <n v="1459"/>
    <x v="0"/>
    <n v="2"/>
    <n v="1"/>
    <x v="2"/>
    <n v="2004"/>
    <x v="3"/>
    <x v="3"/>
    <x v="0"/>
    <x v="1"/>
    <n v="564922"/>
    <x v="1"/>
  </r>
  <r>
    <n v="1371"/>
    <n v="1192"/>
    <x v="0"/>
    <n v="3"/>
    <n v="2"/>
    <x v="2"/>
    <n v="1999"/>
    <x v="2"/>
    <x v="2"/>
    <x v="3"/>
    <x v="0"/>
    <n v="971463"/>
    <x v="3"/>
  </r>
  <r>
    <n v="1372"/>
    <n v="4399"/>
    <x v="1"/>
    <n v="5"/>
    <n v="2"/>
    <x v="1"/>
    <n v="1989"/>
    <x v="2"/>
    <x v="0"/>
    <x v="1"/>
    <x v="1"/>
    <n v="883721"/>
    <x v="3"/>
  </r>
  <r>
    <n v="1373"/>
    <n v="4973"/>
    <x v="1"/>
    <n v="1"/>
    <n v="1"/>
    <x v="2"/>
    <n v="1930"/>
    <x v="1"/>
    <x v="3"/>
    <x v="3"/>
    <x v="0"/>
    <n v="978647"/>
    <x v="3"/>
  </r>
  <r>
    <n v="1374"/>
    <n v="3446"/>
    <x v="2"/>
    <n v="3"/>
    <n v="4"/>
    <x v="1"/>
    <n v="1943"/>
    <x v="1"/>
    <x v="1"/>
    <x v="3"/>
    <x v="1"/>
    <n v="482809"/>
    <x v="1"/>
  </r>
  <r>
    <n v="1375"/>
    <n v="1026"/>
    <x v="0"/>
    <n v="3"/>
    <n v="2"/>
    <x v="0"/>
    <n v="1959"/>
    <x v="0"/>
    <x v="3"/>
    <x v="1"/>
    <x v="0"/>
    <n v="482331"/>
    <x v="1"/>
  </r>
  <r>
    <n v="1376"/>
    <n v="3724"/>
    <x v="2"/>
    <n v="5"/>
    <n v="4"/>
    <x v="2"/>
    <n v="1975"/>
    <x v="0"/>
    <x v="0"/>
    <x v="2"/>
    <x v="1"/>
    <n v="816505"/>
    <x v="3"/>
  </r>
  <r>
    <n v="1377"/>
    <n v="2753"/>
    <x v="2"/>
    <n v="4"/>
    <n v="2"/>
    <x v="1"/>
    <n v="2018"/>
    <x v="3"/>
    <x v="3"/>
    <x v="1"/>
    <x v="1"/>
    <n v="727900"/>
    <x v="3"/>
  </r>
  <r>
    <n v="1378"/>
    <n v="3844"/>
    <x v="2"/>
    <n v="2"/>
    <n v="2"/>
    <x v="0"/>
    <n v="1916"/>
    <x v="1"/>
    <x v="2"/>
    <x v="2"/>
    <x v="0"/>
    <n v="347625"/>
    <x v="2"/>
  </r>
  <r>
    <n v="1379"/>
    <n v="4465"/>
    <x v="1"/>
    <n v="5"/>
    <n v="4"/>
    <x v="0"/>
    <n v="1978"/>
    <x v="2"/>
    <x v="0"/>
    <x v="1"/>
    <x v="1"/>
    <n v="276577"/>
    <x v="2"/>
  </r>
  <r>
    <n v="1380"/>
    <n v="2375"/>
    <x v="0"/>
    <n v="2"/>
    <n v="2"/>
    <x v="0"/>
    <n v="1972"/>
    <x v="0"/>
    <x v="3"/>
    <x v="3"/>
    <x v="1"/>
    <n v="651385"/>
    <x v="3"/>
  </r>
  <r>
    <n v="1381"/>
    <n v="2263"/>
    <x v="0"/>
    <n v="4"/>
    <n v="4"/>
    <x v="1"/>
    <n v="1938"/>
    <x v="1"/>
    <x v="2"/>
    <x v="3"/>
    <x v="0"/>
    <n v="859010"/>
    <x v="3"/>
  </r>
  <r>
    <n v="1382"/>
    <n v="1020"/>
    <x v="0"/>
    <n v="3"/>
    <n v="1"/>
    <x v="2"/>
    <n v="1941"/>
    <x v="1"/>
    <x v="0"/>
    <x v="2"/>
    <x v="1"/>
    <n v="980291"/>
    <x v="3"/>
  </r>
  <r>
    <n v="1383"/>
    <n v="1516"/>
    <x v="0"/>
    <n v="2"/>
    <n v="4"/>
    <x v="2"/>
    <n v="1947"/>
    <x v="1"/>
    <x v="3"/>
    <x v="2"/>
    <x v="1"/>
    <n v="384192"/>
    <x v="2"/>
  </r>
  <r>
    <n v="1384"/>
    <n v="616"/>
    <x v="3"/>
    <n v="1"/>
    <n v="1"/>
    <x v="1"/>
    <n v="1911"/>
    <x v="1"/>
    <x v="2"/>
    <x v="0"/>
    <x v="0"/>
    <n v="564771"/>
    <x v="1"/>
  </r>
  <r>
    <n v="1385"/>
    <n v="2933"/>
    <x v="2"/>
    <n v="1"/>
    <n v="2"/>
    <x v="2"/>
    <n v="1995"/>
    <x v="2"/>
    <x v="1"/>
    <x v="0"/>
    <x v="0"/>
    <n v="233951"/>
    <x v="2"/>
  </r>
  <r>
    <n v="1386"/>
    <n v="1083"/>
    <x v="0"/>
    <n v="5"/>
    <n v="4"/>
    <x v="1"/>
    <n v="1988"/>
    <x v="2"/>
    <x v="2"/>
    <x v="3"/>
    <x v="0"/>
    <n v="191668"/>
    <x v="0"/>
  </r>
  <r>
    <n v="1387"/>
    <n v="894"/>
    <x v="3"/>
    <n v="4"/>
    <n v="2"/>
    <x v="2"/>
    <n v="2002"/>
    <x v="3"/>
    <x v="1"/>
    <x v="3"/>
    <x v="0"/>
    <n v="503885"/>
    <x v="1"/>
  </r>
  <r>
    <n v="1388"/>
    <n v="4288"/>
    <x v="1"/>
    <n v="5"/>
    <n v="4"/>
    <x v="0"/>
    <n v="1917"/>
    <x v="1"/>
    <x v="3"/>
    <x v="0"/>
    <x v="0"/>
    <n v="463146"/>
    <x v="1"/>
  </r>
  <r>
    <n v="1389"/>
    <n v="3268"/>
    <x v="2"/>
    <n v="5"/>
    <n v="1"/>
    <x v="2"/>
    <n v="1978"/>
    <x v="2"/>
    <x v="2"/>
    <x v="0"/>
    <x v="1"/>
    <n v="229022"/>
    <x v="2"/>
  </r>
  <r>
    <n v="1390"/>
    <n v="4667"/>
    <x v="1"/>
    <n v="5"/>
    <n v="1"/>
    <x v="1"/>
    <n v="1995"/>
    <x v="2"/>
    <x v="1"/>
    <x v="2"/>
    <x v="0"/>
    <n v="932169"/>
    <x v="3"/>
  </r>
  <r>
    <n v="1391"/>
    <n v="4360"/>
    <x v="1"/>
    <n v="1"/>
    <n v="4"/>
    <x v="1"/>
    <n v="1905"/>
    <x v="1"/>
    <x v="0"/>
    <x v="1"/>
    <x v="0"/>
    <n v="330831"/>
    <x v="2"/>
  </r>
  <r>
    <n v="1392"/>
    <n v="773"/>
    <x v="3"/>
    <n v="1"/>
    <n v="1"/>
    <x v="0"/>
    <n v="2021"/>
    <x v="3"/>
    <x v="2"/>
    <x v="2"/>
    <x v="1"/>
    <n v="496049"/>
    <x v="1"/>
  </r>
  <r>
    <n v="1393"/>
    <n v="2513"/>
    <x v="2"/>
    <n v="5"/>
    <n v="2"/>
    <x v="1"/>
    <n v="2007"/>
    <x v="3"/>
    <x v="3"/>
    <x v="0"/>
    <x v="1"/>
    <n v="172540"/>
    <x v="0"/>
  </r>
  <r>
    <n v="1394"/>
    <n v="4933"/>
    <x v="1"/>
    <n v="1"/>
    <n v="2"/>
    <x v="2"/>
    <n v="1942"/>
    <x v="1"/>
    <x v="0"/>
    <x v="3"/>
    <x v="1"/>
    <n v="741349"/>
    <x v="3"/>
  </r>
  <r>
    <n v="1395"/>
    <n v="1889"/>
    <x v="0"/>
    <n v="4"/>
    <n v="3"/>
    <x v="2"/>
    <n v="2015"/>
    <x v="3"/>
    <x v="1"/>
    <x v="0"/>
    <x v="1"/>
    <n v="866615"/>
    <x v="3"/>
  </r>
  <r>
    <n v="1396"/>
    <n v="4066"/>
    <x v="1"/>
    <n v="5"/>
    <n v="1"/>
    <x v="0"/>
    <n v="1934"/>
    <x v="1"/>
    <x v="2"/>
    <x v="3"/>
    <x v="1"/>
    <n v="332902"/>
    <x v="2"/>
  </r>
  <r>
    <n v="1397"/>
    <n v="665"/>
    <x v="3"/>
    <n v="1"/>
    <n v="2"/>
    <x v="1"/>
    <n v="1997"/>
    <x v="2"/>
    <x v="2"/>
    <x v="3"/>
    <x v="0"/>
    <n v="706442"/>
    <x v="3"/>
  </r>
  <r>
    <n v="1398"/>
    <n v="2067"/>
    <x v="0"/>
    <n v="2"/>
    <n v="4"/>
    <x v="0"/>
    <n v="2001"/>
    <x v="3"/>
    <x v="3"/>
    <x v="3"/>
    <x v="1"/>
    <n v="812301"/>
    <x v="3"/>
  </r>
  <r>
    <n v="1399"/>
    <n v="1228"/>
    <x v="0"/>
    <n v="5"/>
    <n v="1"/>
    <x v="2"/>
    <n v="2019"/>
    <x v="3"/>
    <x v="0"/>
    <x v="3"/>
    <x v="0"/>
    <n v="670656"/>
    <x v="3"/>
  </r>
  <r>
    <n v="1400"/>
    <n v="2543"/>
    <x v="2"/>
    <n v="5"/>
    <n v="2"/>
    <x v="0"/>
    <n v="1953"/>
    <x v="0"/>
    <x v="2"/>
    <x v="1"/>
    <x v="1"/>
    <n v="620179"/>
    <x v="3"/>
  </r>
  <r>
    <n v="1401"/>
    <n v="4697"/>
    <x v="1"/>
    <n v="4"/>
    <n v="1"/>
    <x v="1"/>
    <n v="2020"/>
    <x v="3"/>
    <x v="2"/>
    <x v="0"/>
    <x v="0"/>
    <n v="96901"/>
    <x v="0"/>
  </r>
  <r>
    <n v="1402"/>
    <n v="3996"/>
    <x v="2"/>
    <n v="3"/>
    <n v="4"/>
    <x v="0"/>
    <n v="1961"/>
    <x v="0"/>
    <x v="0"/>
    <x v="2"/>
    <x v="1"/>
    <n v="526728"/>
    <x v="1"/>
  </r>
  <r>
    <n v="1403"/>
    <n v="1278"/>
    <x v="0"/>
    <n v="3"/>
    <n v="2"/>
    <x v="1"/>
    <n v="1968"/>
    <x v="0"/>
    <x v="2"/>
    <x v="3"/>
    <x v="0"/>
    <n v="416056"/>
    <x v="1"/>
  </r>
  <r>
    <n v="1404"/>
    <n v="713"/>
    <x v="3"/>
    <n v="4"/>
    <n v="3"/>
    <x v="1"/>
    <n v="1981"/>
    <x v="2"/>
    <x v="0"/>
    <x v="3"/>
    <x v="0"/>
    <n v="645350"/>
    <x v="3"/>
  </r>
  <r>
    <n v="1405"/>
    <n v="4262"/>
    <x v="1"/>
    <n v="4"/>
    <n v="3"/>
    <x v="2"/>
    <n v="1915"/>
    <x v="1"/>
    <x v="0"/>
    <x v="2"/>
    <x v="0"/>
    <n v="539838"/>
    <x v="1"/>
  </r>
  <r>
    <n v="1406"/>
    <n v="2076"/>
    <x v="0"/>
    <n v="4"/>
    <n v="1"/>
    <x v="2"/>
    <n v="1907"/>
    <x v="1"/>
    <x v="0"/>
    <x v="2"/>
    <x v="0"/>
    <n v="726923"/>
    <x v="3"/>
  </r>
  <r>
    <n v="1407"/>
    <n v="2948"/>
    <x v="2"/>
    <n v="3"/>
    <n v="4"/>
    <x v="2"/>
    <n v="1988"/>
    <x v="2"/>
    <x v="3"/>
    <x v="3"/>
    <x v="0"/>
    <n v="908440"/>
    <x v="3"/>
  </r>
  <r>
    <n v="1408"/>
    <n v="3436"/>
    <x v="2"/>
    <n v="4"/>
    <n v="2"/>
    <x v="1"/>
    <n v="1995"/>
    <x v="2"/>
    <x v="0"/>
    <x v="2"/>
    <x v="0"/>
    <n v="445991"/>
    <x v="1"/>
  </r>
  <r>
    <n v="1409"/>
    <n v="3617"/>
    <x v="2"/>
    <n v="1"/>
    <n v="4"/>
    <x v="0"/>
    <n v="1989"/>
    <x v="2"/>
    <x v="0"/>
    <x v="2"/>
    <x v="0"/>
    <n v="983332"/>
    <x v="3"/>
  </r>
  <r>
    <n v="1410"/>
    <n v="1091"/>
    <x v="0"/>
    <n v="5"/>
    <n v="2"/>
    <x v="1"/>
    <n v="2015"/>
    <x v="3"/>
    <x v="1"/>
    <x v="1"/>
    <x v="0"/>
    <n v="553528"/>
    <x v="1"/>
  </r>
  <r>
    <n v="1411"/>
    <n v="3220"/>
    <x v="2"/>
    <n v="5"/>
    <n v="1"/>
    <x v="2"/>
    <n v="1985"/>
    <x v="2"/>
    <x v="1"/>
    <x v="2"/>
    <x v="0"/>
    <n v="569149"/>
    <x v="1"/>
  </r>
  <r>
    <n v="1412"/>
    <n v="1213"/>
    <x v="0"/>
    <n v="2"/>
    <n v="2"/>
    <x v="2"/>
    <n v="1930"/>
    <x v="1"/>
    <x v="3"/>
    <x v="0"/>
    <x v="0"/>
    <n v="854406"/>
    <x v="3"/>
  </r>
  <r>
    <n v="1413"/>
    <n v="1435"/>
    <x v="0"/>
    <n v="2"/>
    <n v="4"/>
    <x v="0"/>
    <n v="2006"/>
    <x v="3"/>
    <x v="0"/>
    <x v="0"/>
    <x v="1"/>
    <n v="727748"/>
    <x v="3"/>
  </r>
  <r>
    <n v="1414"/>
    <n v="4837"/>
    <x v="1"/>
    <n v="5"/>
    <n v="4"/>
    <x v="2"/>
    <n v="1909"/>
    <x v="1"/>
    <x v="1"/>
    <x v="0"/>
    <x v="0"/>
    <n v="654879"/>
    <x v="3"/>
  </r>
  <r>
    <n v="1415"/>
    <n v="501"/>
    <x v="3"/>
    <n v="1"/>
    <n v="1"/>
    <x v="2"/>
    <n v="1955"/>
    <x v="0"/>
    <x v="1"/>
    <x v="3"/>
    <x v="0"/>
    <n v="302990"/>
    <x v="2"/>
  </r>
  <r>
    <n v="1416"/>
    <n v="3348"/>
    <x v="2"/>
    <n v="3"/>
    <n v="4"/>
    <x v="2"/>
    <n v="2020"/>
    <x v="3"/>
    <x v="2"/>
    <x v="0"/>
    <x v="1"/>
    <n v="330759"/>
    <x v="2"/>
  </r>
  <r>
    <n v="1417"/>
    <n v="4544"/>
    <x v="1"/>
    <n v="3"/>
    <n v="2"/>
    <x v="0"/>
    <n v="1975"/>
    <x v="0"/>
    <x v="0"/>
    <x v="1"/>
    <x v="0"/>
    <n v="72838"/>
    <x v="0"/>
  </r>
  <r>
    <n v="1418"/>
    <n v="2449"/>
    <x v="0"/>
    <n v="1"/>
    <n v="1"/>
    <x v="1"/>
    <n v="2016"/>
    <x v="3"/>
    <x v="1"/>
    <x v="0"/>
    <x v="0"/>
    <n v="352872"/>
    <x v="2"/>
  </r>
  <r>
    <n v="1419"/>
    <n v="1417"/>
    <x v="0"/>
    <n v="3"/>
    <n v="2"/>
    <x v="2"/>
    <n v="1991"/>
    <x v="2"/>
    <x v="3"/>
    <x v="3"/>
    <x v="1"/>
    <n v="690537"/>
    <x v="3"/>
  </r>
  <r>
    <n v="1420"/>
    <n v="3674"/>
    <x v="2"/>
    <n v="4"/>
    <n v="4"/>
    <x v="0"/>
    <n v="1969"/>
    <x v="0"/>
    <x v="2"/>
    <x v="1"/>
    <x v="1"/>
    <n v="652288"/>
    <x v="3"/>
  </r>
  <r>
    <n v="1421"/>
    <n v="2741"/>
    <x v="2"/>
    <n v="5"/>
    <n v="1"/>
    <x v="2"/>
    <n v="2022"/>
    <x v="3"/>
    <x v="2"/>
    <x v="0"/>
    <x v="0"/>
    <n v="364942"/>
    <x v="2"/>
  </r>
  <r>
    <n v="1422"/>
    <n v="589"/>
    <x v="3"/>
    <n v="5"/>
    <n v="2"/>
    <x v="0"/>
    <n v="1919"/>
    <x v="1"/>
    <x v="0"/>
    <x v="1"/>
    <x v="1"/>
    <n v="515992"/>
    <x v="1"/>
  </r>
  <r>
    <n v="1423"/>
    <n v="2209"/>
    <x v="0"/>
    <n v="1"/>
    <n v="4"/>
    <x v="2"/>
    <n v="1904"/>
    <x v="1"/>
    <x v="0"/>
    <x v="1"/>
    <x v="0"/>
    <n v="987126"/>
    <x v="3"/>
  </r>
  <r>
    <n v="1424"/>
    <n v="2669"/>
    <x v="2"/>
    <n v="3"/>
    <n v="4"/>
    <x v="0"/>
    <n v="1922"/>
    <x v="1"/>
    <x v="2"/>
    <x v="3"/>
    <x v="0"/>
    <n v="194608"/>
    <x v="0"/>
  </r>
  <r>
    <n v="1425"/>
    <n v="4738"/>
    <x v="1"/>
    <n v="2"/>
    <n v="3"/>
    <x v="2"/>
    <n v="1908"/>
    <x v="1"/>
    <x v="3"/>
    <x v="3"/>
    <x v="0"/>
    <n v="186772"/>
    <x v="0"/>
  </r>
  <r>
    <n v="1426"/>
    <n v="3541"/>
    <x v="2"/>
    <n v="2"/>
    <n v="4"/>
    <x v="1"/>
    <n v="1957"/>
    <x v="0"/>
    <x v="0"/>
    <x v="1"/>
    <x v="1"/>
    <n v="744199"/>
    <x v="3"/>
  </r>
  <r>
    <n v="1427"/>
    <n v="605"/>
    <x v="3"/>
    <n v="3"/>
    <n v="2"/>
    <x v="2"/>
    <n v="1958"/>
    <x v="0"/>
    <x v="0"/>
    <x v="0"/>
    <x v="0"/>
    <n v="846680"/>
    <x v="3"/>
  </r>
  <r>
    <n v="1428"/>
    <n v="1386"/>
    <x v="0"/>
    <n v="2"/>
    <n v="1"/>
    <x v="0"/>
    <n v="1992"/>
    <x v="2"/>
    <x v="2"/>
    <x v="3"/>
    <x v="0"/>
    <n v="95291"/>
    <x v="0"/>
  </r>
  <r>
    <n v="1429"/>
    <n v="927"/>
    <x v="3"/>
    <n v="1"/>
    <n v="3"/>
    <x v="2"/>
    <n v="1979"/>
    <x v="2"/>
    <x v="2"/>
    <x v="1"/>
    <x v="1"/>
    <n v="919061"/>
    <x v="3"/>
  </r>
  <r>
    <n v="1430"/>
    <n v="2395"/>
    <x v="0"/>
    <n v="1"/>
    <n v="4"/>
    <x v="1"/>
    <n v="1953"/>
    <x v="0"/>
    <x v="0"/>
    <x v="2"/>
    <x v="0"/>
    <n v="265963"/>
    <x v="2"/>
  </r>
  <r>
    <n v="1431"/>
    <n v="816"/>
    <x v="3"/>
    <n v="3"/>
    <n v="4"/>
    <x v="2"/>
    <n v="1945"/>
    <x v="1"/>
    <x v="1"/>
    <x v="2"/>
    <x v="0"/>
    <n v="175612"/>
    <x v="0"/>
  </r>
  <r>
    <n v="1432"/>
    <n v="1134"/>
    <x v="0"/>
    <n v="2"/>
    <n v="4"/>
    <x v="0"/>
    <n v="1921"/>
    <x v="1"/>
    <x v="0"/>
    <x v="3"/>
    <x v="0"/>
    <n v="591465"/>
    <x v="1"/>
  </r>
  <r>
    <n v="1433"/>
    <n v="2425"/>
    <x v="0"/>
    <n v="1"/>
    <n v="2"/>
    <x v="0"/>
    <n v="1963"/>
    <x v="0"/>
    <x v="1"/>
    <x v="0"/>
    <x v="0"/>
    <n v="462699"/>
    <x v="1"/>
  </r>
  <r>
    <n v="1434"/>
    <n v="2556"/>
    <x v="2"/>
    <n v="1"/>
    <n v="3"/>
    <x v="1"/>
    <n v="1907"/>
    <x v="1"/>
    <x v="2"/>
    <x v="2"/>
    <x v="0"/>
    <n v="93815"/>
    <x v="0"/>
  </r>
  <r>
    <n v="1435"/>
    <n v="3644"/>
    <x v="2"/>
    <n v="4"/>
    <n v="2"/>
    <x v="0"/>
    <n v="2022"/>
    <x v="3"/>
    <x v="1"/>
    <x v="2"/>
    <x v="0"/>
    <n v="874965"/>
    <x v="3"/>
  </r>
  <r>
    <n v="1436"/>
    <n v="2770"/>
    <x v="2"/>
    <n v="4"/>
    <n v="3"/>
    <x v="2"/>
    <n v="1919"/>
    <x v="1"/>
    <x v="3"/>
    <x v="2"/>
    <x v="1"/>
    <n v="836458"/>
    <x v="3"/>
  </r>
  <r>
    <n v="1437"/>
    <n v="1939"/>
    <x v="0"/>
    <n v="1"/>
    <n v="1"/>
    <x v="2"/>
    <n v="1950"/>
    <x v="1"/>
    <x v="2"/>
    <x v="0"/>
    <x v="0"/>
    <n v="154997"/>
    <x v="0"/>
  </r>
  <r>
    <n v="1438"/>
    <n v="1052"/>
    <x v="0"/>
    <n v="3"/>
    <n v="2"/>
    <x v="2"/>
    <n v="1977"/>
    <x v="2"/>
    <x v="0"/>
    <x v="0"/>
    <x v="0"/>
    <n v="110611"/>
    <x v="0"/>
  </r>
  <r>
    <n v="1439"/>
    <n v="1215"/>
    <x v="0"/>
    <n v="5"/>
    <n v="2"/>
    <x v="0"/>
    <n v="1938"/>
    <x v="1"/>
    <x v="0"/>
    <x v="3"/>
    <x v="1"/>
    <n v="661530"/>
    <x v="3"/>
  </r>
  <r>
    <n v="1440"/>
    <n v="4411"/>
    <x v="1"/>
    <n v="5"/>
    <n v="1"/>
    <x v="2"/>
    <n v="1936"/>
    <x v="1"/>
    <x v="2"/>
    <x v="3"/>
    <x v="0"/>
    <n v="467876"/>
    <x v="1"/>
  </r>
  <r>
    <n v="1441"/>
    <n v="2213"/>
    <x v="0"/>
    <n v="1"/>
    <n v="3"/>
    <x v="2"/>
    <n v="1949"/>
    <x v="1"/>
    <x v="2"/>
    <x v="2"/>
    <x v="0"/>
    <n v="760463"/>
    <x v="3"/>
  </r>
  <r>
    <n v="1442"/>
    <n v="3889"/>
    <x v="2"/>
    <n v="1"/>
    <n v="4"/>
    <x v="2"/>
    <n v="1933"/>
    <x v="1"/>
    <x v="3"/>
    <x v="0"/>
    <x v="1"/>
    <n v="417057"/>
    <x v="1"/>
  </r>
  <r>
    <n v="1443"/>
    <n v="1607"/>
    <x v="0"/>
    <n v="1"/>
    <n v="1"/>
    <x v="1"/>
    <n v="1974"/>
    <x v="0"/>
    <x v="2"/>
    <x v="1"/>
    <x v="1"/>
    <n v="92082"/>
    <x v="0"/>
  </r>
  <r>
    <n v="1444"/>
    <n v="4706"/>
    <x v="1"/>
    <n v="3"/>
    <n v="4"/>
    <x v="0"/>
    <n v="2017"/>
    <x v="3"/>
    <x v="0"/>
    <x v="2"/>
    <x v="1"/>
    <n v="197330"/>
    <x v="0"/>
  </r>
  <r>
    <n v="1445"/>
    <n v="750"/>
    <x v="3"/>
    <n v="4"/>
    <n v="4"/>
    <x v="0"/>
    <n v="2003"/>
    <x v="3"/>
    <x v="3"/>
    <x v="3"/>
    <x v="1"/>
    <n v="677901"/>
    <x v="3"/>
  </r>
  <r>
    <n v="1446"/>
    <n v="2930"/>
    <x v="2"/>
    <n v="1"/>
    <n v="1"/>
    <x v="0"/>
    <n v="1932"/>
    <x v="1"/>
    <x v="0"/>
    <x v="0"/>
    <x v="1"/>
    <n v="934747"/>
    <x v="3"/>
  </r>
  <r>
    <n v="1447"/>
    <n v="2554"/>
    <x v="2"/>
    <n v="1"/>
    <n v="3"/>
    <x v="1"/>
    <n v="1930"/>
    <x v="1"/>
    <x v="1"/>
    <x v="3"/>
    <x v="1"/>
    <n v="926122"/>
    <x v="3"/>
  </r>
  <r>
    <n v="1448"/>
    <n v="958"/>
    <x v="3"/>
    <n v="2"/>
    <n v="4"/>
    <x v="0"/>
    <n v="2022"/>
    <x v="3"/>
    <x v="2"/>
    <x v="3"/>
    <x v="1"/>
    <n v="145220"/>
    <x v="0"/>
  </r>
  <r>
    <n v="1449"/>
    <n v="707"/>
    <x v="3"/>
    <n v="3"/>
    <n v="1"/>
    <x v="1"/>
    <n v="1953"/>
    <x v="0"/>
    <x v="1"/>
    <x v="0"/>
    <x v="0"/>
    <n v="589677"/>
    <x v="1"/>
  </r>
  <r>
    <n v="1450"/>
    <n v="1399"/>
    <x v="0"/>
    <n v="1"/>
    <n v="2"/>
    <x v="1"/>
    <n v="1943"/>
    <x v="1"/>
    <x v="0"/>
    <x v="2"/>
    <x v="0"/>
    <n v="141860"/>
    <x v="0"/>
  </r>
  <r>
    <n v="1451"/>
    <n v="3961"/>
    <x v="2"/>
    <n v="2"/>
    <n v="2"/>
    <x v="0"/>
    <n v="1933"/>
    <x v="1"/>
    <x v="1"/>
    <x v="0"/>
    <x v="0"/>
    <n v="733045"/>
    <x v="3"/>
  </r>
  <r>
    <n v="1452"/>
    <n v="3885"/>
    <x v="2"/>
    <n v="5"/>
    <n v="2"/>
    <x v="2"/>
    <n v="2013"/>
    <x v="3"/>
    <x v="1"/>
    <x v="2"/>
    <x v="1"/>
    <n v="502436"/>
    <x v="1"/>
  </r>
  <r>
    <n v="1453"/>
    <n v="521"/>
    <x v="3"/>
    <n v="1"/>
    <n v="1"/>
    <x v="2"/>
    <n v="1970"/>
    <x v="0"/>
    <x v="0"/>
    <x v="3"/>
    <x v="0"/>
    <n v="994699"/>
    <x v="3"/>
  </r>
  <r>
    <n v="1454"/>
    <n v="909"/>
    <x v="3"/>
    <n v="1"/>
    <n v="2"/>
    <x v="0"/>
    <n v="2021"/>
    <x v="3"/>
    <x v="0"/>
    <x v="0"/>
    <x v="1"/>
    <n v="71797"/>
    <x v="0"/>
  </r>
  <r>
    <n v="1455"/>
    <n v="1394"/>
    <x v="0"/>
    <n v="2"/>
    <n v="4"/>
    <x v="0"/>
    <n v="2012"/>
    <x v="3"/>
    <x v="2"/>
    <x v="1"/>
    <x v="0"/>
    <n v="948407"/>
    <x v="3"/>
  </r>
  <r>
    <n v="1456"/>
    <n v="1014"/>
    <x v="0"/>
    <n v="3"/>
    <n v="2"/>
    <x v="1"/>
    <n v="2017"/>
    <x v="3"/>
    <x v="1"/>
    <x v="2"/>
    <x v="0"/>
    <n v="933601"/>
    <x v="3"/>
  </r>
  <r>
    <n v="1457"/>
    <n v="4609"/>
    <x v="1"/>
    <n v="1"/>
    <n v="2"/>
    <x v="0"/>
    <n v="1961"/>
    <x v="0"/>
    <x v="3"/>
    <x v="1"/>
    <x v="0"/>
    <n v="820227"/>
    <x v="3"/>
  </r>
  <r>
    <n v="1458"/>
    <n v="2634"/>
    <x v="2"/>
    <n v="5"/>
    <n v="4"/>
    <x v="1"/>
    <n v="1922"/>
    <x v="1"/>
    <x v="3"/>
    <x v="2"/>
    <x v="0"/>
    <n v="640620"/>
    <x v="3"/>
  </r>
  <r>
    <n v="1459"/>
    <n v="4095"/>
    <x v="1"/>
    <n v="1"/>
    <n v="2"/>
    <x v="0"/>
    <n v="1945"/>
    <x v="1"/>
    <x v="0"/>
    <x v="0"/>
    <x v="1"/>
    <n v="810943"/>
    <x v="3"/>
  </r>
  <r>
    <n v="1460"/>
    <n v="3456"/>
    <x v="2"/>
    <n v="5"/>
    <n v="4"/>
    <x v="2"/>
    <n v="1955"/>
    <x v="0"/>
    <x v="0"/>
    <x v="1"/>
    <x v="1"/>
    <n v="274997"/>
    <x v="2"/>
  </r>
  <r>
    <n v="1461"/>
    <n v="2060"/>
    <x v="0"/>
    <n v="4"/>
    <n v="2"/>
    <x v="2"/>
    <n v="1906"/>
    <x v="1"/>
    <x v="1"/>
    <x v="0"/>
    <x v="0"/>
    <n v="506123"/>
    <x v="1"/>
  </r>
  <r>
    <n v="1462"/>
    <n v="1766"/>
    <x v="0"/>
    <n v="4"/>
    <n v="4"/>
    <x v="0"/>
    <n v="2017"/>
    <x v="3"/>
    <x v="0"/>
    <x v="2"/>
    <x v="1"/>
    <n v="450404"/>
    <x v="1"/>
  </r>
  <r>
    <n v="1463"/>
    <n v="2669"/>
    <x v="2"/>
    <n v="5"/>
    <n v="2"/>
    <x v="1"/>
    <n v="1988"/>
    <x v="2"/>
    <x v="3"/>
    <x v="2"/>
    <x v="1"/>
    <n v="335840"/>
    <x v="2"/>
  </r>
  <r>
    <n v="1464"/>
    <n v="4138"/>
    <x v="1"/>
    <n v="3"/>
    <n v="4"/>
    <x v="2"/>
    <n v="1960"/>
    <x v="0"/>
    <x v="2"/>
    <x v="2"/>
    <x v="0"/>
    <n v="52024"/>
    <x v="0"/>
  </r>
  <r>
    <n v="1465"/>
    <n v="1249"/>
    <x v="0"/>
    <n v="1"/>
    <n v="1"/>
    <x v="1"/>
    <n v="1902"/>
    <x v="1"/>
    <x v="2"/>
    <x v="2"/>
    <x v="1"/>
    <n v="479201"/>
    <x v="1"/>
  </r>
  <r>
    <n v="1466"/>
    <n v="3927"/>
    <x v="2"/>
    <n v="1"/>
    <n v="4"/>
    <x v="0"/>
    <n v="2022"/>
    <x v="3"/>
    <x v="1"/>
    <x v="3"/>
    <x v="1"/>
    <n v="711944"/>
    <x v="3"/>
  </r>
  <r>
    <n v="1467"/>
    <n v="2427"/>
    <x v="0"/>
    <n v="4"/>
    <n v="2"/>
    <x v="0"/>
    <n v="1937"/>
    <x v="1"/>
    <x v="2"/>
    <x v="2"/>
    <x v="1"/>
    <n v="403142"/>
    <x v="1"/>
  </r>
  <r>
    <n v="1468"/>
    <n v="4304"/>
    <x v="1"/>
    <n v="5"/>
    <n v="2"/>
    <x v="2"/>
    <n v="1983"/>
    <x v="2"/>
    <x v="0"/>
    <x v="1"/>
    <x v="1"/>
    <n v="208116"/>
    <x v="2"/>
  </r>
  <r>
    <n v="1469"/>
    <n v="4202"/>
    <x v="1"/>
    <n v="1"/>
    <n v="3"/>
    <x v="0"/>
    <n v="1933"/>
    <x v="1"/>
    <x v="0"/>
    <x v="2"/>
    <x v="0"/>
    <n v="831627"/>
    <x v="3"/>
  </r>
  <r>
    <n v="1470"/>
    <n v="2856"/>
    <x v="2"/>
    <n v="1"/>
    <n v="4"/>
    <x v="2"/>
    <n v="2012"/>
    <x v="3"/>
    <x v="0"/>
    <x v="0"/>
    <x v="0"/>
    <n v="317429"/>
    <x v="2"/>
  </r>
  <r>
    <n v="1471"/>
    <n v="2835"/>
    <x v="2"/>
    <n v="3"/>
    <n v="1"/>
    <x v="1"/>
    <n v="1943"/>
    <x v="1"/>
    <x v="0"/>
    <x v="3"/>
    <x v="1"/>
    <n v="506331"/>
    <x v="1"/>
  </r>
  <r>
    <n v="1472"/>
    <n v="806"/>
    <x v="3"/>
    <n v="2"/>
    <n v="4"/>
    <x v="2"/>
    <n v="2007"/>
    <x v="3"/>
    <x v="1"/>
    <x v="1"/>
    <x v="0"/>
    <n v="843802"/>
    <x v="3"/>
  </r>
  <r>
    <n v="1473"/>
    <n v="4165"/>
    <x v="1"/>
    <n v="4"/>
    <n v="4"/>
    <x v="2"/>
    <n v="1929"/>
    <x v="1"/>
    <x v="2"/>
    <x v="3"/>
    <x v="0"/>
    <n v="67903"/>
    <x v="0"/>
  </r>
  <r>
    <n v="1474"/>
    <n v="2489"/>
    <x v="0"/>
    <n v="4"/>
    <n v="1"/>
    <x v="1"/>
    <n v="1916"/>
    <x v="1"/>
    <x v="3"/>
    <x v="3"/>
    <x v="0"/>
    <n v="737859"/>
    <x v="3"/>
  </r>
  <r>
    <n v="1475"/>
    <n v="1161"/>
    <x v="0"/>
    <n v="2"/>
    <n v="4"/>
    <x v="2"/>
    <n v="1958"/>
    <x v="0"/>
    <x v="2"/>
    <x v="3"/>
    <x v="1"/>
    <n v="934336"/>
    <x v="3"/>
  </r>
  <r>
    <n v="1476"/>
    <n v="811"/>
    <x v="3"/>
    <n v="1"/>
    <n v="1"/>
    <x v="2"/>
    <n v="1909"/>
    <x v="1"/>
    <x v="0"/>
    <x v="0"/>
    <x v="1"/>
    <n v="859427"/>
    <x v="3"/>
  </r>
  <r>
    <n v="1477"/>
    <n v="3420"/>
    <x v="2"/>
    <n v="3"/>
    <n v="1"/>
    <x v="0"/>
    <n v="1998"/>
    <x v="2"/>
    <x v="3"/>
    <x v="3"/>
    <x v="0"/>
    <n v="417304"/>
    <x v="1"/>
  </r>
  <r>
    <n v="1478"/>
    <n v="1582"/>
    <x v="0"/>
    <n v="3"/>
    <n v="4"/>
    <x v="1"/>
    <n v="1983"/>
    <x v="2"/>
    <x v="1"/>
    <x v="3"/>
    <x v="0"/>
    <n v="478416"/>
    <x v="1"/>
  </r>
  <r>
    <n v="1479"/>
    <n v="3471"/>
    <x v="2"/>
    <n v="4"/>
    <n v="4"/>
    <x v="2"/>
    <n v="1917"/>
    <x v="1"/>
    <x v="0"/>
    <x v="2"/>
    <x v="1"/>
    <n v="662665"/>
    <x v="3"/>
  </r>
  <r>
    <n v="1480"/>
    <n v="1254"/>
    <x v="0"/>
    <n v="3"/>
    <n v="2"/>
    <x v="1"/>
    <n v="1944"/>
    <x v="1"/>
    <x v="0"/>
    <x v="0"/>
    <x v="0"/>
    <n v="251474"/>
    <x v="2"/>
  </r>
  <r>
    <n v="1481"/>
    <n v="4630"/>
    <x v="1"/>
    <n v="2"/>
    <n v="2"/>
    <x v="1"/>
    <n v="2007"/>
    <x v="3"/>
    <x v="3"/>
    <x v="1"/>
    <x v="1"/>
    <n v="456782"/>
    <x v="1"/>
  </r>
  <r>
    <n v="1482"/>
    <n v="852"/>
    <x v="3"/>
    <n v="1"/>
    <n v="3"/>
    <x v="2"/>
    <n v="1990"/>
    <x v="2"/>
    <x v="1"/>
    <x v="1"/>
    <x v="0"/>
    <n v="874254"/>
    <x v="3"/>
  </r>
  <r>
    <n v="1483"/>
    <n v="1402"/>
    <x v="0"/>
    <n v="2"/>
    <n v="3"/>
    <x v="0"/>
    <n v="1958"/>
    <x v="0"/>
    <x v="3"/>
    <x v="1"/>
    <x v="1"/>
    <n v="419556"/>
    <x v="1"/>
  </r>
  <r>
    <n v="1484"/>
    <n v="4388"/>
    <x v="1"/>
    <n v="5"/>
    <n v="4"/>
    <x v="1"/>
    <n v="1961"/>
    <x v="0"/>
    <x v="1"/>
    <x v="0"/>
    <x v="1"/>
    <n v="887654"/>
    <x v="3"/>
  </r>
  <r>
    <n v="1485"/>
    <n v="658"/>
    <x v="3"/>
    <n v="4"/>
    <n v="1"/>
    <x v="2"/>
    <n v="1958"/>
    <x v="0"/>
    <x v="0"/>
    <x v="1"/>
    <x v="1"/>
    <n v="930520"/>
    <x v="3"/>
  </r>
  <r>
    <n v="1486"/>
    <n v="2477"/>
    <x v="0"/>
    <n v="3"/>
    <n v="3"/>
    <x v="1"/>
    <n v="1948"/>
    <x v="1"/>
    <x v="2"/>
    <x v="0"/>
    <x v="1"/>
    <n v="543301"/>
    <x v="1"/>
  </r>
  <r>
    <n v="1487"/>
    <n v="1456"/>
    <x v="0"/>
    <n v="5"/>
    <n v="4"/>
    <x v="0"/>
    <n v="1999"/>
    <x v="2"/>
    <x v="0"/>
    <x v="2"/>
    <x v="0"/>
    <n v="402594"/>
    <x v="1"/>
  </r>
  <r>
    <n v="1488"/>
    <n v="2571"/>
    <x v="2"/>
    <n v="3"/>
    <n v="3"/>
    <x v="0"/>
    <n v="1962"/>
    <x v="0"/>
    <x v="2"/>
    <x v="2"/>
    <x v="1"/>
    <n v="493884"/>
    <x v="1"/>
  </r>
  <r>
    <n v="1489"/>
    <n v="903"/>
    <x v="3"/>
    <n v="1"/>
    <n v="1"/>
    <x v="0"/>
    <n v="1986"/>
    <x v="2"/>
    <x v="2"/>
    <x v="0"/>
    <x v="0"/>
    <n v="683654"/>
    <x v="3"/>
  </r>
  <r>
    <n v="1490"/>
    <n v="3279"/>
    <x v="2"/>
    <n v="1"/>
    <n v="4"/>
    <x v="2"/>
    <n v="1931"/>
    <x v="1"/>
    <x v="1"/>
    <x v="1"/>
    <x v="1"/>
    <n v="422222"/>
    <x v="1"/>
  </r>
  <r>
    <n v="1491"/>
    <n v="1887"/>
    <x v="0"/>
    <n v="1"/>
    <n v="1"/>
    <x v="2"/>
    <n v="1909"/>
    <x v="1"/>
    <x v="3"/>
    <x v="0"/>
    <x v="1"/>
    <n v="638141"/>
    <x v="3"/>
  </r>
  <r>
    <n v="1492"/>
    <n v="3953"/>
    <x v="2"/>
    <n v="3"/>
    <n v="4"/>
    <x v="0"/>
    <n v="1910"/>
    <x v="1"/>
    <x v="1"/>
    <x v="0"/>
    <x v="0"/>
    <n v="235715"/>
    <x v="2"/>
  </r>
  <r>
    <n v="1493"/>
    <n v="1455"/>
    <x v="0"/>
    <n v="5"/>
    <n v="3"/>
    <x v="2"/>
    <n v="2001"/>
    <x v="3"/>
    <x v="0"/>
    <x v="3"/>
    <x v="0"/>
    <n v="960226"/>
    <x v="3"/>
  </r>
  <r>
    <n v="1494"/>
    <n v="2212"/>
    <x v="0"/>
    <n v="1"/>
    <n v="2"/>
    <x v="0"/>
    <n v="1969"/>
    <x v="0"/>
    <x v="3"/>
    <x v="0"/>
    <x v="0"/>
    <n v="203405"/>
    <x v="2"/>
  </r>
  <r>
    <n v="1495"/>
    <n v="1773"/>
    <x v="0"/>
    <n v="5"/>
    <n v="3"/>
    <x v="2"/>
    <n v="2022"/>
    <x v="3"/>
    <x v="2"/>
    <x v="3"/>
    <x v="1"/>
    <n v="459174"/>
    <x v="1"/>
  </r>
  <r>
    <n v="1496"/>
    <n v="4311"/>
    <x v="1"/>
    <n v="3"/>
    <n v="3"/>
    <x v="0"/>
    <n v="2004"/>
    <x v="3"/>
    <x v="2"/>
    <x v="2"/>
    <x v="1"/>
    <n v="626730"/>
    <x v="3"/>
  </r>
  <r>
    <n v="1497"/>
    <n v="3125"/>
    <x v="2"/>
    <n v="5"/>
    <n v="2"/>
    <x v="1"/>
    <n v="1961"/>
    <x v="0"/>
    <x v="0"/>
    <x v="3"/>
    <x v="0"/>
    <n v="464170"/>
    <x v="1"/>
  </r>
  <r>
    <n v="1498"/>
    <n v="2882"/>
    <x v="2"/>
    <n v="3"/>
    <n v="2"/>
    <x v="0"/>
    <n v="1946"/>
    <x v="1"/>
    <x v="3"/>
    <x v="0"/>
    <x v="1"/>
    <n v="280755"/>
    <x v="2"/>
  </r>
  <r>
    <n v="1499"/>
    <n v="1941"/>
    <x v="0"/>
    <n v="3"/>
    <n v="4"/>
    <x v="0"/>
    <n v="1933"/>
    <x v="1"/>
    <x v="0"/>
    <x v="2"/>
    <x v="0"/>
    <n v="583963"/>
    <x v="1"/>
  </r>
  <r>
    <n v="1500"/>
    <n v="3479"/>
    <x v="2"/>
    <n v="4"/>
    <n v="4"/>
    <x v="2"/>
    <n v="1999"/>
    <x v="2"/>
    <x v="0"/>
    <x v="3"/>
    <x v="1"/>
    <n v="139590"/>
    <x v="0"/>
  </r>
  <r>
    <n v="1501"/>
    <n v="2297"/>
    <x v="0"/>
    <n v="3"/>
    <n v="1"/>
    <x v="2"/>
    <n v="2000"/>
    <x v="2"/>
    <x v="1"/>
    <x v="0"/>
    <x v="1"/>
    <n v="420714"/>
    <x v="1"/>
  </r>
  <r>
    <n v="1502"/>
    <n v="4890"/>
    <x v="1"/>
    <n v="3"/>
    <n v="1"/>
    <x v="2"/>
    <n v="1916"/>
    <x v="1"/>
    <x v="0"/>
    <x v="2"/>
    <x v="1"/>
    <n v="343805"/>
    <x v="2"/>
  </r>
  <r>
    <n v="1503"/>
    <n v="4509"/>
    <x v="1"/>
    <n v="2"/>
    <n v="3"/>
    <x v="2"/>
    <n v="2003"/>
    <x v="3"/>
    <x v="3"/>
    <x v="3"/>
    <x v="0"/>
    <n v="638577"/>
    <x v="3"/>
  </r>
  <r>
    <n v="1504"/>
    <n v="1894"/>
    <x v="0"/>
    <n v="1"/>
    <n v="2"/>
    <x v="2"/>
    <n v="2003"/>
    <x v="3"/>
    <x v="0"/>
    <x v="0"/>
    <x v="1"/>
    <n v="67184"/>
    <x v="0"/>
  </r>
  <r>
    <n v="1505"/>
    <n v="4781"/>
    <x v="1"/>
    <n v="4"/>
    <n v="1"/>
    <x v="2"/>
    <n v="1953"/>
    <x v="0"/>
    <x v="3"/>
    <x v="0"/>
    <x v="0"/>
    <n v="884395"/>
    <x v="3"/>
  </r>
  <r>
    <n v="1506"/>
    <n v="1769"/>
    <x v="0"/>
    <n v="4"/>
    <n v="3"/>
    <x v="1"/>
    <n v="1975"/>
    <x v="0"/>
    <x v="2"/>
    <x v="1"/>
    <x v="0"/>
    <n v="731182"/>
    <x v="3"/>
  </r>
  <r>
    <n v="1507"/>
    <n v="4214"/>
    <x v="1"/>
    <n v="4"/>
    <n v="2"/>
    <x v="0"/>
    <n v="1984"/>
    <x v="2"/>
    <x v="0"/>
    <x v="1"/>
    <x v="1"/>
    <n v="505519"/>
    <x v="1"/>
  </r>
  <r>
    <n v="1508"/>
    <n v="1029"/>
    <x v="0"/>
    <n v="2"/>
    <n v="4"/>
    <x v="0"/>
    <n v="1939"/>
    <x v="1"/>
    <x v="3"/>
    <x v="3"/>
    <x v="0"/>
    <n v="257537"/>
    <x v="2"/>
  </r>
  <r>
    <n v="1509"/>
    <n v="4123"/>
    <x v="1"/>
    <n v="3"/>
    <n v="3"/>
    <x v="0"/>
    <n v="1918"/>
    <x v="1"/>
    <x v="2"/>
    <x v="3"/>
    <x v="0"/>
    <n v="841699"/>
    <x v="3"/>
  </r>
  <r>
    <n v="1510"/>
    <n v="3458"/>
    <x v="2"/>
    <n v="1"/>
    <n v="4"/>
    <x v="1"/>
    <n v="1966"/>
    <x v="0"/>
    <x v="3"/>
    <x v="3"/>
    <x v="1"/>
    <n v="233719"/>
    <x v="2"/>
  </r>
  <r>
    <n v="1511"/>
    <n v="3414"/>
    <x v="2"/>
    <n v="5"/>
    <n v="1"/>
    <x v="0"/>
    <n v="1981"/>
    <x v="2"/>
    <x v="2"/>
    <x v="0"/>
    <x v="0"/>
    <n v="899246"/>
    <x v="3"/>
  </r>
  <r>
    <n v="1512"/>
    <n v="4091"/>
    <x v="1"/>
    <n v="3"/>
    <n v="1"/>
    <x v="1"/>
    <n v="1952"/>
    <x v="0"/>
    <x v="1"/>
    <x v="3"/>
    <x v="0"/>
    <n v="872457"/>
    <x v="3"/>
  </r>
  <r>
    <n v="1513"/>
    <n v="2647"/>
    <x v="2"/>
    <n v="2"/>
    <n v="2"/>
    <x v="1"/>
    <n v="2014"/>
    <x v="3"/>
    <x v="0"/>
    <x v="0"/>
    <x v="1"/>
    <n v="171246"/>
    <x v="0"/>
  </r>
  <r>
    <n v="1514"/>
    <n v="3869"/>
    <x v="2"/>
    <n v="3"/>
    <n v="3"/>
    <x v="1"/>
    <n v="1963"/>
    <x v="0"/>
    <x v="0"/>
    <x v="3"/>
    <x v="1"/>
    <n v="389749"/>
    <x v="2"/>
  </r>
  <r>
    <n v="1515"/>
    <n v="1439"/>
    <x v="0"/>
    <n v="3"/>
    <n v="4"/>
    <x v="0"/>
    <n v="1982"/>
    <x v="2"/>
    <x v="2"/>
    <x v="0"/>
    <x v="1"/>
    <n v="706341"/>
    <x v="3"/>
  </r>
  <r>
    <n v="1516"/>
    <n v="1025"/>
    <x v="0"/>
    <n v="2"/>
    <n v="2"/>
    <x v="1"/>
    <n v="1946"/>
    <x v="1"/>
    <x v="1"/>
    <x v="0"/>
    <x v="0"/>
    <n v="879868"/>
    <x v="3"/>
  </r>
  <r>
    <n v="1517"/>
    <n v="501"/>
    <x v="3"/>
    <n v="4"/>
    <n v="1"/>
    <x v="0"/>
    <n v="1905"/>
    <x v="1"/>
    <x v="3"/>
    <x v="1"/>
    <x v="0"/>
    <n v="723832"/>
    <x v="3"/>
  </r>
  <r>
    <n v="1518"/>
    <n v="874"/>
    <x v="3"/>
    <n v="4"/>
    <n v="1"/>
    <x v="0"/>
    <n v="1915"/>
    <x v="1"/>
    <x v="1"/>
    <x v="2"/>
    <x v="1"/>
    <n v="200408"/>
    <x v="2"/>
  </r>
  <r>
    <n v="1519"/>
    <n v="2840"/>
    <x v="2"/>
    <n v="1"/>
    <n v="3"/>
    <x v="2"/>
    <n v="1971"/>
    <x v="0"/>
    <x v="3"/>
    <x v="0"/>
    <x v="0"/>
    <n v="730947"/>
    <x v="3"/>
  </r>
  <r>
    <n v="1520"/>
    <n v="4505"/>
    <x v="1"/>
    <n v="1"/>
    <n v="4"/>
    <x v="2"/>
    <n v="2011"/>
    <x v="3"/>
    <x v="3"/>
    <x v="3"/>
    <x v="1"/>
    <n v="913624"/>
    <x v="3"/>
  </r>
  <r>
    <n v="1521"/>
    <n v="3552"/>
    <x v="2"/>
    <n v="4"/>
    <n v="3"/>
    <x v="1"/>
    <n v="1917"/>
    <x v="1"/>
    <x v="0"/>
    <x v="1"/>
    <x v="1"/>
    <n v="287439"/>
    <x v="2"/>
  </r>
  <r>
    <n v="1522"/>
    <n v="2865"/>
    <x v="2"/>
    <n v="5"/>
    <n v="4"/>
    <x v="1"/>
    <n v="1951"/>
    <x v="0"/>
    <x v="2"/>
    <x v="3"/>
    <x v="1"/>
    <n v="957023"/>
    <x v="3"/>
  </r>
  <r>
    <n v="1523"/>
    <n v="2025"/>
    <x v="0"/>
    <n v="3"/>
    <n v="4"/>
    <x v="0"/>
    <n v="1947"/>
    <x v="1"/>
    <x v="0"/>
    <x v="3"/>
    <x v="0"/>
    <n v="396655"/>
    <x v="2"/>
  </r>
  <r>
    <n v="1524"/>
    <n v="4976"/>
    <x v="1"/>
    <n v="5"/>
    <n v="3"/>
    <x v="1"/>
    <n v="1942"/>
    <x v="1"/>
    <x v="0"/>
    <x v="0"/>
    <x v="0"/>
    <n v="583953"/>
    <x v="1"/>
  </r>
  <r>
    <n v="1525"/>
    <n v="2146"/>
    <x v="0"/>
    <n v="3"/>
    <n v="2"/>
    <x v="1"/>
    <n v="1938"/>
    <x v="1"/>
    <x v="0"/>
    <x v="0"/>
    <x v="1"/>
    <n v="732457"/>
    <x v="3"/>
  </r>
  <r>
    <n v="1526"/>
    <n v="513"/>
    <x v="3"/>
    <n v="4"/>
    <n v="3"/>
    <x v="0"/>
    <n v="1948"/>
    <x v="1"/>
    <x v="3"/>
    <x v="2"/>
    <x v="1"/>
    <n v="927709"/>
    <x v="3"/>
  </r>
  <r>
    <n v="1527"/>
    <n v="2778"/>
    <x v="2"/>
    <n v="1"/>
    <n v="3"/>
    <x v="1"/>
    <n v="2012"/>
    <x v="3"/>
    <x v="0"/>
    <x v="0"/>
    <x v="0"/>
    <n v="626762"/>
    <x v="3"/>
  </r>
  <r>
    <n v="1528"/>
    <n v="3655"/>
    <x v="2"/>
    <n v="1"/>
    <n v="1"/>
    <x v="1"/>
    <n v="1911"/>
    <x v="1"/>
    <x v="3"/>
    <x v="0"/>
    <x v="1"/>
    <n v="777333"/>
    <x v="3"/>
  </r>
  <r>
    <n v="1529"/>
    <n v="629"/>
    <x v="3"/>
    <n v="5"/>
    <n v="1"/>
    <x v="0"/>
    <n v="2008"/>
    <x v="3"/>
    <x v="2"/>
    <x v="2"/>
    <x v="0"/>
    <n v="468401"/>
    <x v="1"/>
  </r>
  <r>
    <n v="1530"/>
    <n v="4314"/>
    <x v="1"/>
    <n v="1"/>
    <n v="3"/>
    <x v="0"/>
    <n v="1909"/>
    <x v="1"/>
    <x v="3"/>
    <x v="3"/>
    <x v="1"/>
    <n v="125911"/>
    <x v="0"/>
  </r>
  <r>
    <n v="1531"/>
    <n v="3716"/>
    <x v="2"/>
    <n v="4"/>
    <n v="3"/>
    <x v="2"/>
    <n v="1970"/>
    <x v="0"/>
    <x v="3"/>
    <x v="2"/>
    <x v="1"/>
    <n v="142643"/>
    <x v="0"/>
  </r>
  <r>
    <n v="1532"/>
    <n v="3438"/>
    <x v="2"/>
    <n v="5"/>
    <n v="1"/>
    <x v="0"/>
    <n v="2009"/>
    <x v="3"/>
    <x v="1"/>
    <x v="2"/>
    <x v="0"/>
    <n v="866916"/>
    <x v="3"/>
  </r>
  <r>
    <n v="1533"/>
    <n v="4428"/>
    <x v="1"/>
    <n v="3"/>
    <n v="4"/>
    <x v="2"/>
    <n v="1954"/>
    <x v="0"/>
    <x v="0"/>
    <x v="2"/>
    <x v="0"/>
    <n v="309383"/>
    <x v="2"/>
  </r>
  <r>
    <n v="1534"/>
    <n v="2540"/>
    <x v="2"/>
    <n v="1"/>
    <n v="3"/>
    <x v="1"/>
    <n v="1900"/>
    <x v="1"/>
    <x v="0"/>
    <x v="1"/>
    <x v="0"/>
    <n v="413309"/>
    <x v="1"/>
  </r>
  <r>
    <n v="1535"/>
    <n v="527"/>
    <x v="3"/>
    <n v="2"/>
    <n v="2"/>
    <x v="0"/>
    <n v="1948"/>
    <x v="1"/>
    <x v="0"/>
    <x v="3"/>
    <x v="0"/>
    <n v="226682"/>
    <x v="2"/>
  </r>
  <r>
    <n v="1536"/>
    <n v="2613"/>
    <x v="2"/>
    <n v="1"/>
    <n v="2"/>
    <x v="0"/>
    <n v="1935"/>
    <x v="1"/>
    <x v="0"/>
    <x v="1"/>
    <x v="0"/>
    <n v="756167"/>
    <x v="3"/>
  </r>
  <r>
    <n v="1537"/>
    <n v="1752"/>
    <x v="0"/>
    <n v="3"/>
    <n v="2"/>
    <x v="0"/>
    <n v="1920"/>
    <x v="1"/>
    <x v="1"/>
    <x v="1"/>
    <x v="1"/>
    <n v="862267"/>
    <x v="3"/>
  </r>
  <r>
    <n v="1538"/>
    <n v="4856"/>
    <x v="1"/>
    <n v="5"/>
    <n v="3"/>
    <x v="1"/>
    <n v="1936"/>
    <x v="1"/>
    <x v="1"/>
    <x v="0"/>
    <x v="1"/>
    <n v="800639"/>
    <x v="3"/>
  </r>
  <r>
    <n v="1539"/>
    <n v="2546"/>
    <x v="2"/>
    <n v="3"/>
    <n v="4"/>
    <x v="2"/>
    <n v="2015"/>
    <x v="3"/>
    <x v="1"/>
    <x v="2"/>
    <x v="0"/>
    <n v="146453"/>
    <x v="0"/>
  </r>
  <r>
    <n v="1540"/>
    <n v="4523"/>
    <x v="1"/>
    <n v="2"/>
    <n v="4"/>
    <x v="1"/>
    <n v="1923"/>
    <x v="1"/>
    <x v="1"/>
    <x v="2"/>
    <x v="0"/>
    <n v="628078"/>
    <x v="3"/>
  </r>
  <r>
    <n v="1541"/>
    <n v="4896"/>
    <x v="1"/>
    <n v="4"/>
    <n v="1"/>
    <x v="1"/>
    <n v="1954"/>
    <x v="0"/>
    <x v="0"/>
    <x v="1"/>
    <x v="1"/>
    <n v="782320"/>
    <x v="3"/>
  </r>
  <r>
    <n v="1542"/>
    <n v="3874"/>
    <x v="2"/>
    <n v="1"/>
    <n v="3"/>
    <x v="0"/>
    <n v="1924"/>
    <x v="1"/>
    <x v="3"/>
    <x v="0"/>
    <x v="1"/>
    <n v="846075"/>
    <x v="3"/>
  </r>
  <r>
    <n v="1543"/>
    <n v="3966"/>
    <x v="2"/>
    <n v="5"/>
    <n v="4"/>
    <x v="2"/>
    <n v="1906"/>
    <x v="1"/>
    <x v="2"/>
    <x v="0"/>
    <x v="0"/>
    <n v="387990"/>
    <x v="2"/>
  </r>
  <r>
    <n v="1544"/>
    <n v="3581"/>
    <x v="2"/>
    <n v="4"/>
    <n v="3"/>
    <x v="1"/>
    <n v="2005"/>
    <x v="3"/>
    <x v="1"/>
    <x v="0"/>
    <x v="0"/>
    <n v="462167"/>
    <x v="1"/>
  </r>
  <r>
    <n v="1545"/>
    <n v="4278"/>
    <x v="1"/>
    <n v="3"/>
    <n v="1"/>
    <x v="0"/>
    <n v="1980"/>
    <x v="2"/>
    <x v="3"/>
    <x v="3"/>
    <x v="1"/>
    <n v="535320"/>
    <x v="1"/>
  </r>
  <r>
    <n v="1546"/>
    <n v="1129"/>
    <x v="0"/>
    <n v="5"/>
    <n v="1"/>
    <x v="1"/>
    <n v="1992"/>
    <x v="2"/>
    <x v="1"/>
    <x v="1"/>
    <x v="0"/>
    <n v="458449"/>
    <x v="1"/>
  </r>
  <r>
    <n v="1547"/>
    <n v="769"/>
    <x v="3"/>
    <n v="4"/>
    <n v="1"/>
    <x v="1"/>
    <n v="1993"/>
    <x v="2"/>
    <x v="0"/>
    <x v="3"/>
    <x v="1"/>
    <n v="587488"/>
    <x v="1"/>
  </r>
  <r>
    <n v="1548"/>
    <n v="3139"/>
    <x v="2"/>
    <n v="5"/>
    <n v="2"/>
    <x v="0"/>
    <n v="1970"/>
    <x v="0"/>
    <x v="0"/>
    <x v="0"/>
    <x v="1"/>
    <n v="626563"/>
    <x v="3"/>
  </r>
  <r>
    <n v="1549"/>
    <n v="2493"/>
    <x v="0"/>
    <n v="2"/>
    <n v="3"/>
    <x v="0"/>
    <n v="1996"/>
    <x v="2"/>
    <x v="3"/>
    <x v="0"/>
    <x v="0"/>
    <n v="519284"/>
    <x v="1"/>
  </r>
  <r>
    <n v="1550"/>
    <n v="3391"/>
    <x v="2"/>
    <n v="2"/>
    <n v="1"/>
    <x v="2"/>
    <n v="1970"/>
    <x v="0"/>
    <x v="3"/>
    <x v="0"/>
    <x v="1"/>
    <n v="925433"/>
    <x v="3"/>
  </r>
  <r>
    <n v="1551"/>
    <n v="3932"/>
    <x v="2"/>
    <n v="1"/>
    <n v="3"/>
    <x v="1"/>
    <n v="2021"/>
    <x v="3"/>
    <x v="3"/>
    <x v="2"/>
    <x v="1"/>
    <n v="726651"/>
    <x v="3"/>
  </r>
  <r>
    <n v="1552"/>
    <n v="1780"/>
    <x v="0"/>
    <n v="1"/>
    <n v="2"/>
    <x v="0"/>
    <n v="1923"/>
    <x v="1"/>
    <x v="0"/>
    <x v="1"/>
    <x v="1"/>
    <n v="354592"/>
    <x v="2"/>
  </r>
  <r>
    <n v="1553"/>
    <n v="2860"/>
    <x v="2"/>
    <n v="2"/>
    <n v="2"/>
    <x v="0"/>
    <n v="1910"/>
    <x v="1"/>
    <x v="0"/>
    <x v="2"/>
    <x v="0"/>
    <n v="998084"/>
    <x v="3"/>
  </r>
  <r>
    <n v="1554"/>
    <n v="1075"/>
    <x v="0"/>
    <n v="5"/>
    <n v="1"/>
    <x v="2"/>
    <n v="1972"/>
    <x v="0"/>
    <x v="2"/>
    <x v="3"/>
    <x v="1"/>
    <n v="665973"/>
    <x v="3"/>
  </r>
  <r>
    <n v="1555"/>
    <n v="1807"/>
    <x v="0"/>
    <n v="2"/>
    <n v="1"/>
    <x v="2"/>
    <n v="1911"/>
    <x v="1"/>
    <x v="3"/>
    <x v="2"/>
    <x v="0"/>
    <n v="464562"/>
    <x v="1"/>
  </r>
  <r>
    <n v="1556"/>
    <n v="3692"/>
    <x v="2"/>
    <n v="1"/>
    <n v="4"/>
    <x v="0"/>
    <n v="1934"/>
    <x v="1"/>
    <x v="2"/>
    <x v="1"/>
    <x v="1"/>
    <n v="847051"/>
    <x v="3"/>
  </r>
  <r>
    <n v="1557"/>
    <n v="3678"/>
    <x v="2"/>
    <n v="2"/>
    <n v="3"/>
    <x v="2"/>
    <n v="1962"/>
    <x v="0"/>
    <x v="1"/>
    <x v="2"/>
    <x v="1"/>
    <n v="679742"/>
    <x v="3"/>
  </r>
  <r>
    <n v="1558"/>
    <n v="3234"/>
    <x v="2"/>
    <n v="2"/>
    <n v="1"/>
    <x v="0"/>
    <n v="1967"/>
    <x v="0"/>
    <x v="2"/>
    <x v="0"/>
    <x v="1"/>
    <n v="576054"/>
    <x v="1"/>
  </r>
  <r>
    <n v="1559"/>
    <n v="2712"/>
    <x v="2"/>
    <n v="5"/>
    <n v="4"/>
    <x v="1"/>
    <n v="1999"/>
    <x v="2"/>
    <x v="1"/>
    <x v="3"/>
    <x v="1"/>
    <n v="839981"/>
    <x v="3"/>
  </r>
  <r>
    <n v="1560"/>
    <n v="2852"/>
    <x v="2"/>
    <n v="4"/>
    <n v="3"/>
    <x v="2"/>
    <n v="1991"/>
    <x v="2"/>
    <x v="1"/>
    <x v="3"/>
    <x v="1"/>
    <n v="724053"/>
    <x v="3"/>
  </r>
  <r>
    <n v="1561"/>
    <n v="4068"/>
    <x v="1"/>
    <n v="1"/>
    <n v="1"/>
    <x v="1"/>
    <n v="1956"/>
    <x v="0"/>
    <x v="2"/>
    <x v="0"/>
    <x v="0"/>
    <n v="505235"/>
    <x v="1"/>
  </r>
  <r>
    <n v="1562"/>
    <n v="2155"/>
    <x v="0"/>
    <n v="5"/>
    <n v="4"/>
    <x v="1"/>
    <n v="1912"/>
    <x v="1"/>
    <x v="3"/>
    <x v="0"/>
    <x v="0"/>
    <n v="540674"/>
    <x v="1"/>
  </r>
  <r>
    <n v="1563"/>
    <n v="2079"/>
    <x v="0"/>
    <n v="2"/>
    <n v="4"/>
    <x v="1"/>
    <n v="1922"/>
    <x v="1"/>
    <x v="1"/>
    <x v="0"/>
    <x v="1"/>
    <n v="830644"/>
    <x v="3"/>
  </r>
  <r>
    <n v="1564"/>
    <n v="2703"/>
    <x v="2"/>
    <n v="2"/>
    <n v="3"/>
    <x v="0"/>
    <n v="1982"/>
    <x v="2"/>
    <x v="3"/>
    <x v="1"/>
    <x v="0"/>
    <n v="944370"/>
    <x v="3"/>
  </r>
  <r>
    <n v="1565"/>
    <n v="1890"/>
    <x v="0"/>
    <n v="4"/>
    <n v="4"/>
    <x v="1"/>
    <n v="2005"/>
    <x v="3"/>
    <x v="0"/>
    <x v="2"/>
    <x v="0"/>
    <n v="964105"/>
    <x v="3"/>
  </r>
  <r>
    <n v="1566"/>
    <n v="2242"/>
    <x v="0"/>
    <n v="1"/>
    <n v="3"/>
    <x v="1"/>
    <n v="2000"/>
    <x v="2"/>
    <x v="1"/>
    <x v="3"/>
    <x v="1"/>
    <n v="543496"/>
    <x v="1"/>
  </r>
  <r>
    <n v="1567"/>
    <n v="2425"/>
    <x v="0"/>
    <n v="1"/>
    <n v="3"/>
    <x v="1"/>
    <n v="1938"/>
    <x v="1"/>
    <x v="0"/>
    <x v="2"/>
    <x v="0"/>
    <n v="884760"/>
    <x v="3"/>
  </r>
  <r>
    <n v="1568"/>
    <n v="1119"/>
    <x v="0"/>
    <n v="3"/>
    <n v="3"/>
    <x v="0"/>
    <n v="1987"/>
    <x v="2"/>
    <x v="2"/>
    <x v="0"/>
    <x v="0"/>
    <n v="520917"/>
    <x v="1"/>
  </r>
  <r>
    <n v="1569"/>
    <n v="1774"/>
    <x v="0"/>
    <n v="1"/>
    <n v="2"/>
    <x v="1"/>
    <n v="1979"/>
    <x v="2"/>
    <x v="3"/>
    <x v="0"/>
    <x v="0"/>
    <n v="270172"/>
    <x v="2"/>
  </r>
  <r>
    <n v="1570"/>
    <n v="1456"/>
    <x v="0"/>
    <n v="4"/>
    <n v="4"/>
    <x v="1"/>
    <n v="1996"/>
    <x v="2"/>
    <x v="2"/>
    <x v="2"/>
    <x v="0"/>
    <n v="75301"/>
    <x v="0"/>
  </r>
  <r>
    <n v="1571"/>
    <n v="2439"/>
    <x v="0"/>
    <n v="3"/>
    <n v="3"/>
    <x v="2"/>
    <n v="1911"/>
    <x v="1"/>
    <x v="1"/>
    <x v="3"/>
    <x v="1"/>
    <n v="619051"/>
    <x v="3"/>
  </r>
  <r>
    <n v="1572"/>
    <n v="4453"/>
    <x v="1"/>
    <n v="3"/>
    <n v="1"/>
    <x v="0"/>
    <n v="1933"/>
    <x v="1"/>
    <x v="0"/>
    <x v="1"/>
    <x v="0"/>
    <n v="201837"/>
    <x v="2"/>
  </r>
  <r>
    <n v="1573"/>
    <n v="2881"/>
    <x v="2"/>
    <n v="2"/>
    <n v="2"/>
    <x v="1"/>
    <n v="1970"/>
    <x v="0"/>
    <x v="1"/>
    <x v="2"/>
    <x v="1"/>
    <n v="881219"/>
    <x v="3"/>
  </r>
  <r>
    <n v="1574"/>
    <n v="1468"/>
    <x v="0"/>
    <n v="2"/>
    <n v="2"/>
    <x v="2"/>
    <n v="1974"/>
    <x v="0"/>
    <x v="2"/>
    <x v="0"/>
    <x v="1"/>
    <n v="957107"/>
    <x v="3"/>
  </r>
  <r>
    <n v="1575"/>
    <n v="1816"/>
    <x v="0"/>
    <n v="1"/>
    <n v="4"/>
    <x v="0"/>
    <n v="1930"/>
    <x v="1"/>
    <x v="3"/>
    <x v="0"/>
    <x v="0"/>
    <n v="57425"/>
    <x v="0"/>
  </r>
  <r>
    <n v="1576"/>
    <n v="1543"/>
    <x v="0"/>
    <n v="3"/>
    <n v="3"/>
    <x v="0"/>
    <n v="1992"/>
    <x v="2"/>
    <x v="3"/>
    <x v="1"/>
    <x v="1"/>
    <n v="325001"/>
    <x v="2"/>
  </r>
  <r>
    <n v="1577"/>
    <n v="781"/>
    <x v="3"/>
    <n v="2"/>
    <n v="4"/>
    <x v="0"/>
    <n v="1961"/>
    <x v="0"/>
    <x v="1"/>
    <x v="2"/>
    <x v="0"/>
    <n v="233843"/>
    <x v="2"/>
  </r>
  <r>
    <n v="1578"/>
    <n v="3344"/>
    <x v="2"/>
    <n v="4"/>
    <n v="2"/>
    <x v="0"/>
    <n v="1912"/>
    <x v="1"/>
    <x v="1"/>
    <x v="1"/>
    <x v="1"/>
    <n v="405143"/>
    <x v="1"/>
  </r>
  <r>
    <n v="1579"/>
    <n v="1558"/>
    <x v="0"/>
    <n v="2"/>
    <n v="3"/>
    <x v="0"/>
    <n v="1930"/>
    <x v="1"/>
    <x v="0"/>
    <x v="1"/>
    <x v="0"/>
    <n v="465660"/>
    <x v="1"/>
  </r>
  <r>
    <n v="1580"/>
    <n v="4793"/>
    <x v="1"/>
    <n v="2"/>
    <n v="1"/>
    <x v="0"/>
    <n v="1901"/>
    <x v="1"/>
    <x v="2"/>
    <x v="3"/>
    <x v="0"/>
    <n v="833849"/>
    <x v="3"/>
  </r>
  <r>
    <n v="1581"/>
    <n v="3032"/>
    <x v="2"/>
    <n v="3"/>
    <n v="3"/>
    <x v="1"/>
    <n v="2002"/>
    <x v="3"/>
    <x v="1"/>
    <x v="3"/>
    <x v="1"/>
    <n v="615745"/>
    <x v="3"/>
  </r>
  <r>
    <n v="1582"/>
    <n v="4328"/>
    <x v="1"/>
    <n v="3"/>
    <n v="2"/>
    <x v="1"/>
    <n v="1914"/>
    <x v="1"/>
    <x v="0"/>
    <x v="0"/>
    <x v="0"/>
    <n v="545496"/>
    <x v="1"/>
  </r>
  <r>
    <n v="1583"/>
    <n v="1508"/>
    <x v="0"/>
    <n v="5"/>
    <n v="1"/>
    <x v="1"/>
    <n v="1956"/>
    <x v="0"/>
    <x v="1"/>
    <x v="2"/>
    <x v="0"/>
    <n v="785101"/>
    <x v="3"/>
  </r>
  <r>
    <n v="1584"/>
    <n v="1729"/>
    <x v="0"/>
    <n v="4"/>
    <n v="3"/>
    <x v="1"/>
    <n v="1974"/>
    <x v="0"/>
    <x v="3"/>
    <x v="3"/>
    <x v="0"/>
    <n v="443920"/>
    <x v="1"/>
  </r>
  <r>
    <n v="1585"/>
    <n v="1535"/>
    <x v="0"/>
    <n v="3"/>
    <n v="1"/>
    <x v="2"/>
    <n v="1933"/>
    <x v="1"/>
    <x v="0"/>
    <x v="0"/>
    <x v="0"/>
    <n v="579740"/>
    <x v="1"/>
  </r>
  <r>
    <n v="1586"/>
    <n v="775"/>
    <x v="3"/>
    <n v="1"/>
    <n v="1"/>
    <x v="1"/>
    <n v="2002"/>
    <x v="3"/>
    <x v="0"/>
    <x v="2"/>
    <x v="1"/>
    <n v="161153"/>
    <x v="0"/>
  </r>
  <r>
    <n v="1587"/>
    <n v="3240"/>
    <x v="2"/>
    <n v="4"/>
    <n v="2"/>
    <x v="0"/>
    <n v="1967"/>
    <x v="0"/>
    <x v="1"/>
    <x v="0"/>
    <x v="1"/>
    <n v="875294"/>
    <x v="3"/>
  </r>
  <r>
    <n v="1588"/>
    <n v="2789"/>
    <x v="2"/>
    <n v="4"/>
    <n v="1"/>
    <x v="1"/>
    <n v="1974"/>
    <x v="0"/>
    <x v="2"/>
    <x v="3"/>
    <x v="1"/>
    <n v="242543"/>
    <x v="2"/>
  </r>
  <r>
    <n v="1589"/>
    <n v="1739"/>
    <x v="0"/>
    <n v="3"/>
    <n v="4"/>
    <x v="1"/>
    <n v="1928"/>
    <x v="1"/>
    <x v="3"/>
    <x v="0"/>
    <x v="0"/>
    <n v="529274"/>
    <x v="1"/>
  </r>
  <r>
    <n v="1590"/>
    <n v="625"/>
    <x v="3"/>
    <n v="4"/>
    <n v="2"/>
    <x v="0"/>
    <n v="1965"/>
    <x v="0"/>
    <x v="2"/>
    <x v="2"/>
    <x v="1"/>
    <n v="330444"/>
    <x v="2"/>
  </r>
  <r>
    <n v="1591"/>
    <n v="4565"/>
    <x v="1"/>
    <n v="3"/>
    <n v="4"/>
    <x v="1"/>
    <n v="1915"/>
    <x v="1"/>
    <x v="0"/>
    <x v="2"/>
    <x v="0"/>
    <n v="977070"/>
    <x v="3"/>
  </r>
  <r>
    <n v="1592"/>
    <n v="4812"/>
    <x v="1"/>
    <n v="2"/>
    <n v="1"/>
    <x v="1"/>
    <n v="1938"/>
    <x v="1"/>
    <x v="2"/>
    <x v="0"/>
    <x v="0"/>
    <n v="450717"/>
    <x v="1"/>
  </r>
  <r>
    <n v="1593"/>
    <n v="4368"/>
    <x v="1"/>
    <n v="5"/>
    <n v="4"/>
    <x v="1"/>
    <n v="1976"/>
    <x v="2"/>
    <x v="0"/>
    <x v="2"/>
    <x v="0"/>
    <n v="51845"/>
    <x v="0"/>
  </r>
  <r>
    <n v="1594"/>
    <n v="1708"/>
    <x v="0"/>
    <n v="2"/>
    <n v="3"/>
    <x v="2"/>
    <n v="1936"/>
    <x v="1"/>
    <x v="2"/>
    <x v="0"/>
    <x v="1"/>
    <n v="169342"/>
    <x v="0"/>
  </r>
  <r>
    <n v="1595"/>
    <n v="3749"/>
    <x v="2"/>
    <n v="3"/>
    <n v="1"/>
    <x v="1"/>
    <n v="1980"/>
    <x v="2"/>
    <x v="1"/>
    <x v="2"/>
    <x v="1"/>
    <n v="875613"/>
    <x v="3"/>
  </r>
  <r>
    <n v="1596"/>
    <n v="1418"/>
    <x v="0"/>
    <n v="3"/>
    <n v="3"/>
    <x v="0"/>
    <n v="1920"/>
    <x v="1"/>
    <x v="2"/>
    <x v="0"/>
    <x v="1"/>
    <n v="500479"/>
    <x v="1"/>
  </r>
  <r>
    <n v="1597"/>
    <n v="4423"/>
    <x v="1"/>
    <n v="2"/>
    <n v="4"/>
    <x v="0"/>
    <n v="1943"/>
    <x v="1"/>
    <x v="0"/>
    <x v="0"/>
    <x v="1"/>
    <n v="811654"/>
    <x v="3"/>
  </r>
  <r>
    <n v="1598"/>
    <n v="4903"/>
    <x v="1"/>
    <n v="1"/>
    <n v="3"/>
    <x v="1"/>
    <n v="2023"/>
    <x v="3"/>
    <x v="3"/>
    <x v="0"/>
    <x v="0"/>
    <n v="813292"/>
    <x v="3"/>
  </r>
  <r>
    <n v="1599"/>
    <n v="2469"/>
    <x v="0"/>
    <n v="1"/>
    <n v="1"/>
    <x v="1"/>
    <n v="1918"/>
    <x v="1"/>
    <x v="3"/>
    <x v="1"/>
    <x v="1"/>
    <n v="768398"/>
    <x v="3"/>
  </r>
  <r>
    <n v="1600"/>
    <n v="3293"/>
    <x v="2"/>
    <n v="1"/>
    <n v="3"/>
    <x v="1"/>
    <n v="1970"/>
    <x v="0"/>
    <x v="3"/>
    <x v="2"/>
    <x v="1"/>
    <n v="298850"/>
    <x v="2"/>
  </r>
  <r>
    <n v="1601"/>
    <n v="1391"/>
    <x v="0"/>
    <n v="3"/>
    <n v="4"/>
    <x v="0"/>
    <n v="2001"/>
    <x v="3"/>
    <x v="0"/>
    <x v="3"/>
    <x v="1"/>
    <n v="788650"/>
    <x v="3"/>
  </r>
  <r>
    <n v="1602"/>
    <n v="4970"/>
    <x v="1"/>
    <n v="4"/>
    <n v="4"/>
    <x v="0"/>
    <n v="1907"/>
    <x v="1"/>
    <x v="2"/>
    <x v="0"/>
    <x v="1"/>
    <n v="297688"/>
    <x v="2"/>
  </r>
  <r>
    <n v="1603"/>
    <n v="2533"/>
    <x v="2"/>
    <n v="3"/>
    <n v="4"/>
    <x v="2"/>
    <n v="1976"/>
    <x v="2"/>
    <x v="3"/>
    <x v="1"/>
    <x v="0"/>
    <n v="608692"/>
    <x v="3"/>
  </r>
  <r>
    <n v="1604"/>
    <n v="1864"/>
    <x v="0"/>
    <n v="4"/>
    <n v="1"/>
    <x v="2"/>
    <n v="2000"/>
    <x v="2"/>
    <x v="3"/>
    <x v="3"/>
    <x v="1"/>
    <n v="596852"/>
    <x v="1"/>
  </r>
  <r>
    <n v="1605"/>
    <n v="628"/>
    <x v="3"/>
    <n v="2"/>
    <n v="4"/>
    <x v="2"/>
    <n v="1965"/>
    <x v="0"/>
    <x v="3"/>
    <x v="0"/>
    <x v="1"/>
    <n v="672186"/>
    <x v="3"/>
  </r>
  <r>
    <n v="1606"/>
    <n v="1514"/>
    <x v="0"/>
    <n v="5"/>
    <n v="1"/>
    <x v="0"/>
    <n v="1940"/>
    <x v="1"/>
    <x v="1"/>
    <x v="3"/>
    <x v="1"/>
    <n v="330371"/>
    <x v="2"/>
  </r>
  <r>
    <n v="1607"/>
    <n v="2299"/>
    <x v="0"/>
    <n v="4"/>
    <n v="3"/>
    <x v="2"/>
    <n v="1974"/>
    <x v="0"/>
    <x v="0"/>
    <x v="1"/>
    <x v="0"/>
    <n v="570919"/>
    <x v="1"/>
  </r>
  <r>
    <n v="1608"/>
    <n v="2018"/>
    <x v="0"/>
    <n v="1"/>
    <n v="4"/>
    <x v="1"/>
    <n v="1987"/>
    <x v="2"/>
    <x v="0"/>
    <x v="3"/>
    <x v="1"/>
    <n v="145259"/>
    <x v="0"/>
  </r>
  <r>
    <n v="1609"/>
    <n v="4681"/>
    <x v="1"/>
    <n v="3"/>
    <n v="3"/>
    <x v="1"/>
    <n v="1969"/>
    <x v="0"/>
    <x v="0"/>
    <x v="0"/>
    <x v="1"/>
    <n v="174451"/>
    <x v="0"/>
  </r>
  <r>
    <n v="1610"/>
    <n v="1698"/>
    <x v="0"/>
    <n v="2"/>
    <n v="2"/>
    <x v="0"/>
    <n v="1960"/>
    <x v="0"/>
    <x v="0"/>
    <x v="3"/>
    <x v="1"/>
    <n v="490691"/>
    <x v="1"/>
  </r>
  <r>
    <n v="1611"/>
    <n v="4373"/>
    <x v="1"/>
    <n v="1"/>
    <n v="3"/>
    <x v="2"/>
    <n v="1925"/>
    <x v="1"/>
    <x v="0"/>
    <x v="3"/>
    <x v="0"/>
    <n v="67215"/>
    <x v="0"/>
  </r>
  <r>
    <n v="1612"/>
    <n v="2974"/>
    <x v="2"/>
    <n v="2"/>
    <n v="2"/>
    <x v="1"/>
    <n v="1970"/>
    <x v="0"/>
    <x v="1"/>
    <x v="0"/>
    <x v="0"/>
    <n v="180577"/>
    <x v="0"/>
  </r>
  <r>
    <n v="1613"/>
    <n v="3985"/>
    <x v="2"/>
    <n v="5"/>
    <n v="3"/>
    <x v="0"/>
    <n v="2020"/>
    <x v="3"/>
    <x v="2"/>
    <x v="1"/>
    <x v="1"/>
    <n v="832680"/>
    <x v="3"/>
  </r>
  <r>
    <n v="1614"/>
    <n v="4549"/>
    <x v="1"/>
    <n v="3"/>
    <n v="1"/>
    <x v="2"/>
    <n v="2002"/>
    <x v="3"/>
    <x v="1"/>
    <x v="1"/>
    <x v="1"/>
    <n v="121074"/>
    <x v="0"/>
  </r>
  <r>
    <n v="1615"/>
    <n v="4219"/>
    <x v="1"/>
    <n v="3"/>
    <n v="3"/>
    <x v="1"/>
    <n v="1982"/>
    <x v="2"/>
    <x v="3"/>
    <x v="3"/>
    <x v="0"/>
    <n v="989203"/>
    <x v="3"/>
  </r>
  <r>
    <n v="1616"/>
    <n v="802"/>
    <x v="3"/>
    <n v="5"/>
    <n v="1"/>
    <x v="2"/>
    <n v="1969"/>
    <x v="0"/>
    <x v="1"/>
    <x v="2"/>
    <x v="0"/>
    <n v="682909"/>
    <x v="3"/>
  </r>
  <r>
    <n v="1617"/>
    <n v="4452"/>
    <x v="1"/>
    <n v="3"/>
    <n v="1"/>
    <x v="0"/>
    <n v="2006"/>
    <x v="3"/>
    <x v="0"/>
    <x v="3"/>
    <x v="0"/>
    <n v="979958"/>
    <x v="3"/>
  </r>
  <r>
    <n v="1618"/>
    <n v="1486"/>
    <x v="0"/>
    <n v="4"/>
    <n v="4"/>
    <x v="2"/>
    <n v="1928"/>
    <x v="1"/>
    <x v="1"/>
    <x v="2"/>
    <x v="0"/>
    <n v="753577"/>
    <x v="3"/>
  </r>
  <r>
    <n v="1619"/>
    <n v="2363"/>
    <x v="0"/>
    <n v="2"/>
    <n v="1"/>
    <x v="0"/>
    <n v="2006"/>
    <x v="3"/>
    <x v="0"/>
    <x v="3"/>
    <x v="0"/>
    <n v="156759"/>
    <x v="0"/>
  </r>
  <r>
    <n v="1620"/>
    <n v="4940"/>
    <x v="1"/>
    <n v="1"/>
    <n v="2"/>
    <x v="2"/>
    <n v="2002"/>
    <x v="3"/>
    <x v="1"/>
    <x v="1"/>
    <x v="1"/>
    <n v="178471"/>
    <x v="0"/>
  </r>
  <r>
    <n v="1621"/>
    <n v="3572"/>
    <x v="2"/>
    <n v="5"/>
    <n v="4"/>
    <x v="1"/>
    <n v="1965"/>
    <x v="0"/>
    <x v="0"/>
    <x v="3"/>
    <x v="1"/>
    <n v="858143"/>
    <x v="3"/>
  </r>
  <r>
    <n v="1622"/>
    <n v="3624"/>
    <x v="2"/>
    <n v="4"/>
    <n v="4"/>
    <x v="0"/>
    <n v="1918"/>
    <x v="1"/>
    <x v="3"/>
    <x v="3"/>
    <x v="1"/>
    <n v="458275"/>
    <x v="1"/>
  </r>
  <r>
    <n v="1623"/>
    <n v="1827"/>
    <x v="0"/>
    <n v="1"/>
    <n v="3"/>
    <x v="0"/>
    <n v="1967"/>
    <x v="0"/>
    <x v="0"/>
    <x v="2"/>
    <x v="1"/>
    <n v="622686"/>
    <x v="3"/>
  </r>
  <r>
    <n v="1624"/>
    <n v="2908"/>
    <x v="2"/>
    <n v="1"/>
    <n v="1"/>
    <x v="0"/>
    <n v="1957"/>
    <x v="0"/>
    <x v="1"/>
    <x v="1"/>
    <x v="0"/>
    <n v="837718"/>
    <x v="3"/>
  </r>
  <r>
    <n v="1625"/>
    <n v="4173"/>
    <x v="1"/>
    <n v="5"/>
    <n v="1"/>
    <x v="2"/>
    <n v="1969"/>
    <x v="0"/>
    <x v="3"/>
    <x v="2"/>
    <x v="0"/>
    <n v="215369"/>
    <x v="2"/>
  </r>
  <r>
    <n v="1626"/>
    <n v="3791"/>
    <x v="2"/>
    <n v="4"/>
    <n v="2"/>
    <x v="2"/>
    <n v="2012"/>
    <x v="3"/>
    <x v="1"/>
    <x v="3"/>
    <x v="0"/>
    <n v="682592"/>
    <x v="3"/>
  </r>
  <r>
    <n v="1627"/>
    <n v="4533"/>
    <x v="1"/>
    <n v="1"/>
    <n v="3"/>
    <x v="1"/>
    <n v="1956"/>
    <x v="0"/>
    <x v="3"/>
    <x v="0"/>
    <x v="0"/>
    <n v="154959"/>
    <x v="0"/>
  </r>
  <r>
    <n v="1628"/>
    <n v="1203"/>
    <x v="0"/>
    <n v="1"/>
    <n v="3"/>
    <x v="0"/>
    <n v="1936"/>
    <x v="1"/>
    <x v="2"/>
    <x v="3"/>
    <x v="0"/>
    <n v="289317"/>
    <x v="2"/>
  </r>
  <r>
    <n v="1629"/>
    <n v="1074"/>
    <x v="0"/>
    <n v="4"/>
    <n v="4"/>
    <x v="0"/>
    <n v="1960"/>
    <x v="0"/>
    <x v="2"/>
    <x v="3"/>
    <x v="1"/>
    <n v="731845"/>
    <x v="3"/>
  </r>
  <r>
    <n v="1630"/>
    <n v="3732"/>
    <x v="2"/>
    <n v="3"/>
    <n v="4"/>
    <x v="2"/>
    <n v="1991"/>
    <x v="2"/>
    <x v="2"/>
    <x v="2"/>
    <x v="1"/>
    <n v="372111"/>
    <x v="2"/>
  </r>
  <r>
    <n v="1631"/>
    <n v="3132"/>
    <x v="2"/>
    <n v="1"/>
    <n v="4"/>
    <x v="2"/>
    <n v="1929"/>
    <x v="1"/>
    <x v="1"/>
    <x v="0"/>
    <x v="1"/>
    <n v="934235"/>
    <x v="3"/>
  </r>
  <r>
    <n v="1632"/>
    <n v="4328"/>
    <x v="1"/>
    <n v="2"/>
    <n v="2"/>
    <x v="1"/>
    <n v="1970"/>
    <x v="0"/>
    <x v="1"/>
    <x v="0"/>
    <x v="1"/>
    <n v="179745"/>
    <x v="0"/>
  </r>
  <r>
    <n v="1633"/>
    <n v="3730"/>
    <x v="2"/>
    <n v="4"/>
    <n v="2"/>
    <x v="1"/>
    <n v="1972"/>
    <x v="0"/>
    <x v="3"/>
    <x v="2"/>
    <x v="1"/>
    <n v="104583"/>
    <x v="0"/>
  </r>
  <r>
    <n v="1634"/>
    <n v="988"/>
    <x v="3"/>
    <n v="1"/>
    <n v="4"/>
    <x v="2"/>
    <n v="1924"/>
    <x v="1"/>
    <x v="3"/>
    <x v="1"/>
    <x v="0"/>
    <n v="698365"/>
    <x v="3"/>
  </r>
  <r>
    <n v="1635"/>
    <n v="1847"/>
    <x v="0"/>
    <n v="5"/>
    <n v="3"/>
    <x v="0"/>
    <n v="1996"/>
    <x v="2"/>
    <x v="3"/>
    <x v="0"/>
    <x v="0"/>
    <n v="494846"/>
    <x v="1"/>
  </r>
  <r>
    <n v="1636"/>
    <n v="4181"/>
    <x v="1"/>
    <n v="2"/>
    <n v="2"/>
    <x v="1"/>
    <n v="1964"/>
    <x v="0"/>
    <x v="3"/>
    <x v="0"/>
    <x v="0"/>
    <n v="161359"/>
    <x v="0"/>
  </r>
  <r>
    <n v="1637"/>
    <n v="3673"/>
    <x v="2"/>
    <n v="1"/>
    <n v="3"/>
    <x v="2"/>
    <n v="2014"/>
    <x v="3"/>
    <x v="0"/>
    <x v="2"/>
    <x v="0"/>
    <n v="601374"/>
    <x v="3"/>
  </r>
  <r>
    <n v="1638"/>
    <n v="2167"/>
    <x v="0"/>
    <n v="2"/>
    <n v="3"/>
    <x v="2"/>
    <n v="1905"/>
    <x v="1"/>
    <x v="2"/>
    <x v="1"/>
    <x v="0"/>
    <n v="721844"/>
    <x v="3"/>
  </r>
  <r>
    <n v="1639"/>
    <n v="2137"/>
    <x v="0"/>
    <n v="2"/>
    <n v="1"/>
    <x v="0"/>
    <n v="1917"/>
    <x v="1"/>
    <x v="0"/>
    <x v="1"/>
    <x v="1"/>
    <n v="773983"/>
    <x v="3"/>
  </r>
  <r>
    <n v="1640"/>
    <n v="4614"/>
    <x v="1"/>
    <n v="3"/>
    <n v="4"/>
    <x v="2"/>
    <n v="1909"/>
    <x v="1"/>
    <x v="0"/>
    <x v="3"/>
    <x v="1"/>
    <n v="678420"/>
    <x v="3"/>
  </r>
  <r>
    <n v="1641"/>
    <n v="4053"/>
    <x v="1"/>
    <n v="2"/>
    <n v="1"/>
    <x v="2"/>
    <n v="1991"/>
    <x v="2"/>
    <x v="0"/>
    <x v="3"/>
    <x v="1"/>
    <n v="565329"/>
    <x v="1"/>
  </r>
  <r>
    <n v="1642"/>
    <n v="1500"/>
    <x v="0"/>
    <n v="3"/>
    <n v="4"/>
    <x v="1"/>
    <n v="1910"/>
    <x v="1"/>
    <x v="0"/>
    <x v="2"/>
    <x v="0"/>
    <n v="109263"/>
    <x v="0"/>
  </r>
  <r>
    <n v="1643"/>
    <n v="1350"/>
    <x v="0"/>
    <n v="4"/>
    <n v="4"/>
    <x v="2"/>
    <n v="1996"/>
    <x v="2"/>
    <x v="2"/>
    <x v="1"/>
    <x v="0"/>
    <n v="724035"/>
    <x v="3"/>
  </r>
  <r>
    <n v="1644"/>
    <n v="1888"/>
    <x v="0"/>
    <n v="3"/>
    <n v="3"/>
    <x v="2"/>
    <n v="1964"/>
    <x v="0"/>
    <x v="0"/>
    <x v="2"/>
    <x v="0"/>
    <n v="956587"/>
    <x v="3"/>
  </r>
  <r>
    <n v="1645"/>
    <n v="4212"/>
    <x v="1"/>
    <n v="5"/>
    <n v="4"/>
    <x v="1"/>
    <n v="1976"/>
    <x v="2"/>
    <x v="3"/>
    <x v="3"/>
    <x v="0"/>
    <n v="110664"/>
    <x v="0"/>
  </r>
  <r>
    <n v="1646"/>
    <n v="1867"/>
    <x v="0"/>
    <n v="1"/>
    <n v="3"/>
    <x v="0"/>
    <n v="2000"/>
    <x v="2"/>
    <x v="1"/>
    <x v="2"/>
    <x v="1"/>
    <n v="467896"/>
    <x v="1"/>
  </r>
  <r>
    <n v="1647"/>
    <n v="1321"/>
    <x v="0"/>
    <n v="4"/>
    <n v="3"/>
    <x v="0"/>
    <n v="1983"/>
    <x v="2"/>
    <x v="3"/>
    <x v="2"/>
    <x v="0"/>
    <n v="984581"/>
    <x v="3"/>
  </r>
  <r>
    <n v="1648"/>
    <n v="954"/>
    <x v="3"/>
    <n v="4"/>
    <n v="4"/>
    <x v="1"/>
    <n v="1964"/>
    <x v="0"/>
    <x v="1"/>
    <x v="0"/>
    <x v="1"/>
    <n v="956906"/>
    <x v="3"/>
  </r>
  <r>
    <n v="1649"/>
    <n v="2124"/>
    <x v="0"/>
    <n v="5"/>
    <n v="3"/>
    <x v="1"/>
    <n v="1951"/>
    <x v="0"/>
    <x v="3"/>
    <x v="0"/>
    <x v="0"/>
    <n v="389112"/>
    <x v="2"/>
  </r>
  <r>
    <n v="1650"/>
    <n v="3272"/>
    <x v="2"/>
    <n v="3"/>
    <n v="3"/>
    <x v="0"/>
    <n v="1966"/>
    <x v="0"/>
    <x v="3"/>
    <x v="0"/>
    <x v="1"/>
    <n v="970995"/>
    <x v="3"/>
  </r>
  <r>
    <n v="1651"/>
    <n v="4226"/>
    <x v="1"/>
    <n v="1"/>
    <n v="3"/>
    <x v="0"/>
    <n v="1981"/>
    <x v="2"/>
    <x v="1"/>
    <x v="3"/>
    <x v="0"/>
    <n v="751486"/>
    <x v="3"/>
  </r>
  <r>
    <n v="1652"/>
    <n v="3647"/>
    <x v="2"/>
    <n v="3"/>
    <n v="2"/>
    <x v="0"/>
    <n v="2004"/>
    <x v="3"/>
    <x v="2"/>
    <x v="2"/>
    <x v="0"/>
    <n v="817018"/>
    <x v="3"/>
  </r>
  <r>
    <n v="1653"/>
    <n v="4589"/>
    <x v="1"/>
    <n v="2"/>
    <n v="3"/>
    <x v="0"/>
    <n v="1977"/>
    <x v="2"/>
    <x v="0"/>
    <x v="0"/>
    <x v="1"/>
    <n v="446608"/>
    <x v="1"/>
  </r>
  <r>
    <n v="1654"/>
    <n v="2690"/>
    <x v="2"/>
    <n v="3"/>
    <n v="2"/>
    <x v="0"/>
    <n v="1930"/>
    <x v="1"/>
    <x v="3"/>
    <x v="0"/>
    <x v="1"/>
    <n v="505473"/>
    <x v="1"/>
  </r>
  <r>
    <n v="1655"/>
    <n v="1416"/>
    <x v="0"/>
    <n v="4"/>
    <n v="2"/>
    <x v="1"/>
    <n v="1990"/>
    <x v="2"/>
    <x v="2"/>
    <x v="0"/>
    <x v="0"/>
    <n v="117804"/>
    <x v="0"/>
  </r>
  <r>
    <n v="1656"/>
    <n v="4486"/>
    <x v="1"/>
    <n v="1"/>
    <n v="3"/>
    <x v="2"/>
    <n v="1916"/>
    <x v="1"/>
    <x v="0"/>
    <x v="3"/>
    <x v="1"/>
    <n v="874832"/>
    <x v="3"/>
  </r>
  <r>
    <n v="1657"/>
    <n v="3375"/>
    <x v="2"/>
    <n v="3"/>
    <n v="3"/>
    <x v="0"/>
    <n v="1954"/>
    <x v="0"/>
    <x v="2"/>
    <x v="3"/>
    <x v="0"/>
    <n v="479767"/>
    <x v="1"/>
  </r>
  <r>
    <n v="1658"/>
    <n v="1940"/>
    <x v="0"/>
    <n v="1"/>
    <n v="2"/>
    <x v="0"/>
    <n v="2009"/>
    <x v="3"/>
    <x v="2"/>
    <x v="2"/>
    <x v="0"/>
    <n v="864520"/>
    <x v="3"/>
  </r>
  <r>
    <n v="1659"/>
    <n v="4900"/>
    <x v="1"/>
    <n v="1"/>
    <n v="2"/>
    <x v="2"/>
    <n v="1992"/>
    <x v="2"/>
    <x v="0"/>
    <x v="2"/>
    <x v="1"/>
    <n v="261087"/>
    <x v="2"/>
  </r>
  <r>
    <n v="1660"/>
    <n v="1235"/>
    <x v="0"/>
    <n v="2"/>
    <n v="3"/>
    <x v="2"/>
    <n v="1935"/>
    <x v="1"/>
    <x v="3"/>
    <x v="2"/>
    <x v="0"/>
    <n v="992969"/>
    <x v="3"/>
  </r>
  <r>
    <n v="1661"/>
    <n v="4068"/>
    <x v="1"/>
    <n v="2"/>
    <n v="3"/>
    <x v="2"/>
    <n v="2000"/>
    <x v="2"/>
    <x v="2"/>
    <x v="0"/>
    <x v="0"/>
    <n v="491371"/>
    <x v="1"/>
  </r>
  <r>
    <n v="1662"/>
    <n v="3838"/>
    <x v="2"/>
    <n v="4"/>
    <n v="4"/>
    <x v="2"/>
    <n v="1925"/>
    <x v="1"/>
    <x v="3"/>
    <x v="1"/>
    <x v="1"/>
    <n v="137893"/>
    <x v="0"/>
  </r>
  <r>
    <n v="1663"/>
    <n v="3515"/>
    <x v="2"/>
    <n v="5"/>
    <n v="2"/>
    <x v="2"/>
    <n v="1952"/>
    <x v="0"/>
    <x v="3"/>
    <x v="3"/>
    <x v="0"/>
    <n v="842401"/>
    <x v="3"/>
  </r>
  <r>
    <n v="1664"/>
    <n v="3389"/>
    <x v="2"/>
    <n v="1"/>
    <n v="2"/>
    <x v="2"/>
    <n v="1916"/>
    <x v="1"/>
    <x v="3"/>
    <x v="0"/>
    <x v="0"/>
    <n v="58981"/>
    <x v="0"/>
  </r>
  <r>
    <n v="1665"/>
    <n v="1461"/>
    <x v="0"/>
    <n v="5"/>
    <n v="4"/>
    <x v="1"/>
    <n v="1985"/>
    <x v="2"/>
    <x v="0"/>
    <x v="0"/>
    <x v="0"/>
    <n v="464248"/>
    <x v="1"/>
  </r>
  <r>
    <n v="1666"/>
    <n v="3489"/>
    <x v="2"/>
    <n v="4"/>
    <n v="2"/>
    <x v="2"/>
    <n v="1924"/>
    <x v="1"/>
    <x v="1"/>
    <x v="2"/>
    <x v="0"/>
    <n v="366235"/>
    <x v="2"/>
  </r>
  <r>
    <n v="1667"/>
    <n v="4348"/>
    <x v="1"/>
    <n v="1"/>
    <n v="1"/>
    <x v="2"/>
    <n v="1901"/>
    <x v="1"/>
    <x v="3"/>
    <x v="2"/>
    <x v="1"/>
    <n v="157154"/>
    <x v="0"/>
  </r>
  <r>
    <n v="1668"/>
    <n v="1526"/>
    <x v="0"/>
    <n v="1"/>
    <n v="2"/>
    <x v="1"/>
    <n v="2018"/>
    <x v="3"/>
    <x v="1"/>
    <x v="0"/>
    <x v="1"/>
    <n v="336552"/>
    <x v="2"/>
  </r>
  <r>
    <n v="1669"/>
    <n v="4365"/>
    <x v="1"/>
    <n v="5"/>
    <n v="4"/>
    <x v="2"/>
    <n v="1985"/>
    <x v="2"/>
    <x v="1"/>
    <x v="3"/>
    <x v="1"/>
    <n v="729601"/>
    <x v="3"/>
  </r>
  <r>
    <n v="1670"/>
    <n v="3363"/>
    <x v="2"/>
    <n v="3"/>
    <n v="1"/>
    <x v="0"/>
    <n v="1904"/>
    <x v="1"/>
    <x v="2"/>
    <x v="3"/>
    <x v="0"/>
    <n v="884372"/>
    <x v="3"/>
  </r>
  <r>
    <n v="1671"/>
    <n v="3001"/>
    <x v="2"/>
    <n v="2"/>
    <n v="3"/>
    <x v="0"/>
    <n v="1903"/>
    <x v="1"/>
    <x v="3"/>
    <x v="0"/>
    <x v="1"/>
    <n v="526154"/>
    <x v="1"/>
  </r>
  <r>
    <n v="1672"/>
    <n v="2447"/>
    <x v="0"/>
    <n v="3"/>
    <n v="4"/>
    <x v="2"/>
    <n v="1935"/>
    <x v="1"/>
    <x v="3"/>
    <x v="1"/>
    <x v="1"/>
    <n v="756465"/>
    <x v="3"/>
  </r>
  <r>
    <n v="1673"/>
    <n v="1677"/>
    <x v="0"/>
    <n v="5"/>
    <n v="4"/>
    <x v="1"/>
    <n v="1905"/>
    <x v="1"/>
    <x v="3"/>
    <x v="1"/>
    <x v="1"/>
    <n v="242122"/>
    <x v="2"/>
  </r>
  <r>
    <n v="1674"/>
    <n v="511"/>
    <x v="3"/>
    <n v="2"/>
    <n v="3"/>
    <x v="0"/>
    <n v="2015"/>
    <x v="3"/>
    <x v="1"/>
    <x v="3"/>
    <x v="0"/>
    <n v="53657"/>
    <x v="0"/>
  </r>
  <r>
    <n v="1675"/>
    <n v="4899"/>
    <x v="1"/>
    <n v="3"/>
    <n v="4"/>
    <x v="1"/>
    <n v="1920"/>
    <x v="1"/>
    <x v="0"/>
    <x v="2"/>
    <x v="1"/>
    <n v="857662"/>
    <x v="3"/>
  </r>
  <r>
    <n v="1676"/>
    <n v="3864"/>
    <x v="2"/>
    <n v="2"/>
    <n v="2"/>
    <x v="0"/>
    <n v="1976"/>
    <x v="2"/>
    <x v="1"/>
    <x v="1"/>
    <x v="1"/>
    <n v="986184"/>
    <x v="3"/>
  </r>
  <r>
    <n v="1677"/>
    <n v="3522"/>
    <x v="2"/>
    <n v="1"/>
    <n v="3"/>
    <x v="2"/>
    <n v="2017"/>
    <x v="3"/>
    <x v="3"/>
    <x v="1"/>
    <x v="0"/>
    <n v="263766"/>
    <x v="2"/>
  </r>
  <r>
    <n v="1678"/>
    <n v="3871"/>
    <x v="2"/>
    <n v="3"/>
    <n v="4"/>
    <x v="1"/>
    <n v="2000"/>
    <x v="2"/>
    <x v="3"/>
    <x v="2"/>
    <x v="0"/>
    <n v="659019"/>
    <x v="3"/>
  </r>
  <r>
    <n v="1679"/>
    <n v="3330"/>
    <x v="2"/>
    <n v="2"/>
    <n v="3"/>
    <x v="1"/>
    <n v="2018"/>
    <x v="3"/>
    <x v="3"/>
    <x v="1"/>
    <x v="0"/>
    <n v="223412"/>
    <x v="2"/>
  </r>
  <r>
    <n v="1680"/>
    <n v="542"/>
    <x v="3"/>
    <n v="2"/>
    <n v="3"/>
    <x v="1"/>
    <n v="1988"/>
    <x v="2"/>
    <x v="1"/>
    <x v="0"/>
    <x v="0"/>
    <n v="741310"/>
    <x v="3"/>
  </r>
  <r>
    <n v="1681"/>
    <n v="1443"/>
    <x v="0"/>
    <n v="2"/>
    <n v="3"/>
    <x v="0"/>
    <n v="1925"/>
    <x v="1"/>
    <x v="3"/>
    <x v="1"/>
    <x v="0"/>
    <n v="713227"/>
    <x v="3"/>
  </r>
  <r>
    <n v="1682"/>
    <n v="2890"/>
    <x v="2"/>
    <n v="3"/>
    <n v="1"/>
    <x v="0"/>
    <n v="1954"/>
    <x v="0"/>
    <x v="2"/>
    <x v="2"/>
    <x v="0"/>
    <n v="783902"/>
    <x v="3"/>
  </r>
  <r>
    <n v="1683"/>
    <n v="3045"/>
    <x v="2"/>
    <n v="4"/>
    <n v="4"/>
    <x v="0"/>
    <n v="1938"/>
    <x v="1"/>
    <x v="3"/>
    <x v="0"/>
    <x v="1"/>
    <n v="54329"/>
    <x v="0"/>
  </r>
  <r>
    <n v="1684"/>
    <n v="2911"/>
    <x v="2"/>
    <n v="3"/>
    <n v="1"/>
    <x v="2"/>
    <n v="1983"/>
    <x v="2"/>
    <x v="0"/>
    <x v="1"/>
    <x v="1"/>
    <n v="348009"/>
    <x v="2"/>
  </r>
  <r>
    <n v="1685"/>
    <n v="1504"/>
    <x v="0"/>
    <n v="5"/>
    <n v="4"/>
    <x v="0"/>
    <n v="1932"/>
    <x v="1"/>
    <x v="2"/>
    <x v="3"/>
    <x v="0"/>
    <n v="772300"/>
    <x v="3"/>
  </r>
  <r>
    <n v="1686"/>
    <n v="520"/>
    <x v="3"/>
    <n v="3"/>
    <n v="2"/>
    <x v="2"/>
    <n v="1913"/>
    <x v="1"/>
    <x v="3"/>
    <x v="0"/>
    <x v="0"/>
    <n v="569897"/>
    <x v="1"/>
  </r>
  <r>
    <n v="1687"/>
    <n v="906"/>
    <x v="3"/>
    <n v="2"/>
    <n v="2"/>
    <x v="1"/>
    <n v="1955"/>
    <x v="0"/>
    <x v="2"/>
    <x v="0"/>
    <x v="1"/>
    <n v="87869"/>
    <x v="0"/>
  </r>
  <r>
    <n v="1688"/>
    <n v="1514"/>
    <x v="0"/>
    <n v="1"/>
    <n v="2"/>
    <x v="1"/>
    <n v="1999"/>
    <x v="2"/>
    <x v="3"/>
    <x v="3"/>
    <x v="0"/>
    <n v="247977"/>
    <x v="2"/>
  </r>
  <r>
    <n v="1689"/>
    <n v="4931"/>
    <x v="1"/>
    <n v="3"/>
    <n v="4"/>
    <x v="2"/>
    <n v="1980"/>
    <x v="2"/>
    <x v="0"/>
    <x v="3"/>
    <x v="0"/>
    <n v="956617"/>
    <x v="3"/>
  </r>
  <r>
    <n v="1690"/>
    <n v="2338"/>
    <x v="0"/>
    <n v="3"/>
    <n v="3"/>
    <x v="0"/>
    <n v="1920"/>
    <x v="1"/>
    <x v="3"/>
    <x v="1"/>
    <x v="1"/>
    <n v="548185"/>
    <x v="1"/>
  </r>
  <r>
    <n v="1691"/>
    <n v="3688"/>
    <x v="2"/>
    <n v="2"/>
    <n v="3"/>
    <x v="2"/>
    <n v="1945"/>
    <x v="1"/>
    <x v="2"/>
    <x v="1"/>
    <x v="0"/>
    <n v="133984"/>
    <x v="0"/>
  </r>
  <r>
    <n v="1692"/>
    <n v="1214"/>
    <x v="0"/>
    <n v="1"/>
    <n v="1"/>
    <x v="1"/>
    <n v="1915"/>
    <x v="1"/>
    <x v="0"/>
    <x v="2"/>
    <x v="0"/>
    <n v="961604"/>
    <x v="3"/>
  </r>
  <r>
    <n v="1693"/>
    <n v="4646"/>
    <x v="1"/>
    <n v="1"/>
    <n v="1"/>
    <x v="1"/>
    <n v="2009"/>
    <x v="3"/>
    <x v="1"/>
    <x v="2"/>
    <x v="1"/>
    <n v="151069"/>
    <x v="0"/>
  </r>
  <r>
    <n v="1694"/>
    <n v="4354"/>
    <x v="1"/>
    <n v="5"/>
    <n v="2"/>
    <x v="2"/>
    <n v="1915"/>
    <x v="1"/>
    <x v="0"/>
    <x v="0"/>
    <x v="1"/>
    <n v="298577"/>
    <x v="2"/>
  </r>
  <r>
    <n v="1695"/>
    <n v="4919"/>
    <x v="1"/>
    <n v="3"/>
    <n v="1"/>
    <x v="0"/>
    <n v="2019"/>
    <x v="3"/>
    <x v="0"/>
    <x v="3"/>
    <x v="1"/>
    <n v="926143"/>
    <x v="3"/>
  </r>
  <r>
    <n v="1696"/>
    <n v="640"/>
    <x v="3"/>
    <n v="1"/>
    <n v="4"/>
    <x v="0"/>
    <n v="1983"/>
    <x v="2"/>
    <x v="0"/>
    <x v="3"/>
    <x v="1"/>
    <n v="378396"/>
    <x v="2"/>
  </r>
  <r>
    <n v="1697"/>
    <n v="1463"/>
    <x v="0"/>
    <n v="1"/>
    <n v="4"/>
    <x v="2"/>
    <n v="1928"/>
    <x v="1"/>
    <x v="2"/>
    <x v="2"/>
    <x v="1"/>
    <n v="391530"/>
    <x v="2"/>
  </r>
  <r>
    <n v="1698"/>
    <n v="872"/>
    <x v="3"/>
    <n v="4"/>
    <n v="1"/>
    <x v="2"/>
    <n v="1991"/>
    <x v="2"/>
    <x v="0"/>
    <x v="0"/>
    <x v="0"/>
    <n v="168728"/>
    <x v="0"/>
  </r>
  <r>
    <n v="1699"/>
    <n v="4135"/>
    <x v="1"/>
    <n v="4"/>
    <n v="1"/>
    <x v="0"/>
    <n v="1907"/>
    <x v="1"/>
    <x v="3"/>
    <x v="0"/>
    <x v="0"/>
    <n v="573846"/>
    <x v="1"/>
  </r>
  <r>
    <n v="1700"/>
    <n v="3041"/>
    <x v="2"/>
    <n v="1"/>
    <n v="1"/>
    <x v="1"/>
    <n v="1987"/>
    <x v="2"/>
    <x v="0"/>
    <x v="2"/>
    <x v="0"/>
    <n v="969215"/>
    <x v="3"/>
  </r>
  <r>
    <n v="1701"/>
    <n v="4110"/>
    <x v="1"/>
    <n v="5"/>
    <n v="1"/>
    <x v="2"/>
    <n v="1902"/>
    <x v="1"/>
    <x v="0"/>
    <x v="2"/>
    <x v="0"/>
    <n v="75801"/>
    <x v="0"/>
  </r>
  <r>
    <n v="1702"/>
    <n v="2192"/>
    <x v="0"/>
    <n v="1"/>
    <n v="2"/>
    <x v="0"/>
    <n v="1988"/>
    <x v="2"/>
    <x v="3"/>
    <x v="2"/>
    <x v="0"/>
    <n v="792647"/>
    <x v="3"/>
  </r>
  <r>
    <n v="1703"/>
    <n v="605"/>
    <x v="3"/>
    <n v="2"/>
    <n v="2"/>
    <x v="0"/>
    <n v="1918"/>
    <x v="1"/>
    <x v="3"/>
    <x v="1"/>
    <x v="1"/>
    <n v="809925"/>
    <x v="3"/>
  </r>
  <r>
    <n v="1704"/>
    <n v="2181"/>
    <x v="0"/>
    <n v="3"/>
    <n v="1"/>
    <x v="1"/>
    <n v="1996"/>
    <x v="2"/>
    <x v="1"/>
    <x v="0"/>
    <x v="0"/>
    <n v="664997"/>
    <x v="3"/>
  </r>
  <r>
    <n v="1705"/>
    <n v="4597"/>
    <x v="1"/>
    <n v="5"/>
    <n v="4"/>
    <x v="1"/>
    <n v="1965"/>
    <x v="0"/>
    <x v="0"/>
    <x v="0"/>
    <x v="0"/>
    <n v="365414"/>
    <x v="2"/>
  </r>
  <r>
    <n v="1706"/>
    <n v="4516"/>
    <x v="1"/>
    <n v="2"/>
    <n v="2"/>
    <x v="1"/>
    <n v="1978"/>
    <x v="2"/>
    <x v="2"/>
    <x v="0"/>
    <x v="0"/>
    <n v="514838"/>
    <x v="1"/>
  </r>
  <r>
    <n v="1707"/>
    <n v="3136"/>
    <x v="2"/>
    <n v="5"/>
    <n v="4"/>
    <x v="1"/>
    <n v="1985"/>
    <x v="2"/>
    <x v="0"/>
    <x v="2"/>
    <x v="0"/>
    <n v="891967"/>
    <x v="3"/>
  </r>
  <r>
    <n v="1708"/>
    <n v="2637"/>
    <x v="2"/>
    <n v="2"/>
    <n v="3"/>
    <x v="1"/>
    <n v="2023"/>
    <x v="3"/>
    <x v="0"/>
    <x v="2"/>
    <x v="0"/>
    <n v="305560"/>
    <x v="2"/>
  </r>
  <r>
    <n v="1709"/>
    <n v="3916"/>
    <x v="2"/>
    <n v="3"/>
    <n v="4"/>
    <x v="2"/>
    <n v="1973"/>
    <x v="0"/>
    <x v="3"/>
    <x v="2"/>
    <x v="1"/>
    <n v="818026"/>
    <x v="3"/>
  </r>
  <r>
    <n v="1710"/>
    <n v="4945"/>
    <x v="1"/>
    <n v="3"/>
    <n v="1"/>
    <x v="0"/>
    <n v="1981"/>
    <x v="2"/>
    <x v="1"/>
    <x v="2"/>
    <x v="0"/>
    <n v="782119"/>
    <x v="3"/>
  </r>
  <r>
    <n v="1711"/>
    <n v="4030"/>
    <x v="1"/>
    <n v="4"/>
    <n v="3"/>
    <x v="2"/>
    <n v="1921"/>
    <x v="1"/>
    <x v="0"/>
    <x v="3"/>
    <x v="0"/>
    <n v="66220"/>
    <x v="0"/>
  </r>
  <r>
    <n v="1712"/>
    <n v="1786"/>
    <x v="0"/>
    <n v="2"/>
    <n v="2"/>
    <x v="2"/>
    <n v="1945"/>
    <x v="1"/>
    <x v="2"/>
    <x v="2"/>
    <x v="0"/>
    <n v="325536"/>
    <x v="2"/>
  </r>
  <r>
    <n v="1713"/>
    <n v="3679"/>
    <x v="2"/>
    <n v="4"/>
    <n v="2"/>
    <x v="2"/>
    <n v="2012"/>
    <x v="3"/>
    <x v="0"/>
    <x v="1"/>
    <x v="0"/>
    <n v="528803"/>
    <x v="1"/>
  </r>
  <r>
    <n v="1714"/>
    <n v="4154"/>
    <x v="1"/>
    <n v="2"/>
    <n v="3"/>
    <x v="2"/>
    <n v="1990"/>
    <x v="2"/>
    <x v="2"/>
    <x v="3"/>
    <x v="0"/>
    <n v="445462"/>
    <x v="1"/>
  </r>
  <r>
    <n v="1715"/>
    <n v="2859"/>
    <x v="2"/>
    <n v="4"/>
    <n v="4"/>
    <x v="2"/>
    <n v="1912"/>
    <x v="1"/>
    <x v="3"/>
    <x v="3"/>
    <x v="0"/>
    <n v="332154"/>
    <x v="2"/>
  </r>
  <r>
    <n v="1716"/>
    <n v="944"/>
    <x v="3"/>
    <n v="3"/>
    <n v="2"/>
    <x v="1"/>
    <n v="1932"/>
    <x v="1"/>
    <x v="1"/>
    <x v="2"/>
    <x v="1"/>
    <n v="176951"/>
    <x v="0"/>
  </r>
  <r>
    <n v="1717"/>
    <n v="535"/>
    <x v="3"/>
    <n v="5"/>
    <n v="1"/>
    <x v="1"/>
    <n v="1904"/>
    <x v="1"/>
    <x v="0"/>
    <x v="0"/>
    <x v="0"/>
    <n v="380502"/>
    <x v="2"/>
  </r>
  <r>
    <n v="1718"/>
    <n v="1975"/>
    <x v="0"/>
    <n v="4"/>
    <n v="3"/>
    <x v="0"/>
    <n v="1989"/>
    <x v="2"/>
    <x v="1"/>
    <x v="2"/>
    <x v="1"/>
    <n v="533419"/>
    <x v="1"/>
  </r>
  <r>
    <n v="1719"/>
    <n v="4457"/>
    <x v="1"/>
    <n v="2"/>
    <n v="1"/>
    <x v="2"/>
    <n v="1976"/>
    <x v="2"/>
    <x v="0"/>
    <x v="0"/>
    <x v="1"/>
    <n v="198306"/>
    <x v="0"/>
  </r>
  <r>
    <n v="1720"/>
    <n v="2298"/>
    <x v="0"/>
    <n v="2"/>
    <n v="3"/>
    <x v="0"/>
    <n v="1926"/>
    <x v="1"/>
    <x v="2"/>
    <x v="2"/>
    <x v="0"/>
    <n v="932622"/>
    <x v="3"/>
  </r>
  <r>
    <n v="1721"/>
    <n v="2345"/>
    <x v="0"/>
    <n v="3"/>
    <n v="2"/>
    <x v="1"/>
    <n v="2020"/>
    <x v="3"/>
    <x v="1"/>
    <x v="2"/>
    <x v="0"/>
    <n v="690083"/>
    <x v="3"/>
  </r>
  <r>
    <n v="1722"/>
    <n v="1908"/>
    <x v="0"/>
    <n v="2"/>
    <n v="4"/>
    <x v="1"/>
    <n v="1977"/>
    <x v="2"/>
    <x v="0"/>
    <x v="0"/>
    <x v="0"/>
    <n v="492667"/>
    <x v="1"/>
  </r>
  <r>
    <n v="1723"/>
    <n v="2208"/>
    <x v="0"/>
    <n v="1"/>
    <n v="3"/>
    <x v="1"/>
    <n v="1923"/>
    <x v="1"/>
    <x v="3"/>
    <x v="0"/>
    <x v="1"/>
    <n v="959222"/>
    <x v="3"/>
  </r>
  <r>
    <n v="1724"/>
    <n v="3438"/>
    <x v="2"/>
    <n v="5"/>
    <n v="3"/>
    <x v="2"/>
    <n v="1966"/>
    <x v="0"/>
    <x v="2"/>
    <x v="0"/>
    <x v="0"/>
    <n v="175223"/>
    <x v="0"/>
  </r>
  <r>
    <n v="1725"/>
    <n v="1800"/>
    <x v="0"/>
    <n v="4"/>
    <n v="1"/>
    <x v="2"/>
    <n v="2010"/>
    <x v="3"/>
    <x v="1"/>
    <x v="0"/>
    <x v="0"/>
    <n v="572886"/>
    <x v="1"/>
  </r>
  <r>
    <n v="1726"/>
    <n v="1743"/>
    <x v="0"/>
    <n v="5"/>
    <n v="2"/>
    <x v="1"/>
    <n v="2014"/>
    <x v="3"/>
    <x v="0"/>
    <x v="1"/>
    <x v="0"/>
    <n v="649493"/>
    <x v="3"/>
  </r>
  <r>
    <n v="1727"/>
    <n v="4476"/>
    <x v="1"/>
    <n v="3"/>
    <n v="1"/>
    <x v="0"/>
    <n v="1962"/>
    <x v="0"/>
    <x v="1"/>
    <x v="0"/>
    <x v="1"/>
    <n v="465000"/>
    <x v="1"/>
  </r>
  <r>
    <n v="1728"/>
    <n v="3597"/>
    <x v="2"/>
    <n v="4"/>
    <n v="2"/>
    <x v="0"/>
    <n v="2012"/>
    <x v="3"/>
    <x v="0"/>
    <x v="2"/>
    <x v="1"/>
    <n v="997176"/>
    <x v="3"/>
  </r>
  <r>
    <n v="1729"/>
    <n v="509"/>
    <x v="3"/>
    <n v="4"/>
    <n v="1"/>
    <x v="1"/>
    <n v="1993"/>
    <x v="2"/>
    <x v="2"/>
    <x v="2"/>
    <x v="0"/>
    <n v="51082"/>
    <x v="0"/>
  </r>
  <r>
    <n v="1730"/>
    <n v="2925"/>
    <x v="2"/>
    <n v="1"/>
    <n v="3"/>
    <x v="0"/>
    <n v="1998"/>
    <x v="2"/>
    <x v="3"/>
    <x v="1"/>
    <x v="1"/>
    <n v="454364"/>
    <x v="1"/>
  </r>
  <r>
    <n v="1731"/>
    <n v="2160"/>
    <x v="0"/>
    <n v="3"/>
    <n v="1"/>
    <x v="1"/>
    <n v="1947"/>
    <x v="1"/>
    <x v="2"/>
    <x v="0"/>
    <x v="0"/>
    <n v="208566"/>
    <x v="2"/>
  </r>
  <r>
    <n v="1732"/>
    <n v="3131"/>
    <x v="2"/>
    <n v="2"/>
    <n v="4"/>
    <x v="0"/>
    <n v="1962"/>
    <x v="0"/>
    <x v="1"/>
    <x v="2"/>
    <x v="1"/>
    <n v="911525"/>
    <x v="3"/>
  </r>
  <r>
    <n v="1733"/>
    <n v="1572"/>
    <x v="0"/>
    <n v="1"/>
    <n v="2"/>
    <x v="1"/>
    <n v="1977"/>
    <x v="2"/>
    <x v="1"/>
    <x v="1"/>
    <x v="0"/>
    <n v="364096"/>
    <x v="2"/>
  </r>
  <r>
    <n v="1734"/>
    <n v="3725"/>
    <x v="2"/>
    <n v="1"/>
    <n v="2"/>
    <x v="0"/>
    <n v="1911"/>
    <x v="1"/>
    <x v="0"/>
    <x v="2"/>
    <x v="1"/>
    <n v="86719"/>
    <x v="0"/>
  </r>
  <r>
    <n v="1735"/>
    <n v="1816"/>
    <x v="0"/>
    <n v="5"/>
    <n v="3"/>
    <x v="2"/>
    <n v="1927"/>
    <x v="1"/>
    <x v="2"/>
    <x v="1"/>
    <x v="0"/>
    <n v="98737"/>
    <x v="0"/>
  </r>
  <r>
    <n v="1736"/>
    <n v="4645"/>
    <x v="1"/>
    <n v="5"/>
    <n v="2"/>
    <x v="1"/>
    <n v="1943"/>
    <x v="1"/>
    <x v="0"/>
    <x v="1"/>
    <x v="0"/>
    <n v="502669"/>
    <x v="1"/>
  </r>
  <r>
    <n v="1737"/>
    <n v="4183"/>
    <x v="1"/>
    <n v="5"/>
    <n v="4"/>
    <x v="1"/>
    <n v="1992"/>
    <x v="2"/>
    <x v="2"/>
    <x v="3"/>
    <x v="1"/>
    <n v="157271"/>
    <x v="0"/>
  </r>
  <r>
    <n v="1738"/>
    <n v="3773"/>
    <x v="2"/>
    <n v="1"/>
    <n v="1"/>
    <x v="0"/>
    <n v="1942"/>
    <x v="1"/>
    <x v="1"/>
    <x v="3"/>
    <x v="1"/>
    <n v="744896"/>
    <x v="3"/>
  </r>
  <r>
    <n v="1739"/>
    <n v="645"/>
    <x v="3"/>
    <n v="2"/>
    <n v="3"/>
    <x v="1"/>
    <n v="1916"/>
    <x v="1"/>
    <x v="0"/>
    <x v="0"/>
    <x v="1"/>
    <n v="231676"/>
    <x v="2"/>
  </r>
  <r>
    <n v="1740"/>
    <n v="3540"/>
    <x v="2"/>
    <n v="4"/>
    <n v="4"/>
    <x v="1"/>
    <n v="1939"/>
    <x v="1"/>
    <x v="0"/>
    <x v="3"/>
    <x v="1"/>
    <n v="494049"/>
    <x v="1"/>
  </r>
  <r>
    <n v="1741"/>
    <n v="1962"/>
    <x v="0"/>
    <n v="5"/>
    <n v="2"/>
    <x v="1"/>
    <n v="1948"/>
    <x v="1"/>
    <x v="2"/>
    <x v="1"/>
    <x v="1"/>
    <n v="981543"/>
    <x v="3"/>
  </r>
  <r>
    <n v="1742"/>
    <n v="2084"/>
    <x v="0"/>
    <n v="2"/>
    <n v="2"/>
    <x v="2"/>
    <n v="1984"/>
    <x v="2"/>
    <x v="3"/>
    <x v="2"/>
    <x v="0"/>
    <n v="642127"/>
    <x v="3"/>
  </r>
  <r>
    <n v="1743"/>
    <n v="982"/>
    <x v="3"/>
    <n v="3"/>
    <n v="4"/>
    <x v="2"/>
    <n v="1956"/>
    <x v="0"/>
    <x v="2"/>
    <x v="2"/>
    <x v="0"/>
    <n v="884363"/>
    <x v="3"/>
  </r>
  <r>
    <n v="1744"/>
    <n v="3679"/>
    <x v="2"/>
    <n v="5"/>
    <n v="1"/>
    <x v="0"/>
    <n v="1986"/>
    <x v="2"/>
    <x v="3"/>
    <x v="0"/>
    <x v="1"/>
    <n v="352069"/>
    <x v="2"/>
  </r>
  <r>
    <n v="1745"/>
    <n v="1749"/>
    <x v="0"/>
    <n v="4"/>
    <n v="1"/>
    <x v="2"/>
    <n v="1983"/>
    <x v="2"/>
    <x v="2"/>
    <x v="3"/>
    <x v="0"/>
    <n v="232075"/>
    <x v="2"/>
  </r>
  <r>
    <n v="1746"/>
    <n v="1130"/>
    <x v="0"/>
    <n v="3"/>
    <n v="3"/>
    <x v="0"/>
    <n v="1963"/>
    <x v="0"/>
    <x v="1"/>
    <x v="0"/>
    <x v="0"/>
    <n v="492113"/>
    <x v="1"/>
  </r>
  <r>
    <n v="1747"/>
    <n v="1161"/>
    <x v="0"/>
    <n v="3"/>
    <n v="2"/>
    <x v="2"/>
    <n v="1974"/>
    <x v="0"/>
    <x v="0"/>
    <x v="1"/>
    <x v="1"/>
    <n v="137745"/>
    <x v="0"/>
  </r>
  <r>
    <n v="1748"/>
    <n v="4003"/>
    <x v="1"/>
    <n v="4"/>
    <n v="4"/>
    <x v="0"/>
    <n v="1956"/>
    <x v="0"/>
    <x v="2"/>
    <x v="3"/>
    <x v="0"/>
    <n v="176298"/>
    <x v="0"/>
  </r>
  <r>
    <n v="1749"/>
    <n v="3352"/>
    <x v="2"/>
    <n v="5"/>
    <n v="1"/>
    <x v="2"/>
    <n v="2020"/>
    <x v="3"/>
    <x v="1"/>
    <x v="0"/>
    <x v="0"/>
    <n v="667997"/>
    <x v="3"/>
  </r>
  <r>
    <n v="1750"/>
    <n v="2966"/>
    <x v="2"/>
    <n v="1"/>
    <n v="3"/>
    <x v="2"/>
    <n v="1997"/>
    <x v="2"/>
    <x v="2"/>
    <x v="2"/>
    <x v="1"/>
    <n v="354431"/>
    <x v="2"/>
  </r>
  <r>
    <n v="1751"/>
    <n v="1487"/>
    <x v="0"/>
    <n v="4"/>
    <n v="2"/>
    <x v="0"/>
    <n v="1973"/>
    <x v="0"/>
    <x v="0"/>
    <x v="2"/>
    <x v="1"/>
    <n v="796086"/>
    <x v="3"/>
  </r>
  <r>
    <n v="1752"/>
    <n v="2046"/>
    <x v="0"/>
    <n v="4"/>
    <n v="2"/>
    <x v="1"/>
    <n v="1973"/>
    <x v="0"/>
    <x v="2"/>
    <x v="0"/>
    <x v="0"/>
    <n v="476228"/>
    <x v="1"/>
  </r>
  <r>
    <n v="1753"/>
    <n v="1149"/>
    <x v="0"/>
    <n v="4"/>
    <n v="3"/>
    <x v="1"/>
    <n v="2006"/>
    <x v="3"/>
    <x v="3"/>
    <x v="0"/>
    <x v="1"/>
    <n v="681540"/>
    <x v="3"/>
  </r>
  <r>
    <n v="1754"/>
    <n v="1468"/>
    <x v="0"/>
    <n v="3"/>
    <n v="3"/>
    <x v="2"/>
    <n v="2023"/>
    <x v="3"/>
    <x v="0"/>
    <x v="0"/>
    <x v="0"/>
    <n v="747143"/>
    <x v="3"/>
  </r>
  <r>
    <n v="1755"/>
    <n v="3137"/>
    <x v="2"/>
    <n v="2"/>
    <n v="1"/>
    <x v="0"/>
    <n v="1969"/>
    <x v="0"/>
    <x v="3"/>
    <x v="1"/>
    <x v="1"/>
    <n v="421467"/>
    <x v="1"/>
  </r>
  <r>
    <n v="1756"/>
    <n v="1600"/>
    <x v="0"/>
    <n v="1"/>
    <n v="4"/>
    <x v="1"/>
    <n v="1999"/>
    <x v="2"/>
    <x v="1"/>
    <x v="1"/>
    <x v="1"/>
    <n v="511531"/>
    <x v="1"/>
  </r>
  <r>
    <n v="1757"/>
    <n v="940"/>
    <x v="3"/>
    <n v="5"/>
    <n v="2"/>
    <x v="0"/>
    <n v="1987"/>
    <x v="2"/>
    <x v="1"/>
    <x v="2"/>
    <x v="1"/>
    <n v="789126"/>
    <x v="3"/>
  </r>
  <r>
    <n v="1758"/>
    <n v="1269"/>
    <x v="0"/>
    <n v="5"/>
    <n v="4"/>
    <x v="1"/>
    <n v="1975"/>
    <x v="0"/>
    <x v="2"/>
    <x v="1"/>
    <x v="1"/>
    <n v="489707"/>
    <x v="1"/>
  </r>
  <r>
    <n v="1759"/>
    <n v="1843"/>
    <x v="0"/>
    <n v="2"/>
    <n v="2"/>
    <x v="0"/>
    <n v="1942"/>
    <x v="1"/>
    <x v="3"/>
    <x v="1"/>
    <x v="0"/>
    <n v="270013"/>
    <x v="2"/>
  </r>
  <r>
    <n v="1760"/>
    <n v="4858"/>
    <x v="1"/>
    <n v="4"/>
    <n v="2"/>
    <x v="2"/>
    <n v="2018"/>
    <x v="3"/>
    <x v="3"/>
    <x v="3"/>
    <x v="1"/>
    <n v="501800"/>
    <x v="1"/>
  </r>
  <r>
    <n v="1761"/>
    <n v="4229"/>
    <x v="1"/>
    <n v="1"/>
    <n v="4"/>
    <x v="0"/>
    <n v="1922"/>
    <x v="1"/>
    <x v="0"/>
    <x v="1"/>
    <x v="1"/>
    <n v="849235"/>
    <x v="3"/>
  </r>
  <r>
    <n v="1762"/>
    <n v="4406"/>
    <x v="1"/>
    <n v="5"/>
    <n v="3"/>
    <x v="1"/>
    <n v="1926"/>
    <x v="1"/>
    <x v="3"/>
    <x v="3"/>
    <x v="0"/>
    <n v="230697"/>
    <x v="2"/>
  </r>
  <r>
    <n v="1763"/>
    <n v="2077"/>
    <x v="0"/>
    <n v="5"/>
    <n v="1"/>
    <x v="2"/>
    <n v="1957"/>
    <x v="0"/>
    <x v="3"/>
    <x v="1"/>
    <x v="0"/>
    <n v="693107"/>
    <x v="3"/>
  </r>
  <r>
    <n v="1764"/>
    <n v="4508"/>
    <x v="1"/>
    <n v="4"/>
    <n v="2"/>
    <x v="0"/>
    <n v="2020"/>
    <x v="3"/>
    <x v="0"/>
    <x v="2"/>
    <x v="0"/>
    <n v="929793"/>
    <x v="3"/>
  </r>
  <r>
    <n v="1765"/>
    <n v="3851"/>
    <x v="2"/>
    <n v="2"/>
    <n v="3"/>
    <x v="1"/>
    <n v="2008"/>
    <x v="3"/>
    <x v="0"/>
    <x v="0"/>
    <x v="0"/>
    <n v="63698"/>
    <x v="0"/>
  </r>
  <r>
    <n v="1766"/>
    <n v="2849"/>
    <x v="2"/>
    <n v="1"/>
    <n v="2"/>
    <x v="2"/>
    <n v="1936"/>
    <x v="1"/>
    <x v="3"/>
    <x v="2"/>
    <x v="1"/>
    <n v="65376"/>
    <x v="0"/>
  </r>
  <r>
    <n v="1767"/>
    <n v="4102"/>
    <x v="1"/>
    <n v="2"/>
    <n v="1"/>
    <x v="0"/>
    <n v="1905"/>
    <x v="1"/>
    <x v="2"/>
    <x v="1"/>
    <x v="0"/>
    <n v="526870"/>
    <x v="1"/>
  </r>
  <r>
    <n v="1768"/>
    <n v="1741"/>
    <x v="0"/>
    <n v="2"/>
    <n v="2"/>
    <x v="1"/>
    <n v="1964"/>
    <x v="0"/>
    <x v="0"/>
    <x v="0"/>
    <x v="1"/>
    <n v="325261"/>
    <x v="2"/>
  </r>
  <r>
    <n v="1769"/>
    <n v="1625"/>
    <x v="0"/>
    <n v="1"/>
    <n v="1"/>
    <x v="0"/>
    <n v="1905"/>
    <x v="1"/>
    <x v="0"/>
    <x v="0"/>
    <x v="0"/>
    <n v="286591"/>
    <x v="2"/>
  </r>
  <r>
    <n v="1770"/>
    <n v="3101"/>
    <x v="2"/>
    <n v="1"/>
    <n v="1"/>
    <x v="0"/>
    <n v="1949"/>
    <x v="1"/>
    <x v="3"/>
    <x v="0"/>
    <x v="1"/>
    <n v="481172"/>
    <x v="1"/>
  </r>
  <r>
    <n v="1771"/>
    <n v="1690"/>
    <x v="0"/>
    <n v="5"/>
    <n v="2"/>
    <x v="2"/>
    <n v="1921"/>
    <x v="1"/>
    <x v="3"/>
    <x v="3"/>
    <x v="0"/>
    <n v="98786"/>
    <x v="0"/>
  </r>
  <r>
    <n v="1772"/>
    <n v="4631"/>
    <x v="1"/>
    <n v="5"/>
    <n v="2"/>
    <x v="2"/>
    <n v="2004"/>
    <x v="3"/>
    <x v="0"/>
    <x v="2"/>
    <x v="1"/>
    <n v="687293"/>
    <x v="3"/>
  </r>
  <r>
    <n v="1773"/>
    <n v="4948"/>
    <x v="1"/>
    <n v="1"/>
    <n v="1"/>
    <x v="1"/>
    <n v="1987"/>
    <x v="2"/>
    <x v="3"/>
    <x v="3"/>
    <x v="1"/>
    <n v="268850"/>
    <x v="2"/>
  </r>
  <r>
    <n v="1774"/>
    <n v="572"/>
    <x v="3"/>
    <n v="3"/>
    <n v="3"/>
    <x v="2"/>
    <n v="1924"/>
    <x v="1"/>
    <x v="0"/>
    <x v="0"/>
    <x v="0"/>
    <n v="378624"/>
    <x v="2"/>
  </r>
  <r>
    <n v="1775"/>
    <n v="2414"/>
    <x v="0"/>
    <n v="5"/>
    <n v="4"/>
    <x v="1"/>
    <n v="1978"/>
    <x v="2"/>
    <x v="2"/>
    <x v="2"/>
    <x v="1"/>
    <n v="737055"/>
    <x v="3"/>
  </r>
  <r>
    <n v="1776"/>
    <n v="2972"/>
    <x v="2"/>
    <n v="3"/>
    <n v="1"/>
    <x v="0"/>
    <n v="1989"/>
    <x v="2"/>
    <x v="2"/>
    <x v="2"/>
    <x v="1"/>
    <n v="969015"/>
    <x v="3"/>
  </r>
  <r>
    <n v="1777"/>
    <n v="3546"/>
    <x v="2"/>
    <n v="1"/>
    <n v="2"/>
    <x v="0"/>
    <n v="1971"/>
    <x v="0"/>
    <x v="0"/>
    <x v="1"/>
    <x v="1"/>
    <n v="889665"/>
    <x v="3"/>
  </r>
  <r>
    <n v="1778"/>
    <n v="1207"/>
    <x v="0"/>
    <n v="5"/>
    <n v="2"/>
    <x v="1"/>
    <n v="1950"/>
    <x v="1"/>
    <x v="0"/>
    <x v="3"/>
    <x v="1"/>
    <n v="423166"/>
    <x v="1"/>
  </r>
  <r>
    <n v="1779"/>
    <n v="2304"/>
    <x v="0"/>
    <n v="2"/>
    <n v="3"/>
    <x v="0"/>
    <n v="1987"/>
    <x v="2"/>
    <x v="1"/>
    <x v="3"/>
    <x v="0"/>
    <n v="465718"/>
    <x v="1"/>
  </r>
  <r>
    <n v="1780"/>
    <n v="4213"/>
    <x v="1"/>
    <n v="1"/>
    <n v="4"/>
    <x v="2"/>
    <n v="1947"/>
    <x v="1"/>
    <x v="1"/>
    <x v="1"/>
    <x v="1"/>
    <n v="493226"/>
    <x v="1"/>
  </r>
  <r>
    <n v="1781"/>
    <n v="3064"/>
    <x v="2"/>
    <n v="4"/>
    <n v="1"/>
    <x v="0"/>
    <n v="2001"/>
    <x v="3"/>
    <x v="3"/>
    <x v="3"/>
    <x v="1"/>
    <n v="142529"/>
    <x v="0"/>
  </r>
  <r>
    <n v="1782"/>
    <n v="2975"/>
    <x v="2"/>
    <n v="3"/>
    <n v="1"/>
    <x v="2"/>
    <n v="1969"/>
    <x v="0"/>
    <x v="3"/>
    <x v="0"/>
    <x v="0"/>
    <n v="517121"/>
    <x v="1"/>
  </r>
  <r>
    <n v="1783"/>
    <n v="4110"/>
    <x v="1"/>
    <n v="1"/>
    <n v="4"/>
    <x v="1"/>
    <n v="2017"/>
    <x v="3"/>
    <x v="0"/>
    <x v="0"/>
    <x v="0"/>
    <n v="815784"/>
    <x v="3"/>
  </r>
  <r>
    <n v="1784"/>
    <n v="4755"/>
    <x v="1"/>
    <n v="1"/>
    <n v="1"/>
    <x v="1"/>
    <n v="1998"/>
    <x v="2"/>
    <x v="0"/>
    <x v="3"/>
    <x v="0"/>
    <n v="489705"/>
    <x v="1"/>
  </r>
  <r>
    <n v="1785"/>
    <n v="3323"/>
    <x v="2"/>
    <n v="5"/>
    <n v="4"/>
    <x v="0"/>
    <n v="2005"/>
    <x v="3"/>
    <x v="1"/>
    <x v="1"/>
    <x v="1"/>
    <n v="675207"/>
    <x v="3"/>
  </r>
  <r>
    <n v="1786"/>
    <n v="2235"/>
    <x v="0"/>
    <n v="5"/>
    <n v="2"/>
    <x v="0"/>
    <n v="1964"/>
    <x v="0"/>
    <x v="1"/>
    <x v="2"/>
    <x v="1"/>
    <n v="919965"/>
    <x v="3"/>
  </r>
  <r>
    <n v="1787"/>
    <n v="2085"/>
    <x v="0"/>
    <n v="5"/>
    <n v="4"/>
    <x v="2"/>
    <n v="1959"/>
    <x v="0"/>
    <x v="0"/>
    <x v="3"/>
    <x v="0"/>
    <n v="524381"/>
    <x v="1"/>
  </r>
  <r>
    <n v="1788"/>
    <n v="566"/>
    <x v="3"/>
    <n v="4"/>
    <n v="1"/>
    <x v="2"/>
    <n v="1945"/>
    <x v="1"/>
    <x v="2"/>
    <x v="2"/>
    <x v="1"/>
    <n v="999453"/>
    <x v="3"/>
  </r>
  <r>
    <n v="1789"/>
    <n v="3561"/>
    <x v="2"/>
    <n v="5"/>
    <n v="4"/>
    <x v="0"/>
    <n v="1935"/>
    <x v="1"/>
    <x v="2"/>
    <x v="1"/>
    <x v="0"/>
    <n v="522803"/>
    <x v="1"/>
  </r>
  <r>
    <n v="1790"/>
    <n v="2928"/>
    <x v="2"/>
    <n v="1"/>
    <n v="3"/>
    <x v="0"/>
    <n v="1957"/>
    <x v="0"/>
    <x v="3"/>
    <x v="2"/>
    <x v="1"/>
    <n v="536275"/>
    <x v="1"/>
  </r>
  <r>
    <n v="1791"/>
    <n v="4653"/>
    <x v="1"/>
    <n v="5"/>
    <n v="2"/>
    <x v="1"/>
    <n v="1975"/>
    <x v="0"/>
    <x v="0"/>
    <x v="1"/>
    <x v="0"/>
    <n v="772670"/>
    <x v="3"/>
  </r>
  <r>
    <n v="1792"/>
    <n v="841"/>
    <x v="3"/>
    <n v="2"/>
    <n v="2"/>
    <x v="1"/>
    <n v="1937"/>
    <x v="1"/>
    <x v="0"/>
    <x v="1"/>
    <x v="1"/>
    <n v="259870"/>
    <x v="2"/>
  </r>
  <r>
    <n v="1793"/>
    <n v="3274"/>
    <x v="2"/>
    <n v="5"/>
    <n v="4"/>
    <x v="1"/>
    <n v="1910"/>
    <x v="1"/>
    <x v="3"/>
    <x v="0"/>
    <x v="0"/>
    <n v="643695"/>
    <x v="3"/>
  </r>
  <r>
    <n v="1794"/>
    <n v="3317"/>
    <x v="2"/>
    <n v="4"/>
    <n v="1"/>
    <x v="0"/>
    <n v="1911"/>
    <x v="1"/>
    <x v="1"/>
    <x v="0"/>
    <x v="1"/>
    <n v="648097"/>
    <x v="3"/>
  </r>
  <r>
    <n v="1795"/>
    <n v="3161"/>
    <x v="2"/>
    <n v="2"/>
    <n v="3"/>
    <x v="0"/>
    <n v="1941"/>
    <x v="1"/>
    <x v="1"/>
    <x v="1"/>
    <x v="0"/>
    <n v="329373"/>
    <x v="2"/>
  </r>
  <r>
    <n v="1796"/>
    <n v="1732"/>
    <x v="0"/>
    <n v="1"/>
    <n v="2"/>
    <x v="0"/>
    <n v="2013"/>
    <x v="3"/>
    <x v="2"/>
    <x v="3"/>
    <x v="1"/>
    <n v="994889"/>
    <x v="3"/>
  </r>
  <r>
    <n v="1797"/>
    <n v="4374"/>
    <x v="1"/>
    <n v="1"/>
    <n v="2"/>
    <x v="1"/>
    <n v="1938"/>
    <x v="1"/>
    <x v="0"/>
    <x v="0"/>
    <x v="1"/>
    <n v="616464"/>
    <x v="3"/>
  </r>
  <r>
    <n v="1798"/>
    <n v="2901"/>
    <x v="2"/>
    <n v="3"/>
    <n v="1"/>
    <x v="0"/>
    <n v="1970"/>
    <x v="0"/>
    <x v="1"/>
    <x v="1"/>
    <x v="1"/>
    <n v="669113"/>
    <x v="3"/>
  </r>
  <r>
    <n v="1799"/>
    <n v="1994"/>
    <x v="0"/>
    <n v="2"/>
    <n v="1"/>
    <x v="2"/>
    <n v="1910"/>
    <x v="1"/>
    <x v="2"/>
    <x v="2"/>
    <x v="0"/>
    <n v="970764"/>
    <x v="3"/>
  </r>
  <r>
    <n v="1800"/>
    <n v="4711"/>
    <x v="1"/>
    <n v="3"/>
    <n v="3"/>
    <x v="0"/>
    <n v="1935"/>
    <x v="1"/>
    <x v="2"/>
    <x v="2"/>
    <x v="1"/>
    <n v="147555"/>
    <x v="0"/>
  </r>
  <r>
    <n v="1801"/>
    <n v="1161"/>
    <x v="0"/>
    <n v="2"/>
    <n v="4"/>
    <x v="0"/>
    <n v="1951"/>
    <x v="0"/>
    <x v="2"/>
    <x v="3"/>
    <x v="1"/>
    <n v="577433"/>
    <x v="1"/>
  </r>
  <r>
    <n v="1802"/>
    <n v="4383"/>
    <x v="1"/>
    <n v="2"/>
    <n v="1"/>
    <x v="0"/>
    <n v="1930"/>
    <x v="1"/>
    <x v="1"/>
    <x v="2"/>
    <x v="1"/>
    <n v="147289"/>
    <x v="0"/>
  </r>
  <r>
    <n v="1803"/>
    <n v="4119"/>
    <x v="1"/>
    <n v="4"/>
    <n v="4"/>
    <x v="0"/>
    <n v="1932"/>
    <x v="1"/>
    <x v="1"/>
    <x v="2"/>
    <x v="0"/>
    <n v="713162"/>
    <x v="3"/>
  </r>
  <r>
    <n v="1804"/>
    <n v="2368"/>
    <x v="0"/>
    <n v="3"/>
    <n v="3"/>
    <x v="0"/>
    <n v="1912"/>
    <x v="1"/>
    <x v="0"/>
    <x v="1"/>
    <x v="1"/>
    <n v="838695"/>
    <x v="3"/>
  </r>
  <r>
    <n v="1805"/>
    <n v="2834"/>
    <x v="2"/>
    <n v="4"/>
    <n v="4"/>
    <x v="2"/>
    <n v="1917"/>
    <x v="1"/>
    <x v="0"/>
    <x v="2"/>
    <x v="0"/>
    <n v="470129"/>
    <x v="1"/>
  </r>
  <r>
    <n v="1806"/>
    <n v="3874"/>
    <x v="2"/>
    <n v="2"/>
    <n v="2"/>
    <x v="2"/>
    <n v="1940"/>
    <x v="1"/>
    <x v="2"/>
    <x v="2"/>
    <x v="1"/>
    <n v="107788"/>
    <x v="0"/>
  </r>
  <r>
    <n v="1807"/>
    <n v="1516"/>
    <x v="0"/>
    <n v="1"/>
    <n v="4"/>
    <x v="0"/>
    <n v="1957"/>
    <x v="0"/>
    <x v="2"/>
    <x v="2"/>
    <x v="0"/>
    <n v="713515"/>
    <x v="3"/>
  </r>
  <r>
    <n v="1808"/>
    <n v="4906"/>
    <x v="1"/>
    <n v="2"/>
    <n v="3"/>
    <x v="1"/>
    <n v="1955"/>
    <x v="0"/>
    <x v="1"/>
    <x v="2"/>
    <x v="0"/>
    <n v="706282"/>
    <x v="3"/>
  </r>
  <r>
    <n v="1809"/>
    <n v="707"/>
    <x v="3"/>
    <n v="4"/>
    <n v="3"/>
    <x v="0"/>
    <n v="1923"/>
    <x v="1"/>
    <x v="1"/>
    <x v="1"/>
    <x v="1"/>
    <n v="777591"/>
    <x v="3"/>
  </r>
  <r>
    <n v="1810"/>
    <n v="3165"/>
    <x v="2"/>
    <n v="3"/>
    <n v="3"/>
    <x v="0"/>
    <n v="1972"/>
    <x v="0"/>
    <x v="0"/>
    <x v="2"/>
    <x v="0"/>
    <n v="201744"/>
    <x v="2"/>
  </r>
  <r>
    <n v="1811"/>
    <n v="2993"/>
    <x v="2"/>
    <n v="3"/>
    <n v="4"/>
    <x v="0"/>
    <n v="1930"/>
    <x v="1"/>
    <x v="0"/>
    <x v="3"/>
    <x v="0"/>
    <n v="219598"/>
    <x v="2"/>
  </r>
  <r>
    <n v="1812"/>
    <n v="1132"/>
    <x v="0"/>
    <n v="4"/>
    <n v="2"/>
    <x v="1"/>
    <n v="1954"/>
    <x v="0"/>
    <x v="3"/>
    <x v="0"/>
    <x v="1"/>
    <n v="881776"/>
    <x v="3"/>
  </r>
  <r>
    <n v="1813"/>
    <n v="2602"/>
    <x v="2"/>
    <n v="3"/>
    <n v="1"/>
    <x v="1"/>
    <n v="2004"/>
    <x v="3"/>
    <x v="0"/>
    <x v="3"/>
    <x v="0"/>
    <n v="959251"/>
    <x v="3"/>
  </r>
  <r>
    <n v="1814"/>
    <n v="3459"/>
    <x v="2"/>
    <n v="5"/>
    <n v="2"/>
    <x v="1"/>
    <n v="1909"/>
    <x v="1"/>
    <x v="1"/>
    <x v="0"/>
    <x v="0"/>
    <n v="462230"/>
    <x v="1"/>
  </r>
  <r>
    <n v="1815"/>
    <n v="3583"/>
    <x v="2"/>
    <n v="1"/>
    <n v="4"/>
    <x v="2"/>
    <n v="1959"/>
    <x v="0"/>
    <x v="2"/>
    <x v="3"/>
    <x v="0"/>
    <n v="647640"/>
    <x v="3"/>
  </r>
  <r>
    <n v="1816"/>
    <n v="2431"/>
    <x v="0"/>
    <n v="1"/>
    <n v="4"/>
    <x v="1"/>
    <n v="1901"/>
    <x v="1"/>
    <x v="3"/>
    <x v="0"/>
    <x v="0"/>
    <n v="534495"/>
    <x v="1"/>
  </r>
  <r>
    <n v="1817"/>
    <n v="4219"/>
    <x v="1"/>
    <n v="1"/>
    <n v="1"/>
    <x v="2"/>
    <n v="2001"/>
    <x v="3"/>
    <x v="0"/>
    <x v="0"/>
    <x v="1"/>
    <n v="352468"/>
    <x v="2"/>
  </r>
  <r>
    <n v="1818"/>
    <n v="3062"/>
    <x v="2"/>
    <n v="3"/>
    <n v="4"/>
    <x v="2"/>
    <n v="1914"/>
    <x v="1"/>
    <x v="0"/>
    <x v="0"/>
    <x v="0"/>
    <n v="557745"/>
    <x v="1"/>
  </r>
  <r>
    <n v="1819"/>
    <n v="2179"/>
    <x v="0"/>
    <n v="3"/>
    <n v="3"/>
    <x v="1"/>
    <n v="1902"/>
    <x v="1"/>
    <x v="1"/>
    <x v="0"/>
    <x v="0"/>
    <n v="930507"/>
    <x v="3"/>
  </r>
  <r>
    <n v="1820"/>
    <n v="736"/>
    <x v="3"/>
    <n v="2"/>
    <n v="3"/>
    <x v="1"/>
    <n v="1942"/>
    <x v="1"/>
    <x v="3"/>
    <x v="1"/>
    <x v="1"/>
    <n v="276710"/>
    <x v="2"/>
  </r>
  <r>
    <n v="1821"/>
    <n v="4943"/>
    <x v="1"/>
    <n v="2"/>
    <n v="3"/>
    <x v="1"/>
    <n v="1930"/>
    <x v="1"/>
    <x v="0"/>
    <x v="3"/>
    <x v="1"/>
    <n v="744058"/>
    <x v="3"/>
  </r>
  <r>
    <n v="1822"/>
    <n v="2040"/>
    <x v="0"/>
    <n v="1"/>
    <n v="3"/>
    <x v="2"/>
    <n v="1969"/>
    <x v="0"/>
    <x v="2"/>
    <x v="0"/>
    <x v="0"/>
    <n v="913601"/>
    <x v="3"/>
  </r>
  <r>
    <n v="1823"/>
    <n v="4443"/>
    <x v="1"/>
    <n v="5"/>
    <n v="3"/>
    <x v="0"/>
    <n v="1966"/>
    <x v="0"/>
    <x v="1"/>
    <x v="3"/>
    <x v="1"/>
    <n v="859816"/>
    <x v="3"/>
  </r>
  <r>
    <n v="1824"/>
    <n v="863"/>
    <x v="3"/>
    <n v="2"/>
    <n v="4"/>
    <x v="1"/>
    <n v="1955"/>
    <x v="0"/>
    <x v="3"/>
    <x v="2"/>
    <x v="1"/>
    <n v="577800"/>
    <x v="1"/>
  </r>
  <r>
    <n v="1825"/>
    <n v="2868"/>
    <x v="2"/>
    <n v="2"/>
    <n v="1"/>
    <x v="1"/>
    <n v="1962"/>
    <x v="0"/>
    <x v="0"/>
    <x v="0"/>
    <x v="1"/>
    <n v="973570"/>
    <x v="3"/>
  </r>
  <r>
    <n v="1826"/>
    <n v="785"/>
    <x v="3"/>
    <n v="3"/>
    <n v="1"/>
    <x v="1"/>
    <n v="1974"/>
    <x v="0"/>
    <x v="0"/>
    <x v="3"/>
    <x v="1"/>
    <n v="736860"/>
    <x v="3"/>
  </r>
  <r>
    <n v="1827"/>
    <n v="648"/>
    <x v="3"/>
    <n v="5"/>
    <n v="3"/>
    <x v="2"/>
    <n v="1914"/>
    <x v="1"/>
    <x v="3"/>
    <x v="1"/>
    <x v="1"/>
    <n v="173775"/>
    <x v="0"/>
  </r>
  <r>
    <n v="1828"/>
    <n v="4537"/>
    <x v="1"/>
    <n v="1"/>
    <n v="4"/>
    <x v="2"/>
    <n v="2008"/>
    <x v="3"/>
    <x v="1"/>
    <x v="3"/>
    <x v="1"/>
    <n v="128743"/>
    <x v="0"/>
  </r>
  <r>
    <n v="1829"/>
    <n v="2266"/>
    <x v="0"/>
    <n v="2"/>
    <n v="2"/>
    <x v="0"/>
    <n v="2015"/>
    <x v="3"/>
    <x v="3"/>
    <x v="0"/>
    <x v="1"/>
    <n v="397786"/>
    <x v="2"/>
  </r>
  <r>
    <n v="1830"/>
    <n v="1512"/>
    <x v="0"/>
    <n v="5"/>
    <n v="2"/>
    <x v="1"/>
    <n v="1991"/>
    <x v="2"/>
    <x v="3"/>
    <x v="2"/>
    <x v="1"/>
    <n v="441731"/>
    <x v="1"/>
  </r>
  <r>
    <n v="1831"/>
    <n v="3331"/>
    <x v="2"/>
    <n v="5"/>
    <n v="4"/>
    <x v="2"/>
    <n v="1909"/>
    <x v="1"/>
    <x v="1"/>
    <x v="3"/>
    <x v="1"/>
    <n v="654146"/>
    <x v="3"/>
  </r>
  <r>
    <n v="1832"/>
    <n v="3007"/>
    <x v="2"/>
    <n v="1"/>
    <n v="3"/>
    <x v="0"/>
    <n v="1937"/>
    <x v="1"/>
    <x v="0"/>
    <x v="2"/>
    <x v="0"/>
    <n v="629088"/>
    <x v="3"/>
  </r>
  <r>
    <n v="1833"/>
    <n v="2023"/>
    <x v="0"/>
    <n v="5"/>
    <n v="1"/>
    <x v="1"/>
    <n v="1946"/>
    <x v="1"/>
    <x v="2"/>
    <x v="1"/>
    <x v="0"/>
    <n v="506356"/>
    <x v="1"/>
  </r>
  <r>
    <n v="1834"/>
    <n v="3285"/>
    <x v="2"/>
    <n v="5"/>
    <n v="4"/>
    <x v="2"/>
    <n v="1956"/>
    <x v="0"/>
    <x v="1"/>
    <x v="3"/>
    <x v="0"/>
    <n v="674652"/>
    <x v="3"/>
  </r>
  <r>
    <n v="1835"/>
    <n v="3056"/>
    <x v="2"/>
    <n v="5"/>
    <n v="2"/>
    <x v="1"/>
    <n v="1949"/>
    <x v="1"/>
    <x v="2"/>
    <x v="3"/>
    <x v="0"/>
    <n v="555533"/>
    <x v="1"/>
  </r>
  <r>
    <n v="1836"/>
    <n v="4225"/>
    <x v="1"/>
    <n v="2"/>
    <n v="2"/>
    <x v="1"/>
    <n v="2013"/>
    <x v="3"/>
    <x v="0"/>
    <x v="1"/>
    <x v="0"/>
    <n v="314531"/>
    <x v="2"/>
  </r>
  <r>
    <n v="1837"/>
    <n v="2101"/>
    <x v="0"/>
    <n v="1"/>
    <n v="2"/>
    <x v="2"/>
    <n v="1970"/>
    <x v="0"/>
    <x v="3"/>
    <x v="1"/>
    <x v="1"/>
    <n v="237232"/>
    <x v="2"/>
  </r>
  <r>
    <n v="1838"/>
    <n v="2908"/>
    <x v="2"/>
    <n v="5"/>
    <n v="3"/>
    <x v="2"/>
    <n v="1914"/>
    <x v="1"/>
    <x v="2"/>
    <x v="1"/>
    <x v="1"/>
    <n v="778927"/>
    <x v="3"/>
  </r>
  <r>
    <n v="1839"/>
    <n v="840"/>
    <x v="3"/>
    <n v="5"/>
    <n v="2"/>
    <x v="2"/>
    <n v="1917"/>
    <x v="1"/>
    <x v="0"/>
    <x v="0"/>
    <x v="0"/>
    <n v="182871"/>
    <x v="0"/>
  </r>
  <r>
    <n v="1840"/>
    <n v="3317"/>
    <x v="2"/>
    <n v="2"/>
    <n v="4"/>
    <x v="1"/>
    <n v="1981"/>
    <x v="2"/>
    <x v="0"/>
    <x v="0"/>
    <x v="0"/>
    <n v="169095"/>
    <x v="0"/>
  </r>
  <r>
    <n v="1841"/>
    <n v="2996"/>
    <x v="2"/>
    <n v="1"/>
    <n v="4"/>
    <x v="1"/>
    <n v="2015"/>
    <x v="3"/>
    <x v="3"/>
    <x v="3"/>
    <x v="1"/>
    <n v="609836"/>
    <x v="3"/>
  </r>
  <r>
    <n v="1842"/>
    <n v="2225"/>
    <x v="0"/>
    <n v="3"/>
    <n v="2"/>
    <x v="0"/>
    <n v="2004"/>
    <x v="3"/>
    <x v="3"/>
    <x v="3"/>
    <x v="0"/>
    <n v="140450"/>
    <x v="0"/>
  </r>
  <r>
    <n v="1843"/>
    <n v="2189"/>
    <x v="0"/>
    <n v="2"/>
    <n v="4"/>
    <x v="1"/>
    <n v="1987"/>
    <x v="2"/>
    <x v="0"/>
    <x v="3"/>
    <x v="1"/>
    <n v="679957"/>
    <x v="3"/>
  </r>
  <r>
    <n v="1844"/>
    <n v="3767"/>
    <x v="2"/>
    <n v="1"/>
    <n v="2"/>
    <x v="2"/>
    <n v="1901"/>
    <x v="1"/>
    <x v="0"/>
    <x v="2"/>
    <x v="0"/>
    <n v="916603"/>
    <x v="3"/>
  </r>
  <r>
    <n v="1845"/>
    <n v="4906"/>
    <x v="1"/>
    <n v="5"/>
    <n v="2"/>
    <x v="1"/>
    <n v="2003"/>
    <x v="3"/>
    <x v="2"/>
    <x v="1"/>
    <x v="1"/>
    <n v="483595"/>
    <x v="1"/>
  </r>
  <r>
    <n v="1846"/>
    <n v="761"/>
    <x v="3"/>
    <n v="1"/>
    <n v="1"/>
    <x v="0"/>
    <n v="1983"/>
    <x v="2"/>
    <x v="0"/>
    <x v="3"/>
    <x v="0"/>
    <n v="357558"/>
    <x v="2"/>
  </r>
  <r>
    <n v="1847"/>
    <n v="1942"/>
    <x v="0"/>
    <n v="1"/>
    <n v="3"/>
    <x v="0"/>
    <n v="1997"/>
    <x v="2"/>
    <x v="0"/>
    <x v="1"/>
    <x v="1"/>
    <n v="647359"/>
    <x v="3"/>
  </r>
  <r>
    <n v="1848"/>
    <n v="905"/>
    <x v="3"/>
    <n v="1"/>
    <n v="3"/>
    <x v="2"/>
    <n v="1942"/>
    <x v="1"/>
    <x v="2"/>
    <x v="0"/>
    <x v="0"/>
    <n v="687096"/>
    <x v="3"/>
  </r>
  <r>
    <n v="1849"/>
    <n v="2690"/>
    <x v="2"/>
    <n v="3"/>
    <n v="1"/>
    <x v="2"/>
    <n v="1925"/>
    <x v="1"/>
    <x v="1"/>
    <x v="1"/>
    <x v="0"/>
    <n v="550884"/>
    <x v="1"/>
  </r>
  <r>
    <n v="1850"/>
    <n v="4937"/>
    <x v="1"/>
    <n v="1"/>
    <n v="1"/>
    <x v="0"/>
    <n v="1970"/>
    <x v="0"/>
    <x v="2"/>
    <x v="2"/>
    <x v="1"/>
    <n v="128591"/>
    <x v="0"/>
  </r>
  <r>
    <n v="1851"/>
    <n v="743"/>
    <x v="3"/>
    <n v="3"/>
    <n v="3"/>
    <x v="0"/>
    <n v="1937"/>
    <x v="1"/>
    <x v="2"/>
    <x v="2"/>
    <x v="1"/>
    <n v="798501"/>
    <x v="3"/>
  </r>
  <r>
    <n v="1852"/>
    <n v="4607"/>
    <x v="1"/>
    <n v="5"/>
    <n v="2"/>
    <x v="0"/>
    <n v="1993"/>
    <x v="2"/>
    <x v="3"/>
    <x v="1"/>
    <x v="0"/>
    <n v="316441"/>
    <x v="2"/>
  </r>
  <r>
    <n v="1853"/>
    <n v="1060"/>
    <x v="0"/>
    <n v="3"/>
    <n v="2"/>
    <x v="2"/>
    <n v="1941"/>
    <x v="1"/>
    <x v="2"/>
    <x v="2"/>
    <x v="0"/>
    <n v="683801"/>
    <x v="3"/>
  </r>
  <r>
    <n v="1854"/>
    <n v="4637"/>
    <x v="1"/>
    <n v="5"/>
    <n v="3"/>
    <x v="0"/>
    <n v="1904"/>
    <x v="1"/>
    <x v="0"/>
    <x v="2"/>
    <x v="1"/>
    <n v="965100"/>
    <x v="3"/>
  </r>
  <r>
    <n v="1855"/>
    <n v="3225"/>
    <x v="2"/>
    <n v="5"/>
    <n v="2"/>
    <x v="0"/>
    <n v="1910"/>
    <x v="1"/>
    <x v="0"/>
    <x v="0"/>
    <x v="1"/>
    <n v="922911"/>
    <x v="3"/>
  </r>
  <r>
    <n v="1856"/>
    <n v="1093"/>
    <x v="0"/>
    <n v="3"/>
    <n v="1"/>
    <x v="2"/>
    <n v="1964"/>
    <x v="0"/>
    <x v="0"/>
    <x v="3"/>
    <x v="1"/>
    <n v="148752"/>
    <x v="0"/>
  </r>
  <r>
    <n v="1857"/>
    <n v="2326"/>
    <x v="0"/>
    <n v="2"/>
    <n v="2"/>
    <x v="1"/>
    <n v="1933"/>
    <x v="1"/>
    <x v="1"/>
    <x v="2"/>
    <x v="0"/>
    <n v="186080"/>
    <x v="0"/>
  </r>
  <r>
    <n v="1858"/>
    <n v="3729"/>
    <x v="2"/>
    <n v="4"/>
    <n v="2"/>
    <x v="1"/>
    <n v="2019"/>
    <x v="3"/>
    <x v="0"/>
    <x v="3"/>
    <x v="0"/>
    <n v="267885"/>
    <x v="2"/>
  </r>
  <r>
    <n v="1859"/>
    <n v="3787"/>
    <x v="2"/>
    <n v="1"/>
    <n v="4"/>
    <x v="0"/>
    <n v="1900"/>
    <x v="1"/>
    <x v="1"/>
    <x v="1"/>
    <x v="1"/>
    <n v="427625"/>
    <x v="1"/>
  </r>
  <r>
    <n v="1860"/>
    <n v="4573"/>
    <x v="1"/>
    <n v="4"/>
    <n v="4"/>
    <x v="1"/>
    <n v="1982"/>
    <x v="2"/>
    <x v="0"/>
    <x v="1"/>
    <x v="0"/>
    <n v="197892"/>
    <x v="0"/>
  </r>
  <r>
    <n v="1861"/>
    <n v="633"/>
    <x v="3"/>
    <n v="1"/>
    <n v="4"/>
    <x v="1"/>
    <n v="1901"/>
    <x v="1"/>
    <x v="2"/>
    <x v="2"/>
    <x v="0"/>
    <n v="514764"/>
    <x v="1"/>
  </r>
  <r>
    <n v="1862"/>
    <n v="3638"/>
    <x v="2"/>
    <n v="1"/>
    <n v="2"/>
    <x v="1"/>
    <n v="1984"/>
    <x v="2"/>
    <x v="3"/>
    <x v="1"/>
    <x v="1"/>
    <n v="203325"/>
    <x v="2"/>
  </r>
  <r>
    <n v="1863"/>
    <n v="4419"/>
    <x v="1"/>
    <n v="5"/>
    <n v="3"/>
    <x v="1"/>
    <n v="1919"/>
    <x v="1"/>
    <x v="0"/>
    <x v="0"/>
    <x v="0"/>
    <n v="472418"/>
    <x v="1"/>
  </r>
  <r>
    <n v="1864"/>
    <n v="572"/>
    <x v="3"/>
    <n v="1"/>
    <n v="1"/>
    <x v="0"/>
    <n v="1960"/>
    <x v="0"/>
    <x v="1"/>
    <x v="2"/>
    <x v="1"/>
    <n v="996740"/>
    <x v="3"/>
  </r>
  <r>
    <n v="1865"/>
    <n v="4994"/>
    <x v="1"/>
    <n v="1"/>
    <n v="2"/>
    <x v="1"/>
    <n v="1986"/>
    <x v="2"/>
    <x v="1"/>
    <x v="2"/>
    <x v="1"/>
    <n v="641444"/>
    <x v="3"/>
  </r>
  <r>
    <n v="1866"/>
    <n v="4725"/>
    <x v="1"/>
    <n v="3"/>
    <n v="3"/>
    <x v="1"/>
    <n v="1920"/>
    <x v="1"/>
    <x v="3"/>
    <x v="2"/>
    <x v="0"/>
    <n v="817248"/>
    <x v="3"/>
  </r>
  <r>
    <n v="1867"/>
    <n v="3478"/>
    <x v="2"/>
    <n v="4"/>
    <n v="2"/>
    <x v="2"/>
    <n v="1987"/>
    <x v="2"/>
    <x v="0"/>
    <x v="1"/>
    <x v="0"/>
    <n v="110263"/>
    <x v="0"/>
  </r>
  <r>
    <n v="1868"/>
    <n v="4861"/>
    <x v="1"/>
    <n v="3"/>
    <n v="1"/>
    <x v="0"/>
    <n v="1967"/>
    <x v="0"/>
    <x v="2"/>
    <x v="1"/>
    <x v="1"/>
    <n v="955428"/>
    <x v="3"/>
  </r>
  <r>
    <n v="1869"/>
    <n v="2485"/>
    <x v="0"/>
    <n v="1"/>
    <n v="2"/>
    <x v="2"/>
    <n v="1911"/>
    <x v="1"/>
    <x v="0"/>
    <x v="2"/>
    <x v="1"/>
    <n v="673540"/>
    <x v="3"/>
  </r>
  <r>
    <n v="1870"/>
    <n v="1292"/>
    <x v="0"/>
    <n v="5"/>
    <n v="1"/>
    <x v="2"/>
    <n v="1921"/>
    <x v="1"/>
    <x v="0"/>
    <x v="3"/>
    <x v="1"/>
    <n v="168632"/>
    <x v="0"/>
  </r>
  <r>
    <n v="1871"/>
    <n v="4759"/>
    <x v="1"/>
    <n v="3"/>
    <n v="2"/>
    <x v="0"/>
    <n v="1919"/>
    <x v="1"/>
    <x v="3"/>
    <x v="1"/>
    <x v="0"/>
    <n v="911287"/>
    <x v="3"/>
  </r>
  <r>
    <n v="1872"/>
    <n v="594"/>
    <x v="3"/>
    <n v="3"/>
    <n v="1"/>
    <x v="1"/>
    <n v="1981"/>
    <x v="2"/>
    <x v="0"/>
    <x v="1"/>
    <x v="1"/>
    <n v="66575"/>
    <x v="0"/>
  </r>
  <r>
    <n v="1873"/>
    <n v="1633"/>
    <x v="0"/>
    <n v="2"/>
    <n v="2"/>
    <x v="2"/>
    <n v="1900"/>
    <x v="1"/>
    <x v="2"/>
    <x v="2"/>
    <x v="1"/>
    <n v="324348"/>
    <x v="2"/>
  </r>
  <r>
    <n v="1874"/>
    <n v="737"/>
    <x v="3"/>
    <n v="1"/>
    <n v="1"/>
    <x v="0"/>
    <n v="1929"/>
    <x v="1"/>
    <x v="1"/>
    <x v="3"/>
    <x v="1"/>
    <n v="61952"/>
    <x v="0"/>
  </r>
  <r>
    <n v="1875"/>
    <n v="3446"/>
    <x v="2"/>
    <n v="5"/>
    <n v="4"/>
    <x v="1"/>
    <n v="1996"/>
    <x v="2"/>
    <x v="3"/>
    <x v="2"/>
    <x v="1"/>
    <n v="569826"/>
    <x v="1"/>
  </r>
  <r>
    <n v="1876"/>
    <n v="3030"/>
    <x v="2"/>
    <n v="3"/>
    <n v="2"/>
    <x v="0"/>
    <n v="1923"/>
    <x v="1"/>
    <x v="2"/>
    <x v="1"/>
    <x v="0"/>
    <n v="133323"/>
    <x v="0"/>
  </r>
  <r>
    <n v="1877"/>
    <n v="2460"/>
    <x v="0"/>
    <n v="3"/>
    <n v="2"/>
    <x v="2"/>
    <n v="1913"/>
    <x v="1"/>
    <x v="1"/>
    <x v="2"/>
    <x v="0"/>
    <n v="756502"/>
    <x v="3"/>
  </r>
  <r>
    <n v="1878"/>
    <n v="1548"/>
    <x v="0"/>
    <n v="5"/>
    <n v="3"/>
    <x v="1"/>
    <n v="1935"/>
    <x v="1"/>
    <x v="3"/>
    <x v="2"/>
    <x v="1"/>
    <n v="214944"/>
    <x v="2"/>
  </r>
  <r>
    <n v="1879"/>
    <n v="3029"/>
    <x v="2"/>
    <n v="1"/>
    <n v="3"/>
    <x v="1"/>
    <n v="1968"/>
    <x v="0"/>
    <x v="3"/>
    <x v="2"/>
    <x v="0"/>
    <n v="734736"/>
    <x v="3"/>
  </r>
  <r>
    <n v="1880"/>
    <n v="3464"/>
    <x v="2"/>
    <n v="2"/>
    <n v="1"/>
    <x v="0"/>
    <n v="1974"/>
    <x v="0"/>
    <x v="1"/>
    <x v="3"/>
    <x v="0"/>
    <n v="771444"/>
    <x v="3"/>
  </r>
  <r>
    <n v="1881"/>
    <n v="1463"/>
    <x v="0"/>
    <n v="3"/>
    <n v="2"/>
    <x v="1"/>
    <n v="1923"/>
    <x v="1"/>
    <x v="1"/>
    <x v="2"/>
    <x v="0"/>
    <n v="192712"/>
    <x v="0"/>
  </r>
  <r>
    <n v="1882"/>
    <n v="1036"/>
    <x v="0"/>
    <n v="2"/>
    <n v="1"/>
    <x v="2"/>
    <n v="1959"/>
    <x v="0"/>
    <x v="2"/>
    <x v="1"/>
    <x v="1"/>
    <n v="338581"/>
    <x v="2"/>
  </r>
  <r>
    <n v="1883"/>
    <n v="4723"/>
    <x v="1"/>
    <n v="4"/>
    <n v="4"/>
    <x v="2"/>
    <n v="1994"/>
    <x v="2"/>
    <x v="0"/>
    <x v="2"/>
    <x v="0"/>
    <n v="177129"/>
    <x v="0"/>
  </r>
  <r>
    <n v="1884"/>
    <n v="4179"/>
    <x v="1"/>
    <n v="1"/>
    <n v="3"/>
    <x v="2"/>
    <n v="1954"/>
    <x v="0"/>
    <x v="0"/>
    <x v="3"/>
    <x v="0"/>
    <n v="924113"/>
    <x v="3"/>
  </r>
  <r>
    <n v="1885"/>
    <n v="4687"/>
    <x v="1"/>
    <n v="4"/>
    <n v="1"/>
    <x v="0"/>
    <n v="1976"/>
    <x v="2"/>
    <x v="0"/>
    <x v="0"/>
    <x v="1"/>
    <n v="828810"/>
    <x v="3"/>
  </r>
  <r>
    <n v="1886"/>
    <n v="4224"/>
    <x v="1"/>
    <n v="4"/>
    <n v="1"/>
    <x v="1"/>
    <n v="1979"/>
    <x v="2"/>
    <x v="0"/>
    <x v="3"/>
    <x v="1"/>
    <n v="582191"/>
    <x v="1"/>
  </r>
  <r>
    <n v="1887"/>
    <n v="1042"/>
    <x v="0"/>
    <n v="4"/>
    <n v="3"/>
    <x v="1"/>
    <n v="1923"/>
    <x v="1"/>
    <x v="0"/>
    <x v="2"/>
    <x v="0"/>
    <n v="264776"/>
    <x v="2"/>
  </r>
  <r>
    <n v="1888"/>
    <n v="1345"/>
    <x v="0"/>
    <n v="1"/>
    <n v="2"/>
    <x v="1"/>
    <n v="1976"/>
    <x v="2"/>
    <x v="2"/>
    <x v="0"/>
    <x v="0"/>
    <n v="601151"/>
    <x v="3"/>
  </r>
  <r>
    <n v="1889"/>
    <n v="4103"/>
    <x v="1"/>
    <n v="1"/>
    <n v="1"/>
    <x v="2"/>
    <n v="1923"/>
    <x v="1"/>
    <x v="3"/>
    <x v="2"/>
    <x v="1"/>
    <n v="355525"/>
    <x v="2"/>
  </r>
  <r>
    <n v="1890"/>
    <n v="3536"/>
    <x v="2"/>
    <n v="5"/>
    <n v="3"/>
    <x v="1"/>
    <n v="1953"/>
    <x v="0"/>
    <x v="2"/>
    <x v="3"/>
    <x v="1"/>
    <n v="864980"/>
    <x v="3"/>
  </r>
  <r>
    <n v="1891"/>
    <n v="2994"/>
    <x v="2"/>
    <n v="2"/>
    <n v="2"/>
    <x v="2"/>
    <n v="1925"/>
    <x v="1"/>
    <x v="2"/>
    <x v="0"/>
    <x v="1"/>
    <n v="493172"/>
    <x v="1"/>
  </r>
  <r>
    <n v="1892"/>
    <n v="4985"/>
    <x v="1"/>
    <n v="2"/>
    <n v="4"/>
    <x v="1"/>
    <n v="1965"/>
    <x v="0"/>
    <x v="2"/>
    <x v="0"/>
    <x v="1"/>
    <n v="585755"/>
    <x v="1"/>
  </r>
  <r>
    <n v="1893"/>
    <n v="3219"/>
    <x v="2"/>
    <n v="5"/>
    <n v="3"/>
    <x v="2"/>
    <n v="1979"/>
    <x v="2"/>
    <x v="3"/>
    <x v="2"/>
    <x v="0"/>
    <n v="370098"/>
    <x v="2"/>
  </r>
  <r>
    <n v="1894"/>
    <n v="2384"/>
    <x v="0"/>
    <n v="5"/>
    <n v="1"/>
    <x v="1"/>
    <n v="1937"/>
    <x v="1"/>
    <x v="2"/>
    <x v="2"/>
    <x v="1"/>
    <n v="336045"/>
    <x v="2"/>
  </r>
  <r>
    <n v="1895"/>
    <n v="4638"/>
    <x v="1"/>
    <n v="4"/>
    <n v="4"/>
    <x v="0"/>
    <n v="2009"/>
    <x v="3"/>
    <x v="2"/>
    <x v="3"/>
    <x v="0"/>
    <n v="859733"/>
    <x v="3"/>
  </r>
  <r>
    <n v="1896"/>
    <n v="4849"/>
    <x v="1"/>
    <n v="5"/>
    <n v="2"/>
    <x v="0"/>
    <n v="1964"/>
    <x v="0"/>
    <x v="3"/>
    <x v="2"/>
    <x v="0"/>
    <n v="961118"/>
    <x v="3"/>
  </r>
  <r>
    <n v="1897"/>
    <n v="3701"/>
    <x v="2"/>
    <n v="3"/>
    <n v="2"/>
    <x v="2"/>
    <n v="2012"/>
    <x v="3"/>
    <x v="2"/>
    <x v="0"/>
    <x v="0"/>
    <n v="807902"/>
    <x v="3"/>
  </r>
  <r>
    <n v="1898"/>
    <n v="3210"/>
    <x v="2"/>
    <n v="2"/>
    <n v="3"/>
    <x v="2"/>
    <n v="1974"/>
    <x v="0"/>
    <x v="0"/>
    <x v="1"/>
    <x v="1"/>
    <n v="921612"/>
    <x v="3"/>
  </r>
  <r>
    <n v="1899"/>
    <n v="2453"/>
    <x v="0"/>
    <n v="5"/>
    <n v="3"/>
    <x v="1"/>
    <n v="1950"/>
    <x v="1"/>
    <x v="1"/>
    <x v="1"/>
    <x v="1"/>
    <n v="644191"/>
    <x v="3"/>
  </r>
  <r>
    <n v="1900"/>
    <n v="4350"/>
    <x v="1"/>
    <n v="3"/>
    <n v="3"/>
    <x v="1"/>
    <n v="1934"/>
    <x v="1"/>
    <x v="2"/>
    <x v="3"/>
    <x v="0"/>
    <n v="416099"/>
    <x v="1"/>
  </r>
  <r>
    <n v="1901"/>
    <n v="1189"/>
    <x v="0"/>
    <n v="3"/>
    <n v="2"/>
    <x v="0"/>
    <n v="1942"/>
    <x v="1"/>
    <x v="1"/>
    <x v="2"/>
    <x v="0"/>
    <n v="983708"/>
    <x v="3"/>
  </r>
  <r>
    <n v="1902"/>
    <n v="2450"/>
    <x v="0"/>
    <n v="3"/>
    <n v="4"/>
    <x v="1"/>
    <n v="1928"/>
    <x v="1"/>
    <x v="2"/>
    <x v="3"/>
    <x v="0"/>
    <n v="594043"/>
    <x v="1"/>
  </r>
  <r>
    <n v="1903"/>
    <n v="956"/>
    <x v="3"/>
    <n v="3"/>
    <n v="2"/>
    <x v="2"/>
    <n v="1936"/>
    <x v="1"/>
    <x v="2"/>
    <x v="1"/>
    <x v="0"/>
    <n v="371961"/>
    <x v="2"/>
  </r>
  <r>
    <n v="1904"/>
    <n v="2630"/>
    <x v="2"/>
    <n v="4"/>
    <n v="1"/>
    <x v="2"/>
    <n v="1980"/>
    <x v="2"/>
    <x v="0"/>
    <x v="1"/>
    <x v="0"/>
    <n v="838525"/>
    <x v="3"/>
  </r>
  <r>
    <n v="1905"/>
    <n v="4476"/>
    <x v="1"/>
    <n v="3"/>
    <n v="2"/>
    <x v="2"/>
    <n v="1957"/>
    <x v="0"/>
    <x v="3"/>
    <x v="2"/>
    <x v="1"/>
    <n v="306094"/>
    <x v="2"/>
  </r>
  <r>
    <n v="1906"/>
    <n v="4744"/>
    <x v="1"/>
    <n v="4"/>
    <n v="1"/>
    <x v="2"/>
    <n v="1953"/>
    <x v="0"/>
    <x v="1"/>
    <x v="0"/>
    <x v="1"/>
    <n v="512753"/>
    <x v="1"/>
  </r>
  <r>
    <n v="1907"/>
    <n v="1679"/>
    <x v="0"/>
    <n v="4"/>
    <n v="4"/>
    <x v="2"/>
    <n v="1938"/>
    <x v="1"/>
    <x v="3"/>
    <x v="2"/>
    <x v="1"/>
    <n v="932751"/>
    <x v="3"/>
  </r>
  <r>
    <n v="1908"/>
    <n v="4785"/>
    <x v="1"/>
    <n v="3"/>
    <n v="3"/>
    <x v="0"/>
    <n v="1941"/>
    <x v="1"/>
    <x v="0"/>
    <x v="1"/>
    <x v="0"/>
    <n v="335084"/>
    <x v="2"/>
  </r>
  <r>
    <n v="1909"/>
    <n v="4065"/>
    <x v="1"/>
    <n v="2"/>
    <n v="3"/>
    <x v="0"/>
    <n v="1927"/>
    <x v="1"/>
    <x v="0"/>
    <x v="0"/>
    <x v="0"/>
    <n v="749400"/>
    <x v="3"/>
  </r>
  <r>
    <n v="1910"/>
    <n v="1382"/>
    <x v="0"/>
    <n v="3"/>
    <n v="2"/>
    <x v="2"/>
    <n v="1928"/>
    <x v="1"/>
    <x v="1"/>
    <x v="3"/>
    <x v="1"/>
    <n v="703002"/>
    <x v="3"/>
  </r>
  <r>
    <n v="1911"/>
    <n v="899"/>
    <x v="3"/>
    <n v="3"/>
    <n v="3"/>
    <x v="1"/>
    <n v="1942"/>
    <x v="1"/>
    <x v="3"/>
    <x v="1"/>
    <x v="1"/>
    <n v="141544"/>
    <x v="0"/>
  </r>
  <r>
    <n v="1912"/>
    <n v="1108"/>
    <x v="0"/>
    <n v="3"/>
    <n v="4"/>
    <x v="2"/>
    <n v="1902"/>
    <x v="1"/>
    <x v="0"/>
    <x v="3"/>
    <x v="0"/>
    <n v="658725"/>
    <x v="3"/>
  </r>
  <r>
    <n v="1913"/>
    <n v="2138"/>
    <x v="0"/>
    <n v="2"/>
    <n v="3"/>
    <x v="0"/>
    <n v="2015"/>
    <x v="3"/>
    <x v="2"/>
    <x v="0"/>
    <x v="1"/>
    <n v="405113"/>
    <x v="1"/>
  </r>
  <r>
    <n v="1914"/>
    <n v="2648"/>
    <x v="2"/>
    <n v="1"/>
    <n v="2"/>
    <x v="2"/>
    <n v="1909"/>
    <x v="1"/>
    <x v="2"/>
    <x v="3"/>
    <x v="1"/>
    <n v="157001"/>
    <x v="0"/>
  </r>
  <r>
    <n v="1915"/>
    <n v="1882"/>
    <x v="0"/>
    <n v="1"/>
    <n v="4"/>
    <x v="0"/>
    <n v="1958"/>
    <x v="0"/>
    <x v="2"/>
    <x v="1"/>
    <x v="1"/>
    <n v="137725"/>
    <x v="0"/>
  </r>
  <r>
    <n v="1916"/>
    <n v="1903"/>
    <x v="0"/>
    <n v="4"/>
    <n v="1"/>
    <x v="0"/>
    <n v="2005"/>
    <x v="3"/>
    <x v="3"/>
    <x v="2"/>
    <x v="0"/>
    <n v="427928"/>
    <x v="1"/>
  </r>
  <r>
    <n v="1917"/>
    <n v="1319"/>
    <x v="0"/>
    <n v="4"/>
    <n v="2"/>
    <x v="2"/>
    <n v="1913"/>
    <x v="1"/>
    <x v="2"/>
    <x v="3"/>
    <x v="0"/>
    <n v="160675"/>
    <x v="0"/>
  </r>
  <r>
    <n v="1918"/>
    <n v="3792"/>
    <x v="2"/>
    <n v="2"/>
    <n v="1"/>
    <x v="2"/>
    <n v="1975"/>
    <x v="0"/>
    <x v="2"/>
    <x v="1"/>
    <x v="1"/>
    <n v="144266"/>
    <x v="0"/>
  </r>
  <r>
    <n v="1919"/>
    <n v="1319"/>
    <x v="0"/>
    <n v="5"/>
    <n v="4"/>
    <x v="1"/>
    <n v="1946"/>
    <x v="1"/>
    <x v="0"/>
    <x v="1"/>
    <x v="0"/>
    <n v="321380"/>
    <x v="2"/>
  </r>
  <r>
    <n v="1920"/>
    <n v="919"/>
    <x v="3"/>
    <n v="1"/>
    <n v="2"/>
    <x v="0"/>
    <n v="1941"/>
    <x v="1"/>
    <x v="0"/>
    <x v="0"/>
    <x v="1"/>
    <n v="909029"/>
    <x v="3"/>
  </r>
  <r>
    <n v="1921"/>
    <n v="4719"/>
    <x v="1"/>
    <n v="4"/>
    <n v="2"/>
    <x v="1"/>
    <n v="1993"/>
    <x v="2"/>
    <x v="2"/>
    <x v="1"/>
    <x v="1"/>
    <n v="265196"/>
    <x v="2"/>
  </r>
  <r>
    <n v="1922"/>
    <n v="3802"/>
    <x v="2"/>
    <n v="1"/>
    <n v="4"/>
    <x v="2"/>
    <n v="1931"/>
    <x v="1"/>
    <x v="2"/>
    <x v="2"/>
    <x v="0"/>
    <n v="184974"/>
    <x v="0"/>
  </r>
  <r>
    <n v="1923"/>
    <n v="2008"/>
    <x v="0"/>
    <n v="2"/>
    <n v="3"/>
    <x v="0"/>
    <n v="1931"/>
    <x v="1"/>
    <x v="0"/>
    <x v="2"/>
    <x v="0"/>
    <n v="673944"/>
    <x v="3"/>
  </r>
  <r>
    <n v="1924"/>
    <n v="1267"/>
    <x v="0"/>
    <n v="2"/>
    <n v="2"/>
    <x v="1"/>
    <n v="1941"/>
    <x v="1"/>
    <x v="1"/>
    <x v="3"/>
    <x v="0"/>
    <n v="346508"/>
    <x v="2"/>
  </r>
  <r>
    <n v="1925"/>
    <n v="2544"/>
    <x v="2"/>
    <n v="5"/>
    <n v="2"/>
    <x v="1"/>
    <n v="1931"/>
    <x v="1"/>
    <x v="3"/>
    <x v="3"/>
    <x v="1"/>
    <n v="681359"/>
    <x v="3"/>
  </r>
  <r>
    <n v="1926"/>
    <n v="2639"/>
    <x v="2"/>
    <n v="5"/>
    <n v="1"/>
    <x v="1"/>
    <n v="1925"/>
    <x v="1"/>
    <x v="3"/>
    <x v="3"/>
    <x v="1"/>
    <n v="406554"/>
    <x v="1"/>
  </r>
  <r>
    <n v="1927"/>
    <n v="3529"/>
    <x v="2"/>
    <n v="2"/>
    <n v="3"/>
    <x v="2"/>
    <n v="2014"/>
    <x v="3"/>
    <x v="0"/>
    <x v="3"/>
    <x v="1"/>
    <n v="201168"/>
    <x v="2"/>
  </r>
  <r>
    <n v="1928"/>
    <n v="2049"/>
    <x v="0"/>
    <n v="4"/>
    <n v="1"/>
    <x v="2"/>
    <n v="1900"/>
    <x v="1"/>
    <x v="3"/>
    <x v="2"/>
    <x v="0"/>
    <n v="193092"/>
    <x v="0"/>
  </r>
  <r>
    <n v="1929"/>
    <n v="2264"/>
    <x v="0"/>
    <n v="1"/>
    <n v="1"/>
    <x v="2"/>
    <n v="1955"/>
    <x v="0"/>
    <x v="0"/>
    <x v="0"/>
    <x v="1"/>
    <n v="632761"/>
    <x v="3"/>
  </r>
  <r>
    <n v="1930"/>
    <n v="3145"/>
    <x v="2"/>
    <n v="3"/>
    <n v="3"/>
    <x v="0"/>
    <n v="2021"/>
    <x v="3"/>
    <x v="0"/>
    <x v="3"/>
    <x v="1"/>
    <n v="291472"/>
    <x v="2"/>
  </r>
  <r>
    <n v="1931"/>
    <n v="4216"/>
    <x v="1"/>
    <n v="5"/>
    <n v="3"/>
    <x v="2"/>
    <n v="2005"/>
    <x v="3"/>
    <x v="0"/>
    <x v="0"/>
    <x v="1"/>
    <n v="356297"/>
    <x v="2"/>
  </r>
  <r>
    <n v="1932"/>
    <n v="4981"/>
    <x v="1"/>
    <n v="3"/>
    <n v="4"/>
    <x v="0"/>
    <n v="1901"/>
    <x v="1"/>
    <x v="0"/>
    <x v="1"/>
    <x v="1"/>
    <n v="222349"/>
    <x v="2"/>
  </r>
  <r>
    <n v="1933"/>
    <n v="2793"/>
    <x v="2"/>
    <n v="4"/>
    <n v="3"/>
    <x v="1"/>
    <n v="1980"/>
    <x v="2"/>
    <x v="1"/>
    <x v="1"/>
    <x v="0"/>
    <n v="350646"/>
    <x v="2"/>
  </r>
  <r>
    <n v="1934"/>
    <n v="3208"/>
    <x v="2"/>
    <n v="5"/>
    <n v="2"/>
    <x v="1"/>
    <n v="1929"/>
    <x v="1"/>
    <x v="2"/>
    <x v="3"/>
    <x v="0"/>
    <n v="65675"/>
    <x v="0"/>
  </r>
  <r>
    <n v="1935"/>
    <n v="1400"/>
    <x v="0"/>
    <n v="3"/>
    <n v="3"/>
    <x v="2"/>
    <n v="2019"/>
    <x v="3"/>
    <x v="2"/>
    <x v="1"/>
    <x v="0"/>
    <n v="991869"/>
    <x v="3"/>
  </r>
  <r>
    <n v="1936"/>
    <n v="3584"/>
    <x v="2"/>
    <n v="4"/>
    <n v="4"/>
    <x v="1"/>
    <n v="2002"/>
    <x v="3"/>
    <x v="1"/>
    <x v="0"/>
    <x v="1"/>
    <n v="168384"/>
    <x v="0"/>
  </r>
  <r>
    <n v="1937"/>
    <n v="2509"/>
    <x v="2"/>
    <n v="1"/>
    <n v="4"/>
    <x v="2"/>
    <n v="1970"/>
    <x v="0"/>
    <x v="3"/>
    <x v="0"/>
    <x v="1"/>
    <n v="128229"/>
    <x v="0"/>
  </r>
  <r>
    <n v="1938"/>
    <n v="741"/>
    <x v="3"/>
    <n v="4"/>
    <n v="4"/>
    <x v="0"/>
    <n v="1951"/>
    <x v="0"/>
    <x v="3"/>
    <x v="1"/>
    <x v="1"/>
    <n v="663337"/>
    <x v="3"/>
  </r>
  <r>
    <n v="1939"/>
    <n v="2885"/>
    <x v="2"/>
    <n v="5"/>
    <n v="3"/>
    <x v="1"/>
    <n v="1990"/>
    <x v="2"/>
    <x v="2"/>
    <x v="3"/>
    <x v="0"/>
    <n v="757508"/>
    <x v="3"/>
  </r>
  <r>
    <n v="1940"/>
    <n v="4768"/>
    <x v="1"/>
    <n v="2"/>
    <n v="3"/>
    <x v="2"/>
    <n v="1908"/>
    <x v="1"/>
    <x v="3"/>
    <x v="0"/>
    <x v="0"/>
    <n v="401301"/>
    <x v="1"/>
  </r>
  <r>
    <n v="1941"/>
    <n v="1171"/>
    <x v="0"/>
    <n v="1"/>
    <n v="1"/>
    <x v="1"/>
    <n v="1921"/>
    <x v="1"/>
    <x v="2"/>
    <x v="0"/>
    <x v="0"/>
    <n v="270319"/>
    <x v="2"/>
  </r>
  <r>
    <n v="1942"/>
    <n v="663"/>
    <x v="3"/>
    <n v="3"/>
    <n v="1"/>
    <x v="1"/>
    <n v="1933"/>
    <x v="1"/>
    <x v="2"/>
    <x v="2"/>
    <x v="0"/>
    <n v="679999"/>
    <x v="3"/>
  </r>
  <r>
    <n v="1943"/>
    <n v="964"/>
    <x v="3"/>
    <n v="5"/>
    <n v="2"/>
    <x v="2"/>
    <n v="2009"/>
    <x v="3"/>
    <x v="1"/>
    <x v="3"/>
    <x v="0"/>
    <n v="684378"/>
    <x v="3"/>
  </r>
  <r>
    <n v="1944"/>
    <n v="3542"/>
    <x v="2"/>
    <n v="2"/>
    <n v="1"/>
    <x v="1"/>
    <n v="1948"/>
    <x v="1"/>
    <x v="3"/>
    <x v="2"/>
    <x v="1"/>
    <n v="929753"/>
    <x v="3"/>
  </r>
  <r>
    <n v="1945"/>
    <n v="2942"/>
    <x v="2"/>
    <n v="4"/>
    <n v="2"/>
    <x v="1"/>
    <n v="1900"/>
    <x v="1"/>
    <x v="1"/>
    <x v="1"/>
    <x v="0"/>
    <n v="776262"/>
    <x v="3"/>
  </r>
  <r>
    <n v="1946"/>
    <n v="2855"/>
    <x v="2"/>
    <n v="2"/>
    <n v="4"/>
    <x v="1"/>
    <n v="1972"/>
    <x v="0"/>
    <x v="2"/>
    <x v="1"/>
    <x v="0"/>
    <n v="862897"/>
    <x v="3"/>
  </r>
  <r>
    <n v="1947"/>
    <n v="4778"/>
    <x v="1"/>
    <n v="5"/>
    <n v="1"/>
    <x v="1"/>
    <n v="1983"/>
    <x v="2"/>
    <x v="2"/>
    <x v="2"/>
    <x v="0"/>
    <n v="868718"/>
    <x v="3"/>
  </r>
  <r>
    <n v="1948"/>
    <n v="3057"/>
    <x v="2"/>
    <n v="5"/>
    <n v="3"/>
    <x v="0"/>
    <n v="1952"/>
    <x v="0"/>
    <x v="2"/>
    <x v="3"/>
    <x v="1"/>
    <n v="104795"/>
    <x v="0"/>
  </r>
  <r>
    <n v="1949"/>
    <n v="1045"/>
    <x v="0"/>
    <n v="2"/>
    <n v="1"/>
    <x v="1"/>
    <n v="1982"/>
    <x v="2"/>
    <x v="0"/>
    <x v="0"/>
    <x v="0"/>
    <n v="420283"/>
    <x v="1"/>
  </r>
  <r>
    <n v="1950"/>
    <n v="4335"/>
    <x v="1"/>
    <n v="4"/>
    <n v="2"/>
    <x v="1"/>
    <n v="1999"/>
    <x v="2"/>
    <x v="0"/>
    <x v="1"/>
    <x v="0"/>
    <n v="784543"/>
    <x v="3"/>
  </r>
  <r>
    <n v="1951"/>
    <n v="1093"/>
    <x v="0"/>
    <n v="2"/>
    <n v="1"/>
    <x v="2"/>
    <n v="2023"/>
    <x v="3"/>
    <x v="0"/>
    <x v="3"/>
    <x v="0"/>
    <n v="153845"/>
    <x v="0"/>
  </r>
  <r>
    <n v="1952"/>
    <n v="4304"/>
    <x v="1"/>
    <n v="5"/>
    <n v="4"/>
    <x v="0"/>
    <n v="1939"/>
    <x v="1"/>
    <x v="1"/>
    <x v="3"/>
    <x v="1"/>
    <n v="362130"/>
    <x v="2"/>
  </r>
  <r>
    <n v="1953"/>
    <n v="1959"/>
    <x v="0"/>
    <n v="5"/>
    <n v="3"/>
    <x v="2"/>
    <n v="1944"/>
    <x v="1"/>
    <x v="2"/>
    <x v="1"/>
    <x v="1"/>
    <n v="387540"/>
    <x v="2"/>
  </r>
  <r>
    <n v="1954"/>
    <n v="3993"/>
    <x v="2"/>
    <n v="3"/>
    <n v="2"/>
    <x v="2"/>
    <n v="1967"/>
    <x v="0"/>
    <x v="3"/>
    <x v="1"/>
    <x v="0"/>
    <n v="891610"/>
    <x v="3"/>
  </r>
  <r>
    <n v="1955"/>
    <n v="3101"/>
    <x v="2"/>
    <n v="3"/>
    <n v="3"/>
    <x v="2"/>
    <n v="1908"/>
    <x v="1"/>
    <x v="1"/>
    <x v="3"/>
    <x v="0"/>
    <n v="847177"/>
    <x v="3"/>
  </r>
  <r>
    <n v="1956"/>
    <n v="2944"/>
    <x v="2"/>
    <n v="1"/>
    <n v="3"/>
    <x v="0"/>
    <n v="2004"/>
    <x v="3"/>
    <x v="1"/>
    <x v="0"/>
    <x v="0"/>
    <n v="828520"/>
    <x v="3"/>
  </r>
  <r>
    <n v="1957"/>
    <n v="3172"/>
    <x v="2"/>
    <n v="5"/>
    <n v="2"/>
    <x v="2"/>
    <n v="1921"/>
    <x v="1"/>
    <x v="1"/>
    <x v="2"/>
    <x v="0"/>
    <n v="303730"/>
    <x v="2"/>
  </r>
  <r>
    <n v="1958"/>
    <n v="4700"/>
    <x v="1"/>
    <n v="3"/>
    <n v="3"/>
    <x v="2"/>
    <n v="1917"/>
    <x v="1"/>
    <x v="3"/>
    <x v="1"/>
    <x v="1"/>
    <n v="253426"/>
    <x v="2"/>
  </r>
  <r>
    <n v="1959"/>
    <n v="516"/>
    <x v="3"/>
    <n v="2"/>
    <n v="3"/>
    <x v="2"/>
    <n v="1975"/>
    <x v="0"/>
    <x v="2"/>
    <x v="2"/>
    <x v="0"/>
    <n v="916069"/>
    <x v="3"/>
  </r>
  <r>
    <n v="1960"/>
    <n v="3691"/>
    <x v="2"/>
    <n v="4"/>
    <n v="1"/>
    <x v="1"/>
    <n v="2005"/>
    <x v="3"/>
    <x v="0"/>
    <x v="3"/>
    <x v="1"/>
    <n v="972532"/>
    <x v="3"/>
  </r>
  <r>
    <n v="1961"/>
    <n v="892"/>
    <x v="3"/>
    <n v="2"/>
    <n v="3"/>
    <x v="2"/>
    <n v="1942"/>
    <x v="1"/>
    <x v="2"/>
    <x v="2"/>
    <x v="0"/>
    <n v="279333"/>
    <x v="2"/>
  </r>
  <r>
    <n v="1962"/>
    <n v="924"/>
    <x v="3"/>
    <n v="4"/>
    <n v="3"/>
    <x v="0"/>
    <n v="1938"/>
    <x v="1"/>
    <x v="2"/>
    <x v="0"/>
    <x v="1"/>
    <n v="622854"/>
    <x v="3"/>
  </r>
  <r>
    <n v="1963"/>
    <n v="1071"/>
    <x v="0"/>
    <n v="3"/>
    <n v="3"/>
    <x v="0"/>
    <n v="1972"/>
    <x v="0"/>
    <x v="1"/>
    <x v="3"/>
    <x v="1"/>
    <n v="880154"/>
    <x v="3"/>
  </r>
  <r>
    <n v="1964"/>
    <n v="4131"/>
    <x v="1"/>
    <n v="1"/>
    <n v="3"/>
    <x v="1"/>
    <n v="1905"/>
    <x v="1"/>
    <x v="1"/>
    <x v="0"/>
    <x v="0"/>
    <n v="923055"/>
    <x v="3"/>
  </r>
  <r>
    <n v="1965"/>
    <n v="1620"/>
    <x v="0"/>
    <n v="2"/>
    <n v="2"/>
    <x v="0"/>
    <n v="1982"/>
    <x v="2"/>
    <x v="1"/>
    <x v="3"/>
    <x v="1"/>
    <n v="423218"/>
    <x v="1"/>
  </r>
  <r>
    <n v="1966"/>
    <n v="741"/>
    <x v="3"/>
    <n v="2"/>
    <n v="4"/>
    <x v="0"/>
    <n v="1947"/>
    <x v="1"/>
    <x v="0"/>
    <x v="0"/>
    <x v="0"/>
    <n v="649262"/>
    <x v="3"/>
  </r>
  <r>
    <n v="1967"/>
    <n v="4397"/>
    <x v="1"/>
    <n v="2"/>
    <n v="1"/>
    <x v="1"/>
    <n v="2010"/>
    <x v="3"/>
    <x v="0"/>
    <x v="3"/>
    <x v="1"/>
    <n v="526908"/>
    <x v="1"/>
  </r>
  <r>
    <n v="1968"/>
    <n v="4595"/>
    <x v="1"/>
    <n v="4"/>
    <n v="3"/>
    <x v="2"/>
    <n v="1906"/>
    <x v="1"/>
    <x v="0"/>
    <x v="0"/>
    <x v="1"/>
    <n v="396228"/>
    <x v="2"/>
  </r>
  <r>
    <n v="1969"/>
    <n v="2779"/>
    <x v="2"/>
    <n v="3"/>
    <n v="3"/>
    <x v="1"/>
    <n v="1979"/>
    <x v="2"/>
    <x v="2"/>
    <x v="3"/>
    <x v="0"/>
    <n v="220951"/>
    <x v="2"/>
  </r>
  <r>
    <n v="1970"/>
    <n v="1288"/>
    <x v="0"/>
    <n v="2"/>
    <n v="2"/>
    <x v="2"/>
    <n v="1968"/>
    <x v="0"/>
    <x v="1"/>
    <x v="0"/>
    <x v="0"/>
    <n v="467983"/>
    <x v="1"/>
  </r>
  <r>
    <n v="1971"/>
    <n v="1214"/>
    <x v="0"/>
    <n v="2"/>
    <n v="4"/>
    <x v="2"/>
    <n v="1915"/>
    <x v="1"/>
    <x v="3"/>
    <x v="3"/>
    <x v="1"/>
    <n v="298595"/>
    <x v="2"/>
  </r>
  <r>
    <n v="1972"/>
    <n v="3349"/>
    <x v="2"/>
    <n v="1"/>
    <n v="3"/>
    <x v="0"/>
    <n v="1900"/>
    <x v="1"/>
    <x v="2"/>
    <x v="0"/>
    <x v="1"/>
    <n v="953785"/>
    <x v="3"/>
  </r>
  <r>
    <n v="1973"/>
    <n v="1275"/>
    <x v="0"/>
    <n v="1"/>
    <n v="2"/>
    <x v="1"/>
    <n v="2014"/>
    <x v="3"/>
    <x v="0"/>
    <x v="1"/>
    <x v="0"/>
    <n v="678705"/>
    <x v="3"/>
  </r>
  <r>
    <n v="1974"/>
    <n v="4526"/>
    <x v="1"/>
    <n v="3"/>
    <n v="1"/>
    <x v="0"/>
    <n v="1936"/>
    <x v="1"/>
    <x v="3"/>
    <x v="2"/>
    <x v="0"/>
    <n v="904531"/>
    <x v="3"/>
  </r>
  <r>
    <n v="1975"/>
    <n v="2747"/>
    <x v="2"/>
    <n v="3"/>
    <n v="1"/>
    <x v="0"/>
    <n v="2002"/>
    <x v="3"/>
    <x v="3"/>
    <x v="3"/>
    <x v="0"/>
    <n v="229729"/>
    <x v="2"/>
  </r>
  <r>
    <n v="1976"/>
    <n v="578"/>
    <x v="3"/>
    <n v="5"/>
    <n v="3"/>
    <x v="2"/>
    <n v="1982"/>
    <x v="2"/>
    <x v="1"/>
    <x v="0"/>
    <x v="1"/>
    <n v="189570"/>
    <x v="0"/>
  </r>
  <r>
    <n v="1977"/>
    <n v="4426"/>
    <x v="1"/>
    <n v="1"/>
    <n v="3"/>
    <x v="0"/>
    <n v="2017"/>
    <x v="3"/>
    <x v="3"/>
    <x v="1"/>
    <x v="0"/>
    <n v="254739"/>
    <x v="2"/>
  </r>
  <r>
    <n v="1978"/>
    <n v="1355"/>
    <x v="0"/>
    <n v="5"/>
    <n v="4"/>
    <x v="1"/>
    <n v="1936"/>
    <x v="1"/>
    <x v="0"/>
    <x v="3"/>
    <x v="0"/>
    <n v="337251"/>
    <x v="2"/>
  </r>
  <r>
    <n v="1979"/>
    <n v="2648"/>
    <x v="2"/>
    <n v="4"/>
    <n v="4"/>
    <x v="0"/>
    <n v="1980"/>
    <x v="2"/>
    <x v="1"/>
    <x v="3"/>
    <x v="1"/>
    <n v="734153"/>
    <x v="3"/>
  </r>
  <r>
    <n v="1980"/>
    <n v="1531"/>
    <x v="0"/>
    <n v="5"/>
    <n v="3"/>
    <x v="0"/>
    <n v="1963"/>
    <x v="0"/>
    <x v="3"/>
    <x v="3"/>
    <x v="0"/>
    <n v="970200"/>
    <x v="3"/>
  </r>
  <r>
    <n v="1981"/>
    <n v="3771"/>
    <x v="2"/>
    <n v="2"/>
    <n v="2"/>
    <x v="2"/>
    <n v="1989"/>
    <x v="2"/>
    <x v="1"/>
    <x v="2"/>
    <x v="0"/>
    <n v="890271"/>
    <x v="3"/>
  </r>
  <r>
    <n v="1982"/>
    <n v="4076"/>
    <x v="1"/>
    <n v="5"/>
    <n v="4"/>
    <x v="1"/>
    <n v="1985"/>
    <x v="2"/>
    <x v="3"/>
    <x v="0"/>
    <x v="0"/>
    <n v="663529"/>
    <x v="3"/>
  </r>
  <r>
    <n v="1983"/>
    <n v="4682"/>
    <x v="1"/>
    <n v="3"/>
    <n v="3"/>
    <x v="0"/>
    <n v="1961"/>
    <x v="0"/>
    <x v="2"/>
    <x v="0"/>
    <x v="0"/>
    <n v="597685"/>
    <x v="1"/>
  </r>
  <r>
    <n v="1984"/>
    <n v="3956"/>
    <x v="2"/>
    <n v="4"/>
    <n v="4"/>
    <x v="2"/>
    <n v="1971"/>
    <x v="0"/>
    <x v="2"/>
    <x v="3"/>
    <x v="1"/>
    <n v="581992"/>
    <x v="1"/>
  </r>
  <r>
    <n v="1985"/>
    <n v="4006"/>
    <x v="1"/>
    <n v="2"/>
    <n v="3"/>
    <x v="0"/>
    <n v="1960"/>
    <x v="0"/>
    <x v="0"/>
    <x v="3"/>
    <x v="0"/>
    <n v="852874"/>
    <x v="3"/>
  </r>
  <r>
    <n v="1986"/>
    <n v="907"/>
    <x v="3"/>
    <n v="5"/>
    <n v="1"/>
    <x v="1"/>
    <n v="1932"/>
    <x v="1"/>
    <x v="2"/>
    <x v="3"/>
    <x v="0"/>
    <n v="769148"/>
    <x v="3"/>
  </r>
  <r>
    <n v="1987"/>
    <n v="3211"/>
    <x v="2"/>
    <n v="4"/>
    <n v="3"/>
    <x v="0"/>
    <n v="1965"/>
    <x v="0"/>
    <x v="2"/>
    <x v="1"/>
    <x v="0"/>
    <n v="179576"/>
    <x v="0"/>
  </r>
  <r>
    <n v="1988"/>
    <n v="3588"/>
    <x v="2"/>
    <n v="4"/>
    <n v="1"/>
    <x v="0"/>
    <n v="1929"/>
    <x v="1"/>
    <x v="2"/>
    <x v="3"/>
    <x v="0"/>
    <n v="59765"/>
    <x v="0"/>
  </r>
  <r>
    <n v="1989"/>
    <n v="2168"/>
    <x v="0"/>
    <n v="2"/>
    <n v="4"/>
    <x v="2"/>
    <n v="2010"/>
    <x v="3"/>
    <x v="3"/>
    <x v="2"/>
    <x v="0"/>
    <n v="427972"/>
    <x v="1"/>
  </r>
  <r>
    <n v="1990"/>
    <n v="647"/>
    <x v="3"/>
    <n v="5"/>
    <n v="3"/>
    <x v="0"/>
    <n v="1919"/>
    <x v="1"/>
    <x v="3"/>
    <x v="0"/>
    <x v="0"/>
    <n v="60002"/>
    <x v="0"/>
  </r>
  <r>
    <n v="1991"/>
    <n v="4827"/>
    <x v="1"/>
    <n v="4"/>
    <n v="4"/>
    <x v="2"/>
    <n v="1959"/>
    <x v="0"/>
    <x v="1"/>
    <x v="2"/>
    <x v="1"/>
    <n v="834141"/>
    <x v="3"/>
  </r>
  <r>
    <n v="1992"/>
    <n v="4397"/>
    <x v="1"/>
    <n v="4"/>
    <n v="1"/>
    <x v="1"/>
    <n v="1981"/>
    <x v="2"/>
    <x v="3"/>
    <x v="3"/>
    <x v="1"/>
    <n v="847822"/>
    <x v="3"/>
  </r>
  <r>
    <n v="1993"/>
    <n v="2450"/>
    <x v="0"/>
    <n v="1"/>
    <n v="3"/>
    <x v="0"/>
    <n v="2006"/>
    <x v="3"/>
    <x v="2"/>
    <x v="1"/>
    <x v="1"/>
    <n v="225508"/>
    <x v="2"/>
  </r>
  <r>
    <n v="1994"/>
    <n v="865"/>
    <x v="3"/>
    <n v="4"/>
    <n v="4"/>
    <x v="1"/>
    <n v="2020"/>
    <x v="3"/>
    <x v="3"/>
    <x v="3"/>
    <x v="0"/>
    <n v="308446"/>
    <x v="2"/>
  </r>
  <r>
    <n v="1995"/>
    <n v="2174"/>
    <x v="0"/>
    <n v="1"/>
    <n v="1"/>
    <x v="1"/>
    <n v="1973"/>
    <x v="0"/>
    <x v="0"/>
    <x v="3"/>
    <x v="0"/>
    <n v="527698"/>
    <x v="1"/>
  </r>
  <r>
    <n v="1996"/>
    <n v="4994"/>
    <x v="1"/>
    <n v="5"/>
    <n v="4"/>
    <x v="0"/>
    <n v="1923"/>
    <x v="1"/>
    <x v="1"/>
    <x v="3"/>
    <x v="0"/>
    <n v="295620"/>
    <x v="2"/>
  </r>
  <r>
    <n v="1997"/>
    <n v="3046"/>
    <x v="2"/>
    <n v="5"/>
    <n v="2"/>
    <x v="2"/>
    <n v="2019"/>
    <x v="3"/>
    <x v="1"/>
    <x v="3"/>
    <x v="1"/>
    <n v="580929"/>
    <x v="1"/>
  </r>
  <r>
    <n v="1998"/>
    <n v="1062"/>
    <x v="0"/>
    <n v="5"/>
    <n v="1"/>
    <x v="1"/>
    <n v="1903"/>
    <x v="1"/>
    <x v="3"/>
    <x v="3"/>
    <x v="0"/>
    <n v="476925"/>
    <x v="1"/>
  </r>
  <r>
    <n v="1999"/>
    <n v="4062"/>
    <x v="1"/>
    <n v="3"/>
    <n v="1"/>
    <x v="1"/>
    <n v="1936"/>
    <x v="1"/>
    <x v="2"/>
    <x v="0"/>
    <x v="1"/>
    <n v="161119"/>
    <x v="0"/>
  </r>
  <r>
    <n v="2000"/>
    <n v="2989"/>
    <x v="2"/>
    <n v="5"/>
    <n v="1"/>
    <x v="0"/>
    <n v="1903"/>
    <x v="1"/>
    <x v="1"/>
    <x v="2"/>
    <x v="0"/>
    <n v="4825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770791-C5AD-4007-9DDE-0C85120FE775}" name="PivotTable5"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ondition" colHeaderCaption="Average Price">
  <location ref="G9:K14" firstHeaderRow="1" firstDataRow="2" firstDataCol="1"/>
  <pivotFields count="13">
    <pivotField showAll="0"/>
    <pivotField showAll="0"/>
    <pivotField showAll="0">
      <items count="6">
        <item m="1" x="4"/>
        <item x="1"/>
        <item x="2"/>
        <item x="0"/>
        <item x="3"/>
        <item t="default"/>
      </items>
    </pivotField>
    <pivotField showAll="0"/>
    <pivotField showAll="0"/>
    <pivotField showAll="0"/>
    <pivotField showAll="0"/>
    <pivotField showAll="0">
      <items count="5">
        <item x="0"/>
        <item x="2"/>
        <item x="3"/>
        <item x="1"/>
        <item t="default"/>
      </items>
    </pivotField>
    <pivotField showAll="0">
      <items count="5">
        <item x="0"/>
        <item x="3"/>
        <item x="1"/>
        <item x="2"/>
        <item t="default"/>
      </items>
    </pivotField>
    <pivotField axis="axisRow" showAll="0">
      <items count="5">
        <item x="0"/>
        <item x="2"/>
        <item x="1"/>
        <item x="3"/>
        <item t="default"/>
      </items>
    </pivotField>
    <pivotField showAll="0">
      <items count="3">
        <item x="0"/>
        <item x="1"/>
        <item t="default"/>
      </items>
    </pivotField>
    <pivotField dataField="1" showAll="0"/>
    <pivotField axis="axisCol" showAll="0">
      <items count="5">
        <item x="1"/>
        <item x="0"/>
        <item x="2"/>
        <item x="3"/>
        <item t="default"/>
      </items>
    </pivotField>
  </pivotFields>
  <rowFields count="1">
    <field x="9"/>
  </rowFields>
  <rowItems count="4">
    <i>
      <x/>
    </i>
    <i>
      <x v="1"/>
    </i>
    <i>
      <x v="2"/>
    </i>
    <i>
      <x v="3"/>
    </i>
  </rowItems>
  <colFields count="1">
    <field x="12"/>
  </colFields>
  <colItems count="4">
    <i>
      <x/>
    </i>
    <i>
      <x v="1"/>
    </i>
    <i>
      <x v="2"/>
    </i>
    <i>
      <x v="3"/>
    </i>
  </colItems>
  <dataFields count="1">
    <dataField name="Average Price According to Condition" fld="11" subtotal="average" baseField="9" baseItem="0" numFmtId="164"/>
  </dataFields>
  <formats count="1">
    <format dxfId="163">
      <pivotArea outline="0" collapsedLevelsAreSubtotals="1" fieldPosition="0"/>
    </format>
  </formats>
  <chartFormats count="9">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4E37E9-8F00-4B25-A430-5EFF9A6EF478}" name="PivotTable4"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Floors" colHeaderCaption="Average Price and Garage">
  <location ref="A16:C20" firstHeaderRow="1" firstDataRow="2" firstDataCol="1"/>
  <pivotFields count="13">
    <pivotField showAll="0"/>
    <pivotField showAll="0"/>
    <pivotField showAll="0">
      <items count="6">
        <item m="1" x="4"/>
        <item x="1"/>
        <item x="2"/>
        <item x="0"/>
        <item x="3"/>
        <item t="default"/>
      </items>
    </pivotField>
    <pivotField showAll="0"/>
    <pivotField showAll="0"/>
    <pivotField axis="axisRow" showAll="0">
      <items count="4">
        <item x="2"/>
        <item x="1"/>
        <item x="0"/>
        <item t="default"/>
      </items>
    </pivotField>
    <pivotField showAll="0"/>
    <pivotField showAll="0">
      <items count="5">
        <item x="0"/>
        <item x="2"/>
        <item x="3"/>
        <item x="1"/>
        <item t="default"/>
      </items>
    </pivotField>
    <pivotField showAll="0">
      <items count="5">
        <item x="0"/>
        <item x="3"/>
        <item x="1"/>
        <item x="2"/>
        <item t="default"/>
      </items>
    </pivotField>
    <pivotField showAll="0">
      <items count="5">
        <item x="0"/>
        <item x="2"/>
        <item x="1"/>
        <item x="3"/>
        <item t="default"/>
      </items>
    </pivotField>
    <pivotField axis="axisCol" showAll="0">
      <items count="3">
        <item x="0"/>
        <item x="1"/>
        <item t="default"/>
      </items>
    </pivotField>
    <pivotField dataField="1" showAll="0"/>
    <pivotField showAll="0">
      <items count="5">
        <item x="1"/>
        <item x="0"/>
        <item x="2"/>
        <item x="3"/>
        <item t="default"/>
      </items>
    </pivotField>
  </pivotFields>
  <rowFields count="1">
    <field x="5"/>
  </rowFields>
  <rowItems count="3">
    <i>
      <x/>
    </i>
    <i>
      <x v="1"/>
    </i>
    <i>
      <x v="2"/>
    </i>
  </rowItems>
  <colFields count="1">
    <field x="10"/>
  </colFields>
  <colItems count="2">
    <i>
      <x/>
    </i>
    <i>
      <x v="1"/>
    </i>
  </colItems>
  <dataFields count="1">
    <dataField name="Average Price According to Floors and Garage " fld="11" subtotal="average" baseField="5" baseItem="1" numFmtId="164"/>
  </dataFields>
  <formats count="1">
    <format dxfId="162">
      <pivotArea outline="0" collapsedLevelsAreSubtotals="1" fieldPosition="0"/>
    </format>
  </format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40BC3D-D9C5-44D5-A1D7-0F12A82A31A1}" name="PivotTable3"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Location" colHeaderCaption="Average Price">
  <location ref="A9:E14" firstHeaderRow="1" firstDataRow="2" firstDataCol="1"/>
  <pivotFields count="13">
    <pivotField showAll="0"/>
    <pivotField showAll="0"/>
    <pivotField showAll="0">
      <items count="6">
        <item m="1" x="4"/>
        <item x="1"/>
        <item x="2"/>
        <item x="0"/>
        <item x="3"/>
        <item t="default"/>
      </items>
    </pivotField>
    <pivotField showAll="0"/>
    <pivotField showAll="0"/>
    <pivotField showAll="0"/>
    <pivotField showAll="0"/>
    <pivotField showAll="0">
      <items count="5">
        <item x="0"/>
        <item x="2"/>
        <item x="3"/>
        <item x="1"/>
        <item t="default"/>
      </items>
    </pivotField>
    <pivotField axis="axisRow" showAll="0">
      <items count="5">
        <item x="0"/>
        <item x="3"/>
        <item x="1"/>
        <item x="2"/>
        <item t="default"/>
      </items>
    </pivotField>
    <pivotField showAll="0">
      <items count="5">
        <item x="0"/>
        <item x="2"/>
        <item x="1"/>
        <item x="3"/>
        <item t="default"/>
      </items>
    </pivotField>
    <pivotField showAll="0">
      <items count="3">
        <item x="0"/>
        <item x="1"/>
        <item t="default"/>
      </items>
    </pivotField>
    <pivotField dataField="1" numFmtId="164" showAll="0"/>
    <pivotField axis="axisCol" showAll="0">
      <items count="5">
        <item x="1"/>
        <item x="0"/>
        <item x="2"/>
        <item x="3"/>
        <item t="default"/>
      </items>
    </pivotField>
  </pivotFields>
  <rowFields count="1">
    <field x="8"/>
  </rowFields>
  <rowItems count="4">
    <i>
      <x/>
    </i>
    <i>
      <x v="1"/>
    </i>
    <i>
      <x v="2"/>
    </i>
    <i>
      <x v="3"/>
    </i>
  </rowItems>
  <colFields count="1">
    <field x="12"/>
  </colFields>
  <colItems count="4">
    <i>
      <x/>
    </i>
    <i>
      <x v="1"/>
    </i>
    <i>
      <x v="2"/>
    </i>
    <i>
      <x v="3"/>
    </i>
  </colItems>
  <dataFields count="1">
    <dataField name="Average Price According to Location" fld="11" subtotal="average" baseField="8" baseItem="0" numFmtId="164"/>
  </dataFields>
  <chartFormats count="9">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E6B03D-301E-4A3F-80EE-E7F17E817752}" name="PivotTable2"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Years" colHeaderCaption="Average Price">
  <location ref="G2:K7" firstHeaderRow="1" firstDataRow="2" firstDataCol="1"/>
  <pivotFields count="13">
    <pivotField showAll="0"/>
    <pivotField showAll="0"/>
    <pivotField showAll="0">
      <items count="6">
        <item m="1" x="4"/>
        <item x="1"/>
        <item x="2"/>
        <item x="0"/>
        <item x="3"/>
        <item t="default"/>
      </items>
    </pivotField>
    <pivotField showAll="0"/>
    <pivotField showAll="0"/>
    <pivotField showAll="0"/>
    <pivotField showAll="0"/>
    <pivotField axis="axisRow" showAll="0">
      <items count="5">
        <item x="0"/>
        <item x="2"/>
        <item x="3"/>
        <item x="1"/>
        <item t="default"/>
      </items>
    </pivotField>
    <pivotField showAll="0">
      <items count="5">
        <item x="0"/>
        <item x="3"/>
        <item x="1"/>
        <item x="2"/>
        <item t="default"/>
      </items>
    </pivotField>
    <pivotField showAll="0">
      <items count="5">
        <item x="0"/>
        <item x="2"/>
        <item x="1"/>
        <item x="3"/>
        <item t="default"/>
      </items>
    </pivotField>
    <pivotField showAll="0">
      <items count="3">
        <item x="0"/>
        <item x="1"/>
        <item t="default"/>
      </items>
    </pivotField>
    <pivotField dataField="1" numFmtId="164" showAll="0"/>
    <pivotField axis="axisCol" showAll="0">
      <items count="5">
        <item x="1"/>
        <item x="0"/>
        <item x="2"/>
        <item x="3"/>
        <item t="default"/>
      </items>
    </pivotField>
  </pivotFields>
  <rowFields count="1">
    <field x="7"/>
  </rowFields>
  <rowItems count="4">
    <i>
      <x/>
    </i>
    <i>
      <x v="1"/>
    </i>
    <i>
      <x v="2"/>
    </i>
    <i>
      <x v="3"/>
    </i>
  </rowItems>
  <colFields count="1">
    <field x="12"/>
  </colFields>
  <colItems count="4">
    <i>
      <x/>
    </i>
    <i>
      <x v="1"/>
    </i>
    <i>
      <x v="2"/>
    </i>
    <i>
      <x v="3"/>
    </i>
  </colItems>
  <dataFields count="1">
    <dataField name="Average Price According to Years" fld="11" subtotal="average" baseField="7" baseItem="0" numFmtId="164"/>
  </dataFields>
  <chartFormats count="9">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 chart="5" format="2" series="1">
      <pivotArea type="data" outline="0" fieldPosition="0">
        <references count="2">
          <reference field="4294967294" count="1" selected="0">
            <x v="0"/>
          </reference>
          <reference field="12" count="1" selected="0">
            <x v="2"/>
          </reference>
        </references>
      </pivotArea>
    </chartFormat>
    <chartFormat chart="5" format="3" series="1">
      <pivotArea type="data" outline="0" fieldPosition="0">
        <references count="2">
          <reference field="4294967294" count="1" selected="0">
            <x v="0"/>
          </reference>
          <reference field="12" count="1" selected="0">
            <x v="3"/>
          </reference>
        </references>
      </pivotArea>
    </chartFormat>
    <chartFormat chart="7" format="8" series="1">
      <pivotArea type="data" outline="0" fieldPosition="0">
        <references count="2">
          <reference field="4294967294" count="1" selected="0">
            <x v="0"/>
          </reference>
          <reference field="12" count="1" selected="0">
            <x v="0"/>
          </reference>
        </references>
      </pivotArea>
    </chartFormat>
    <chartFormat chart="7" format="9" series="1">
      <pivotArea type="data" outline="0" fieldPosition="0">
        <references count="2">
          <reference field="4294967294" count="1" selected="0">
            <x v="0"/>
          </reference>
          <reference field="12" count="1" selected="0">
            <x v="1"/>
          </reference>
        </references>
      </pivotArea>
    </chartFormat>
    <chartFormat chart="7" format="10" series="1">
      <pivotArea type="data" outline="0" fieldPosition="0">
        <references count="2">
          <reference field="4294967294" count="1" selected="0">
            <x v="0"/>
          </reference>
          <reference field="12" count="1" selected="0">
            <x v="2"/>
          </reference>
        </references>
      </pivotArea>
    </chartFormat>
    <chartFormat chart="7" format="11" series="1">
      <pivotArea type="data" outline="0" fieldPosition="0">
        <references count="2">
          <reference field="4294967294" count="1" selected="0">
            <x v="0"/>
          </reference>
          <reference field="12" count="1" selected="0">
            <x v="3"/>
          </reference>
        </references>
      </pivotArea>
    </chartFormat>
    <chartFormat chart="7" format="1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62BEE7-C7A0-4912-9D2B-7E0ACD14B278}" name="PivotTable1"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Area" colHeaderCaption="Average Price">
  <location ref="A2:E7" firstHeaderRow="1" firstDataRow="2" firstDataCol="1"/>
  <pivotFields count="13">
    <pivotField subtotalTop="0" showAll="0" defaultSubtotal="0"/>
    <pivotField subtotalTop="0" showAll="0" defaultSubtotal="0"/>
    <pivotField axis="axisRow" subtotalTop="0" showAll="0" defaultSubtotal="0">
      <items count="5">
        <item m="1" x="4"/>
        <item x="1"/>
        <item x="2"/>
        <item x="0"/>
        <item x="3"/>
      </items>
    </pivotField>
    <pivotField subtotalTop="0" showAll="0" defaultSubtotal="0"/>
    <pivotField subtotalTop="0" showAll="0" defaultSubtotal="0"/>
    <pivotField subtotalTop="0" showAll="0" defaultSubtotal="0"/>
    <pivotField subtotalTop="0" showAll="0" defaultSubtotal="0"/>
    <pivotField subtotalTop="0" showAll="0" defaultSubtotal="0">
      <items count="4">
        <item x="0"/>
        <item x="2"/>
        <item x="3"/>
        <item x="1"/>
      </items>
    </pivotField>
    <pivotField subtotalTop="0" showAll="0" defaultSubtotal="0">
      <items count="4">
        <item x="0"/>
        <item x="3"/>
        <item x="1"/>
        <item x="2"/>
      </items>
    </pivotField>
    <pivotField subtotalTop="0" showAll="0" defaultSubtotal="0">
      <items count="4">
        <item x="0"/>
        <item x="2"/>
        <item x="1"/>
        <item x="3"/>
      </items>
    </pivotField>
    <pivotField subtotalTop="0" showAll="0" defaultSubtotal="0">
      <items count="2">
        <item x="0"/>
        <item x="1"/>
      </items>
    </pivotField>
    <pivotField dataField="1" numFmtId="164" subtotalTop="0" showAll="0" defaultSubtotal="0"/>
    <pivotField axis="axisCol" subtotalTop="0" showAll="0" defaultSubtotal="0">
      <items count="4">
        <item x="1"/>
        <item x="0"/>
        <item x="2"/>
        <item x="3"/>
      </items>
    </pivotField>
  </pivotFields>
  <rowFields count="1">
    <field x="2"/>
  </rowFields>
  <rowItems count="4">
    <i>
      <x v="1"/>
    </i>
    <i>
      <x v="2"/>
    </i>
    <i>
      <x v="3"/>
    </i>
    <i>
      <x v="4"/>
    </i>
  </rowItems>
  <colFields count="1">
    <field x="12"/>
  </colFields>
  <colItems count="4">
    <i>
      <x/>
    </i>
    <i>
      <x v="1"/>
    </i>
    <i>
      <x v="2"/>
    </i>
    <i>
      <x v="3"/>
    </i>
  </colItems>
  <dataFields count="1">
    <dataField name="Average Price According to Area" fld="11" subtotal="average" baseField="2" baseItem="1" numFmtId="164"/>
  </dataFields>
  <chartFormats count="9">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3DE8D2A-EA3F-49E3-BD9A-A9498993AC61}" sourceName="Location">
  <pivotTables>
    <pivotTable tabId="2" name="PivotTable1"/>
    <pivotTable tabId="2" name="PivotTable2"/>
    <pivotTable tabId="2" name="PivotTable3"/>
    <pivotTable tabId="2" name="PivotTable4"/>
    <pivotTable tabId="2" name="PivotTable5"/>
  </pivotTables>
  <data>
    <tabular pivotCacheId="1433421941">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0BE151EA-7EDE-4751-8795-9F13536743C5}" sourceName="Condition">
  <pivotTables>
    <pivotTable tabId="2" name="PivotTable1"/>
    <pivotTable tabId="2" name="PivotTable2"/>
    <pivotTable tabId="2" name="PivotTable3"/>
    <pivotTable tabId="2" name="PivotTable4"/>
    <pivotTable tabId="2" name="PivotTable5"/>
  </pivotTables>
  <data>
    <tabular pivotCacheId="1433421941">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rage" xr10:uid="{4786C156-335A-490A-97B2-F0C613A64187}" sourceName="Garage">
  <pivotTables>
    <pivotTable tabId="2" name="PivotTable1"/>
    <pivotTable tabId="2" name="PivotTable2"/>
    <pivotTable tabId="2" name="PivotTable3"/>
    <pivotTable tabId="2" name="PivotTable4"/>
    <pivotTable tabId="2" name="PivotTable5"/>
  </pivotTables>
  <data>
    <tabular pivotCacheId="1433421941" sortOrder="descending">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Bracket" xr10:uid="{1A26C6E0-4402-489F-A5E5-BFECADC35A1E}" sourceName="Area Bracket">
  <pivotTables>
    <pivotTable tabId="2" name="PivotTable1"/>
    <pivotTable tabId="2" name="PivotTable2"/>
    <pivotTable tabId="2" name="PivotTable3"/>
    <pivotTable tabId="2" name="PivotTable4"/>
    <pivotTable tabId="2" name="PivotTable5"/>
  </pivotTables>
  <data>
    <tabular pivotCacheId="1433421941" sortOrder="descending">
      <items count="5">
        <i x="3" s="1"/>
        <i x="0" s="1"/>
        <i x="2" s="1"/>
        <i x="1" s="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racket" xr10:uid="{0FDFB526-D50A-4528-86A0-B6544AD1ADE0}" sourceName="Price Bracket ">
  <pivotTables>
    <pivotTable tabId="2" name="PivotTable2"/>
    <pivotTable tabId="2" name="PivotTable1"/>
    <pivotTable tabId="2" name="PivotTable3"/>
    <pivotTable tabId="2" name="PivotTable4"/>
    <pivotTable tabId="2" name="PivotTable5"/>
  </pivotTables>
  <data>
    <tabular pivotCacheId="143342194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6E5E496F-0840-4F15-8BAC-F9BC7BC41404}" cache="Slicer_Location" caption="Location" columnCount="2" style="Slicer Style 1" rowHeight="251883"/>
  <slicer name="Condition" xr10:uid="{60CFD1E3-C928-4F55-BBD6-1444F6D2256F}" cache="Slicer_Condition" caption="Condition" columnCount="2" style="Slicer Style 1" rowHeight="251883"/>
  <slicer name="Garage" xr10:uid="{70357CDE-DDCF-468D-81F0-CE8AB27818C1}" cache="Slicer_Garage" caption="Garage" style="Slicer Style 1" rowHeight="251883"/>
  <slicer name="Area Bracket" xr10:uid="{D5277D78-EF93-417D-9DD0-4C438710F114}" cache="Slicer_Area_Bracket" caption="Area Bracket" columnCount="2" style="Slicer Style 1" rowHeight="251883"/>
  <slicer name="Price Bracket " xr10:uid="{6B407285-6414-4BF7-A5C1-303F459EAB7C}" cache="Slicer_Price_Bracket" caption="Price Bracket " columnCount="2" style="Slicer Style 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2E767-AD44-464A-A5C7-8B1F5F472E13}">
  <dimension ref="A1:M2001"/>
  <sheetViews>
    <sheetView topLeftCell="A4" workbookViewId="0">
      <selection activeCell="O7" sqref="O7"/>
    </sheetView>
  </sheetViews>
  <sheetFormatPr defaultColWidth="14.26953125" defaultRowHeight="14.5" x14ac:dyDescent="0.35"/>
  <cols>
    <col min="12" max="12" width="14.26953125" style="4"/>
  </cols>
  <sheetData>
    <row r="1" spans="1:13" x14ac:dyDescent="0.35">
      <c r="A1" t="s">
        <v>0</v>
      </c>
      <c r="B1" t="s">
        <v>1</v>
      </c>
      <c r="C1" t="s">
        <v>22</v>
      </c>
      <c r="D1" t="s">
        <v>2</v>
      </c>
      <c r="E1" t="s">
        <v>3</v>
      </c>
      <c r="F1" t="s">
        <v>4</v>
      </c>
      <c r="G1" t="s">
        <v>5</v>
      </c>
      <c r="H1" t="s">
        <v>20</v>
      </c>
      <c r="I1" t="s">
        <v>6</v>
      </c>
      <c r="J1" t="s">
        <v>7</v>
      </c>
      <c r="K1" t="s">
        <v>8</v>
      </c>
      <c r="L1" s="4" t="s">
        <v>9</v>
      </c>
      <c r="M1" t="s">
        <v>21</v>
      </c>
    </row>
    <row r="2" spans="1:13" x14ac:dyDescent="0.35">
      <c r="A2">
        <v>1</v>
      </c>
      <c r="B2">
        <v>1360</v>
      </c>
      <c r="C2" t="str">
        <f>IF(B2&lt;=1000,"Small",IF(B2&lt;=2500,"Medium",IF(B2&lt;=4000,"Large",IF(B2&gt;=4000,"Extra Large"))))</f>
        <v>Medium</v>
      </c>
      <c r="D2">
        <v>5</v>
      </c>
      <c r="E2">
        <v>4</v>
      </c>
      <c r="F2">
        <v>3</v>
      </c>
      <c r="G2">
        <v>1970</v>
      </c>
      <c r="H2" t="str">
        <f>IF(G2&lt;=1950,"Pre-1950",IF(G2&lt;=1975,"1950-1975",IF(G2&lt;=2000,"1976-2000",IF(G2&gt;=2000,"Post-2000"))))</f>
        <v>1950-1975</v>
      </c>
      <c r="I2" t="s">
        <v>10</v>
      </c>
      <c r="J2" t="s">
        <v>11</v>
      </c>
      <c r="K2" t="s">
        <v>12</v>
      </c>
      <c r="L2" s="4">
        <v>149919</v>
      </c>
      <c r="M2" t="str">
        <f>IF(L2&lt;=200000,"Low",IF(L2&lt;=400000,"Medium",IF(L2&lt;=600000,"High",IF(L2&gt;=600000,"Premium",""))))</f>
        <v>Low</v>
      </c>
    </row>
    <row r="3" spans="1:13" x14ac:dyDescent="0.35">
      <c r="A3">
        <v>2</v>
      </c>
      <c r="B3">
        <v>4272</v>
      </c>
      <c r="C3" t="str">
        <f t="shared" ref="C3:C66" si="0">IF(B3&lt;=1000,"Small",IF(B3&lt;=2500,"Medium",IF(B3&lt;=4000,"Large",IF(B3&gt;=4000,"Extra Large"))))</f>
        <v>Extra Large</v>
      </c>
      <c r="D3">
        <v>5</v>
      </c>
      <c r="E3">
        <v>4</v>
      </c>
      <c r="F3">
        <v>3</v>
      </c>
      <c r="G3">
        <v>1958</v>
      </c>
      <c r="H3" t="str">
        <f t="shared" ref="H3:H66" si="1">IF(G3&lt;=1950,"Pre-1950",IF(G3&lt;=1975,"1950-1975",IF(G3&lt;=2000,"1976-2000",IF(G3&gt;=2000,"Post-2000"))))</f>
        <v>1950-1975</v>
      </c>
      <c r="I3" t="s">
        <v>10</v>
      </c>
      <c r="J3" t="s">
        <v>11</v>
      </c>
      <c r="K3" t="s">
        <v>12</v>
      </c>
      <c r="L3" s="4">
        <v>424998</v>
      </c>
      <c r="M3" t="str">
        <f t="shared" ref="M3:M66" si="2">IF(L3&lt;=200000,"Low",IF(L3&lt;=400000,"Medium",IF(L3&lt;=600000,"High",IF(L3&gt;=600000,"Premium",""))))</f>
        <v>High</v>
      </c>
    </row>
    <row r="4" spans="1:13" x14ac:dyDescent="0.35">
      <c r="A4">
        <v>3</v>
      </c>
      <c r="B4">
        <v>3592</v>
      </c>
      <c r="C4" t="str">
        <f t="shared" si="0"/>
        <v>Large</v>
      </c>
      <c r="D4">
        <v>2</v>
      </c>
      <c r="E4">
        <v>2</v>
      </c>
      <c r="F4">
        <v>3</v>
      </c>
      <c r="G4">
        <v>1938</v>
      </c>
      <c r="H4" t="str">
        <f t="shared" si="1"/>
        <v>Pre-1950</v>
      </c>
      <c r="I4" t="s">
        <v>10</v>
      </c>
      <c r="J4" t="s">
        <v>13</v>
      </c>
      <c r="K4" t="s">
        <v>12</v>
      </c>
      <c r="L4" s="4">
        <v>266746</v>
      </c>
      <c r="M4" t="str">
        <f t="shared" si="2"/>
        <v>Medium</v>
      </c>
    </row>
    <row r="5" spans="1:13" x14ac:dyDescent="0.35">
      <c r="A5">
        <v>4</v>
      </c>
      <c r="B5">
        <v>966</v>
      </c>
      <c r="C5" t="str">
        <f t="shared" si="0"/>
        <v>Small</v>
      </c>
      <c r="D5">
        <v>4</v>
      </c>
      <c r="E5">
        <v>2</v>
      </c>
      <c r="F5">
        <v>2</v>
      </c>
      <c r="G5">
        <v>1902</v>
      </c>
      <c r="H5" t="str">
        <f t="shared" si="1"/>
        <v>Pre-1950</v>
      </c>
      <c r="I5" t="s">
        <v>14</v>
      </c>
      <c r="J5" t="s">
        <v>15</v>
      </c>
      <c r="K5" t="s">
        <v>16</v>
      </c>
      <c r="L5" s="4">
        <v>244020</v>
      </c>
      <c r="M5" t="str">
        <f t="shared" si="2"/>
        <v>Medium</v>
      </c>
    </row>
    <row r="6" spans="1:13" x14ac:dyDescent="0.35">
      <c r="A6">
        <v>5</v>
      </c>
      <c r="B6">
        <v>4926</v>
      </c>
      <c r="C6" t="str">
        <f t="shared" si="0"/>
        <v>Extra Large</v>
      </c>
      <c r="D6">
        <v>1</v>
      </c>
      <c r="E6">
        <v>4</v>
      </c>
      <c r="F6">
        <v>2</v>
      </c>
      <c r="G6">
        <v>1975</v>
      </c>
      <c r="H6" t="str">
        <f t="shared" si="1"/>
        <v>1950-1975</v>
      </c>
      <c r="I6" t="s">
        <v>10</v>
      </c>
      <c r="J6" t="s">
        <v>15</v>
      </c>
      <c r="K6" t="s">
        <v>16</v>
      </c>
      <c r="L6" s="4">
        <v>636056</v>
      </c>
      <c r="M6" t="str">
        <f t="shared" si="2"/>
        <v>Premium</v>
      </c>
    </row>
    <row r="7" spans="1:13" x14ac:dyDescent="0.35">
      <c r="A7">
        <v>6</v>
      </c>
      <c r="B7">
        <v>3944</v>
      </c>
      <c r="C7" t="str">
        <f t="shared" si="0"/>
        <v>Large</v>
      </c>
      <c r="D7">
        <v>1</v>
      </c>
      <c r="E7">
        <v>2</v>
      </c>
      <c r="F7">
        <v>1</v>
      </c>
      <c r="G7">
        <v>1906</v>
      </c>
      <c r="H7" t="str">
        <f t="shared" si="1"/>
        <v>Pre-1950</v>
      </c>
      <c r="I7" t="s">
        <v>17</v>
      </c>
      <c r="J7" t="s">
        <v>18</v>
      </c>
      <c r="K7" t="s">
        <v>12</v>
      </c>
      <c r="L7" s="4">
        <v>93262</v>
      </c>
      <c r="M7" t="str">
        <f t="shared" si="2"/>
        <v>Low</v>
      </c>
    </row>
    <row r="8" spans="1:13" x14ac:dyDescent="0.35">
      <c r="A8">
        <v>7</v>
      </c>
      <c r="B8">
        <v>3671</v>
      </c>
      <c r="C8" t="str">
        <f t="shared" si="0"/>
        <v>Large</v>
      </c>
      <c r="D8">
        <v>1</v>
      </c>
      <c r="E8">
        <v>1</v>
      </c>
      <c r="F8">
        <v>2</v>
      </c>
      <c r="G8">
        <v>1948</v>
      </c>
      <c r="H8" t="str">
        <f t="shared" si="1"/>
        <v>Pre-1950</v>
      </c>
      <c r="I8" t="s">
        <v>19</v>
      </c>
      <c r="J8" t="s">
        <v>18</v>
      </c>
      <c r="K8" t="s">
        <v>16</v>
      </c>
      <c r="L8" s="4">
        <v>448722</v>
      </c>
      <c r="M8" t="str">
        <f t="shared" si="2"/>
        <v>High</v>
      </c>
    </row>
    <row r="9" spans="1:13" x14ac:dyDescent="0.35">
      <c r="A9">
        <v>8</v>
      </c>
      <c r="B9">
        <v>3419</v>
      </c>
      <c r="C9" t="str">
        <f t="shared" si="0"/>
        <v>Large</v>
      </c>
      <c r="D9">
        <v>2</v>
      </c>
      <c r="E9">
        <v>4</v>
      </c>
      <c r="F9">
        <v>1</v>
      </c>
      <c r="G9">
        <v>1925</v>
      </c>
      <c r="H9" t="str">
        <f t="shared" si="1"/>
        <v>Pre-1950</v>
      </c>
      <c r="I9" t="s">
        <v>14</v>
      </c>
      <c r="J9" t="s">
        <v>13</v>
      </c>
      <c r="K9" t="s">
        <v>16</v>
      </c>
      <c r="L9" s="4">
        <v>594893</v>
      </c>
      <c r="M9" t="str">
        <f t="shared" si="2"/>
        <v>High</v>
      </c>
    </row>
    <row r="10" spans="1:13" x14ac:dyDescent="0.35">
      <c r="A10">
        <v>9</v>
      </c>
      <c r="B10">
        <v>630</v>
      </c>
      <c r="C10" t="str">
        <f t="shared" si="0"/>
        <v>Small</v>
      </c>
      <c r="D10">
        <v>2</v>
      </c>
      <c r="E10">
        <v>2</v>
      </c>
      <c r="F10">
        <v>1</v>
      </c>
      <c r="G10">
        <v>1932</v>
      </c>
      <c r="H10" t="str">
        <f t="shared" si="1"/>
        <v>Pre-1950</v>
      </c>
      <c r="I10" t="s">
        <v>19</v>
      </c>
      <c r="J10" t="s">
        <v>18</v>
      </c>
      <c r="K10" t="s">
        <v>16</v>
      </c>
      <c r="L10" s="4">
        <v>652878</v>
      </c>
      <c r="M10" t="str">
        <f t="shared" si="2"/>
        <v>Premium</v>
      </c>
    </row>
    <row r="11" spans="1:13" x14ac:dyDescent="0.35">
      <c r="A11">
        <v>10</v>
      </c>
      <c r="B11">
        <v>2185</v>
      </c>
      <c r="C11" t="str">
        <f t="shared" si="0"/>
        <v>Medium</v>
      </c>
      <c r="D11">
        <v>3</v>
      </c>
      <c r="E11">
        <v>3</v>
      </c>
      <c r="F11">
        <v>1</v>
      </c>
      <c r="G11">
        <v>2000</v>
      </c>
      <c r="H11" t="str">
        <f t="shared" si="1"/>
        <v>1976-2000</v>
      </c>
      <c r="I11" t="s">
        <v>10</v>
      </c>
      <c r="J11" t="s">
        <v>18</v>
      </c>
      <c r="K11" t="s">
        <v>12</v>
      </c>
      <c r="L11" s="4">
        <v>340375</v>
      </c>
      <c r="M11" t="str">
        <f t="shared" si="2"/>
        <v>Medium</v>
      </c>
    </row>
    <row r="12" spans="1:13" x14ac:dyDescent="0.35">
      <c r="A12">
        <v>11</v>
      </c>
      <c r="B12">
        <v>1269</v>
      </c>
      <c r="C12" t="str">
        <f t="shared" si="0"/>
        <v>Medium</v>
      </c>
      <c r="D12">
        <v>1</v>
      </c>
      <c r="E12">
        <v>4</v>
      </c>
      <c r="F12">
        <v>2</v>
      </c>
      <c r="G12">
        <v>1947</v>
      </c>
      <c r="H12" t="str">
        <f t="shared" si="1"/>
        <v>Pre-1950</v>
      </c>
      <c r="I12" t="s">
        <v>14</v>
      </c>
      <c r="J12" t="s">
        <v>18</v>
      </c>
      <c r="K12" t="s">
        <v>16</v>
      </c>
      <c r="L12" s="4">
        <v>653685</v>
      </c>
      <c r="M12" t="str">
        <f t="shared" si="2"/>
        <v>Premium</v>
      </c>
    </row>
    <row r="13" spans="1:13" x14ac:dyDescent="0.35">
      <c r="A13">
        <v>12</v>
      </c>
      <c r="B13">
        <v>2891</v>
      </c>
      <c r="C13" t="str">
        <f t="shared" si="0"/>
        <v>Large</v>
      </c>
      <c r="D13">
        <v>4</v>
      </c>
      <c r="E13">
        <v>4</v>
      </c>
      <c r="F13">
        <v>3</v>
      </c>
      <c r="G13">
        <v>1978</v>
      </c>
      <c r="H13" t="str">
        <f t="shared" si="1"/>
        <v>1976-2000</v>
      </c>
      <c r="I13" t="s">
        <v>17</v>
      </c>
      <c r="J13" t="s">
        <v>11</v>
      </c>
      <c r="K13" t="s">
        <v>16</v>
      </c>
      <c r="L13" s="4">
        <v>127123</v>
      </c>
      <c r="M13" t="str">
        <f t="shared" si="2"/>
        <v>Low</v>
      </c>
    </row>
    <row r="14" spans="1:13" x14ac:dyDescent="0.35">
      <c r="A14">
        <v>13</v>
      </c>
      <c r="B14">
        <v>2933</v>
      </c>
      <c r="C14" t="str">
        <f t="shared" si="0"/>
        <v>Large</v>
      </c>
      <c r="D14">
        <v>4</v>
      </c>
      <c r="E14">
        <v>3</v>
      </c>
      <c r="F14">
        <v>2</v>
      </c>
      <c r="G14">
        <v>1901</v>
      </c>
      <c r="H14" t="str">
        <f t="shared" si="1"/>
        <v>Pre-1950</v>
      </c>
      <c r="I14" t="s">
        <v>10</v>
      </c>
      <c r="J14" t="s">
        <v>18</v>
      </c>
      <c r="K14" t="s">
        <v>12</v>
      </c>
      <c r="L14" s="4">
        <v>849947</v>
      </c>
      <c r="M14" t="str">
        <f t="shared" si="2"/>
        <v>Premium</v>
      </c>
    </row>
    <row r="15" spans="1:13" x14ac:dyDescent="0.35">
      <c r="A15">
        <v>14</v>
      </c>
      <c r="B15">
        <v>1684</v>
      </c>
      <c r="C15" t="str">
        <f t="shared" si="0"/>
        <v>Medium</v>
      </c>
      <c r="D15">
        <v>1</v>
      </c>
      <c r="E15">
        <v>1</v>
      </c>
      <c r="F15">
        <v>1</v>
      </c>
      <c r="G15">
        <v>2004</v>
      </c>
      <c r="H15" t="str">
        <f t="shared" si="1"/>
        <v>Post-2000</v>
      </c>
      <c r="I15" t="s">
        <v>19</v>
      </c>
      <c r="J15" t="s">
        <v>13</v>
      </c>
      <c r="K15" t="s">
        <v>12</v>
      </c>
      <c r="L15" s="4">
        <v>399355</v>
      </c>
      <c r="M15" t="str">
        <f t="shared" si="2"/>
        <v>Medium</v>
      </c>
    </row>
    <row r="16" spans="1:13" x14ac:dyDescent="0.35">
      <c r="A16">
        <v>15</v>
      </c>
      <c r="B16">
        <v>3885</v>
      </c>
      <c r="C16" t="str">
        <f t="shared" si="0"/>
        <v>Large</v>
      </c>
      <c r="D16">
        <v>1</v>
      </c>
      <c r="E16">
        <v>3</v>
      </c>
      <c r="F16">
        <v>1</v>
      </c>
      <c r="G16">
        <v>1970</v>
      </c>
      <c r="H16" t="str">
        <f t="shared" si="1"/>
        <v>1950-1975</v>
      </c>
      <c r="I16" t="s">
        <v>17</v>
      </c>
      <c r="J16" t="s">
        <v>15</v>
      </c>
      <c r="K16" t="s">
        <v>16</v>
      </c>
      <c r="L16" s="4">
        <v>481838</v>
      </c>
      <c r="M16" t="str">
        <f t="shared" si="2"/>
        <v>High</v>
      </c>
    </row>
    <row r="17" spans="1:13" x14ac:dyDescent="0.35">
      <c r="A17">
        <v>16</v>
      </c>
      <c r="B17">
        <v>4617</v>
      </c>
      <c r="C17" t="str">
        <f t="shared" si="0"/>
        <v>Extra Large</v>
      </c>
      <c r="D17">
        <v>1</v>
      </c>
      <c r="E17">
        <v>4</v>
      </c>
      <c r="F17">
        <v>2</v>
      </c>
      <c r="G17">
        <v>1931</v>
      </c>
      <c r="H17" t="str">
        <f t="shared" si="1"/>
        <v>Pre-1950</v>
      </c>
      <c r="I17" t="s">
        <v>10</v>
      </c>
      <c r="J17" t="s">
        <v>18</v>
      </c>
      <c r="K17" t="s">
        <v>12</v>
      </c>
      <c r="L17" s="4">
        <v>853032</v>
      </c>
      <c r="M17" t="str">
        <f t="shared" si="2"/>
        <v>Premium</v>
      </c>
    </row>
    <row r="18" spans="1:13" x14ac:dyDescent="0.35">
      <c r="A18">
        <v>17</v>
      </c>
      <c r="B18">
        <v>3404</v>
      </c>
      <c r="C18" t="str">
        <f t="shared" si="0"/>
        <v>Large</v>
      </c>
      <c r="D18">
        <v>2</v>
      </c>
      <c r="E18">
        <v>1</v>
      </c>
      <c r="F18">
        <v>1</v>
      </c>
      <c r="G18">
        <v>1903</v>
      </c>
      <c r="H18" t="str">
        <f t="shared" si="1"/>
        <v>Pre-1950</v>
      </c>
      <c r="I18" t="s">
        <v>17</v>
      </c>
      <c r="J18" t="s">
        <v>15</v>
      </c>
      <c r="K18" t="s">
        <v>16</v>
      </c>
      <c r="L18" s="4">
        <v>208964</v>
      </c>
      <c r="M18" t="str">
        <f t="shared" si="2"/>
        <v>Medium</v>
      </c>
    </row>
    <row r="19" spans="1:13" x14ac:dyDescent="0.35">
      <c r="A19">
        <v>18</v>
      </c>
      <c r="B19">
        <v>974</v>
      </c>
      <c r="C19" t="str">
        <f t="shared" si="0"/>
        <v>Small</v>
      </c>
      <c r="D19">
        <v>2</v>
      </c>
      <c r="E19">
        <v>2</v>
      </c>
      <c r="F19">
        <v>1</v>
      </c>
      <c r="G19">
        <v>1919</v>
      </c>
      <c r="H19" t="str">
        <f t="shared" si="1"/>
        <v>Pre-1950</v>
      </c>
      <c r="I19" t="s">
        <v>10</v>
      </c>
      <c r="J19" t="s">
        <v>18</v>
      </c>
      <c r="K19" t="s">
        <v>16</v>
      </c>
      <c r="L19" s="4">
        <v>905742</v>
      </c>
      <c r="M19" t="str">
        <f t="shared" si="2"/>
        <v>Premium</v>
      </c>
    </row>
    <row r="20" spans="1:13" x14ac:dyDescent="0.35">
      <c r="A20">
        <v>19</v>
      </c>
      <c r="B20">
        <v>1582</v>
      </c>
      <c r="C20" t="str">
        <f t="shared" si="0"/>
        <v>Medium</v>
      </c>
      <c r="D20">
        <v>2</v>
      </c>
      <c r="E20">
        <v>2</v>
      </c>
      <c r="F20">
        <v>2</v>
      </c>
      <c r="G20">
        <v>2013</v>
      </c>
      <c r="H20" t="str">
        <f t="shared" si="1"/>
        <v>Post-2000</v>
      </c>
      <c r="I20" t="s">
        <v>14</v>
      </c>
      <c r="J20" t="s">
        <v>13</v>
      </c>
      <c r="K20" t="s">
        <v>12</v>
      </c>
      <c r="L20" s="4">
        <v>989305</v>
      </c>
      <c r="M20" t="str">
        <f t="shared" si="2"/>
        <v>Premium</v>
      </c>
    </row>
    <row r="21" spans="1:13" x14ac:dyDescent="0.35">
      <c r="A21">
        <v>20</v>
      </c>
      <c r="B21">
        <v>3058</v>
      </c>
      <c r="C21" t="str">
        <f t="shared" si="0"/>
        <v>Large</v>
      </c>
      <c r="D21">
        <v>5</v>
      </c>
      <c r="E21">
        <v>2</v>
      </c>
      <c r="F21">
        <v>2</v>
      </c>
      <c r="G21">
        <v>2016</v>
      </c>
      <c r="H21" t="str">
        <f t="shared" si="1"/>
        <v>Post-2000</v>
      </c>
      <c r="I21" t="s">
        <v>10</v>
      </c>
      <c r="J21" t="s">
        <v>11</v>
      </c>
      <c r="K21" t="s">
        <v>12</v>
      </c>
      <c r="L21" s="4">
        <v>218767</v>
      </c>
      <c r="M21" t="str">
        <f t="shared" si="2"/>
        <v>Medium</v>
      </c>
    </row>
    <row r="22" spans="1:13" x14ac:dyDescent="0.35">
      <c r="A22">
        <v>21</v>
      </c>
      <c r="B22">
        <v>2547</v>
      </c>
      <c r="C22" t="str">
        <f t="shared" si="0"/>
        <v>Large</v>
      </c>
      <c r="D22">
        <v>4</v>
      </c>
      <c r="E22">
        <v>4</v>
      </c>
      <c r="F22">
        <v>2</v>
      </c>
      <c r="G22">
        <v>1935</v>
      </c>
      <c r="H22" t="str">
        <f t="shared" si="1"/>
        <v>Pre-1950</v>
      </c>
      <c r="I22" t="s">
        <v>14</v>
      </c>
      <c r="J22" t="s">
        <v>13</v>
      </c>
      <c r="K22" t="s">
        <v>16</v>
      </c>
      <c r="L22" s="4">
        <v>996357</v>
      </c>
      <c r="M22" t="str">
        <f t="shared" si="2"/>
        <v>Premium</v>
      </c>
    </row>
    <row r="23" spans="1:13" x14ac:dyDescent="0.35">
      <c r="A23">
        <v>22</v>
      </c>
      <c r="B23">
        <v>3247</v>
      </c>
      <c r="C23" t="str">
        <f t="shared" si="0"/>
        <v>Large</v>
      </c>
      <c r="D23">
        <v>4</v>
      </c>
      <c r="E23">
        <v>3</v>
      </c>
      <c r="F23">
        <v>1</v>
      </c>
      <c r="G23">
        <v>1931</v>
      </c>
      <c r="H23" t="str">
        <f t="shared" si="1"/>
        <v>Pre-1950</v>
      </c>
      <c r="I23" t="s">
        <v>10</v>
      </c>
      <c r="J23" t="s">
        <v>11</v>
      </c>
      <c r="K23" t="s">
        <v>12</v>
      </c>
      <c r="L23" s="4">
        <v>709789</v>
      </c>
      <c r="M23" t="str">
        <f t="shared" si="2"/>
        <v>Premium</v>
      </c>
    </row>
    <row r="24" spans="1:13" x14ac:dyDescent="0.35">
      <c r="A24">
        <v>23</v>
      </c>
      <c r="B24">
        <v>1475</v>
      </c>
      <c r="C24" t="str">
        <f t="shared" si="0"/>
        <v>Medium</v>
      </c>
      <c r="D24">
        <v>3</v>
      </c>
      <c r="E24">
        <v>1</v>
      </c>
      <c r="F24">
        <v>1</v>
      </c>
      <c r="G24">
        <v>1927</v>
      </c>
      <c r="H24" t="str">
        <f t="shared" si="1"/>
        <v>Pre-1950</v>
      </c>
      <c r="I24" t="s">
        <v>10</v>
      </c>
      <c r="J24" t="s">
        <v>18</v>
      </c>
      <c r="K24" t="s">
        <v>12</v>
      </c>
      <c r="L24" s="4">
        <v>709966</v>
      </c>
      <c r="M24" t="str">
        <f t="shared" si="2"/>
        <v>Premium</v>
      </c>
    </row>
    <row r="25" spans="1:13" x14ac:dyDescent="0.35">
      <c r="A25">
        <v>24</v>
      </c>
      <c r="B25">
        <v>2306</v>
      </c>
      <c r="C25" t="str">
        <f t="shared" si="0"/>
        <v>Medium</v>
      </c>
      <c r="D25">
        <v>2</v>
      </c>
      <c r="E25">
        <v>2</v>
      </c>
      <c r="F25">
        <v>3</v>
      </c>
      <c r="G25">
        <v>1976</v>
      </c>
      <c r="H25" t="str">
        <f t="shared" si="1"/>
        <v>1976-2000</v>
      </c>
      <c r="I25" t="s">
        <v>19</v>
      </c>
      <c r="J25" t="s">
        <v>18</v>
      </c>
      <c r="K25" t="s">
        <v>16</v>
      </c>
      <c r="L25" s="4">
        <v>447694</v>
      </c>
      <c r="M25" t="str">
        <f t="shared" si="2"/>
        <v>High</v>
      </c>
    </row>
    <row r="26" spans="1:13" x14ac:dyDescent="0.35">
      <c r="A26">
        <v>25</v>
      </c>
      <c r="B26">
        <v>689</v>
      </c>
      <c r="C26" t="str">
        <f t="shared" si="0"/>
        <v>Small</v>
      </c>
      <c r="D26">
        <v>5</v>
      </c>
      <c r="E26">
        <v>1</v>
      </c>
      <c r="F26">
        <v>3</v>
      </c>
      <c r="G26">
        <v>1900</v>
      </c>
      <c r="H26" t="str">
        <f t="shared" si="1"/>
        <v>Pre-1950</v>
      </c>
      <c r="I26" t="s">
        <v>17</v>
      </c>
      <c r="J26" t="s">
        <v>11</v>
      </c>
      <c r="K26" t="s">
        <v>16</v>
      </c>
      <c r="L26" s="4">
        <v>688668</v>
      </c>
      <c r="M26" t="str">
        <f t="shared" si="2"/>
        <v>Premium</v>
      </c>
    </row>
    <row r="27" spans="1:13" x14ac:dyDescent="0.35">
      <c r="A27">
        <v>26</v>
      </c>
      <c r="B27">
        <v>3234</v>
      </c>
      <c r="C27" t="str">
        <f t="shared" si="0"/>
        <v>Large</v>
      </c>
      <c r="D27">
        <v>5</v>
      </c>
      <c r="E27">
        <v>4</v>
      </c>
      <c r="F27">
        <v>2</v>
      </c>
      <c r="G27">
        <v>1959</v>
      </c>
      <c r="H27" t="str">
        <f t="shared" si="1"/>
        <v>1950-1975</v>
      </c>
      <c r="I27" t="s">
        <v>17</v>
      </c>
      <c r="J27" t="s">
        <v>13</v>
      </c>
      <c r="K27" t="s">
        <v>16</v>
      </c>
      <c r="L27" s="4">
        <v>527032</v>
      </c>
      <c r="M27" t="str">
        <f t="shared" si="2"/>
        <v>High</v>
      </c>
    </row>
    <row r="28" spans="1:13" x14ac:dyDescent="0.35">
      <c r="A28">
        <v>27</v>
      </c>
      <c r="B28">
        <v>3505</v>
      </c>
      <c r="C28" t="str">
        <f t="shared" si="0"/>
        <v>Large</v>
      </c>
      <c r="D28">
        <v>4</v>
      </c>
      <c r="E28">
        <v>2</v>
      </c>
      <c r="F28">
        <v>3</v>
      </c>
      <c r="G28">
        <v>1955</v>
      </c>
      <c r="H28" t="str">
        <f t="shared" si="1"/>
        <v>1950-1975</v>
      </c>
      <c r="I28" t="s">
        <v>17</v>
      </c>
      <c r="J28" t="s">
        <v>13</v>
      </c>
      <c r="K28" t="s">
        <v>16</v>
      </c>
      <c r="L28" s="4">
        <v>745494</v>
      </c>
      <c r="M28" t="str">
        <f t="shared" si="2"/>
        <v>Premium</v>
      </c>
    </row>
    <row r="29" spans="1:13" x14ac:dyDescent="0.35">
      <c r="A29">
        <v>28</v>
      </c>
      <c r="B29">
        <v>2399</v>
      </c>
      <c r="C29" t="str">
        <f t="shared" si="0"/>
        <v>Medium</v>
      </c>
      <c r="D29">
        <v>2</v>
      </c>
      <c r="E29">
        <v>4</v>
      </c>
      <c r="F29">
        <v>1</v>
      </c>
      <c r="G29">
        <v>1934</v>
      </c>
      <c r="H29" t="str">
        <f t="shared" si="1"/>
        <v>Pre-1950</v>
      </c>
      <c r="I29" t="s">
        <v>10</v>
      </c>
      <c r="J29" t="s">
        <v>11</v>
      </c>
      <c r="K29" t="s">
        <v>16</v>
      </c>
      <c r="L29" s="4">
        <v>513179</v>
      </c>
      <c r="M29" t="str">
        <f t="shared" si="2"/>
        <v>High</v>
      </c>
    </row>
    <row r="30" spans="1:13" x14ac:dyDescent="0.35">
      <c r="A30">
        <v>29</v>
      </c>
      <c r="B30">
        <v>1767</v>
      </c>
      <c r="C30" t="str">
        <f t="shared" si="0"/>
        <v>Medium</v>
      </c>
      <c r="D30">
        <v>3</v>
      </c>
      <c r="E30">
        <v>3</v>
      </c>
      <c r="F30">
        <v>3</v>
      </c>
      <c r="G30">
        <v>2011</v>
      </c>
      <c r="H30" t="str">
        <f t="shared" si="1"/>
        <v>Post-2000</v>
      </c>
      <c r="I30" t="s">
        <v>10</v>
      </c>
      <c r="J30" t="s">
        <v>18</v>
      </c>
      <c r="K30" t="s">
        <v>16</v>
      </c>
      <c r="L30" s="4">
        <v>948212</v>
      </c>
      <c r="M30" t="str">
        <f t="shared" si="2"/>
        <v>Premium</v>
      </c>
    </row>
    <row r="31" spans="1:13" x14ac:dyDescent="0.35">
      <c r="A31">
        <v>30</v>
      </c>
      <c r="B31">
        <v>2028</v>
      </c>
      <c r="C31" t="str">
        <f t="shared" si="0"/>
        <v>Medium</v>
      </c>
      <c r="D31">
        <v>2</v>
      </c>
      <c r="E31">
        <v>4</v>
      </c>
      <c r="F31">
        <v>1</v>
      </c>
      <c r="G31">
        <v>1929</v>
      </c>
      <c r="H31" t="str">
        <f t="shared" si="1"/>
        <v>Pre-1950</v>
      </c>
      <c r="I31" t="s">
        <v>10</v>
      </c>
      <c r="J31" t="s">
        <v>11</v>
      </c>
      <c r="K31" t="s">
        <v>12</v>
      </c>
      <c r="L31" s="4">
        <v>206547</v>
      </c>
      <c r="M31" t="str">
        <f t="shared" si="2"/>
        <v>Medium</v>
      </c>
    </row>
    <row r="32" spans="1:13" x14ac:dyDescent="0.35">
      <c r="A32">
        <v>31</v>
      </c>
      <c r="B32">
        <v>3702</v>
      </c>
      <c r="C32" t="str">
        <f t="shared" si="0"/>
        <v>Large</v>
      </c>
      <c r="D32">
        <v>1</v>
      </c>
      <c r="E32">
        <v>4</v>
      </c>
      <c r="F32">
        <v>2</v>
      </c>
      <c r="G32">
        <v>1953</v>
      </c>
      <c r="H32" t="str">
        <f t="shared" si="1"/>
        <v>1950-1975</v>
      </c>
      <c r="I32" t="s">
        <v>14</v>
      </c>
      <c r="J32" t="s">
        <v>18</v>
      </c>
      <c r="K32" t="s">
        <v>12</v>
      </c>
      <c r="L32" s="4">
        <v>902609</v>
      </c>
      <c r="M32" t="str">
        <f t="shared" si="2"/>
        <v>Premium</v>
      </c>
    </row>
    <row r="33" spans="1:13" x14ac:dyDescent="0.35">
      <c r="A33">
        <v>32</v>
      </c>
      <c r="B33">
        <v>4056</v>
      </c>
      <c r="C33" t="str">
        <f t="shared" si="0"/>
        <v>Extra Large</v>
      </c>
      <c r="D33">
        <v>2</v>
      </c>
      <c r="E33">
        <v>3</v>
      </c>
      <c r="F33">
        <v>2</v>
      </c>
      <c r="G33">
        <v>1935</v>
      </c>
      <c r="H33" t="str">
        <f t="shared" si="1"/>
        <v>Pre-1950</v>
      </c>
      <c r="I33" t="s">
        <v>14</v>
      </c>
      <c r="J33" t="s">
        <v>11</v>
      </c>
      <c r="K33" t="s">
        <v>16</v>
      </c>
      <c r="L33" s="4">
        <v>727090</v>
      </c>
      <c r="M33" t="str">
        <f t="shared" si="2"/>
        <v>Premium</v>
      </c>
    </row>
    <row r="34" spans="1:13" x14ac:dyDescent="0.35">
      <c r="A34">
        <v>33</v>
      </c>
      <c r="B34">
        <v>4390</v>
      </c>
      <c r="C34" t="str">
        <f t="shared" si="0"/>
        <v>Extra Large</v>
      </c>
      <c r="D34">
        <v>1</v>
      </c>
      <c r="E34">
        <v>1</v>
      </c>
      <c r="F34">
        <v>1</v>
      </c>
      <c r="G34">
        <v>2020</v>
      </c>
      <c r="H34" t="str">
        <f t="shared" si="1"/>
        <v>Post-2000</v>
      </c>
      <c r="I34" t="s">
        <v>19</v>
      </c>
      <c r="J34" t="s">
        <v>18</v>
      </c>
      <c r="K34" t="s">
        <v>12</v>
      </c>
      <c r="L34" s="4">
        <v>202185</v>
      </c>
      <c r="M34" t="str">
        <f t="shared" si="2"/>
        <v>Medium</v>
      </c>
    </row>
    <row r="35" spans="1:13" x14ac:dyDescent="0.35">
      <c r="A35">
        <v>34</v>
      </c>
      <c r="B35">
        <v>1146</v>
      </c>
      <c r="C35" t="str">
        <f t="shared" si="0"/>
        <v>Medium</v>
      </c>
      <c r="D35">
        <v>1</v>
      </c>
      <c r="E35">
        <v>3</v>
      </c>
      <c r="F35">
        <v>3</v>
      </c>
      <c r="G35">
        <v>1954</v>
      </c>
      <c r="H35" t="str">
        <f t="shared" si="1"/>
        <v>1950-1975</v>
      </c>
      <c r="I35" t="s">
        <v>10</v>
      </c>
      <c r="J35" t="s">
        <v>11</v>
      </c>
      <c r="K35" t="s">
        <v>12</v>
      </c>
      <c r="L35" s="4">
        <v>725371</v>
      </c>
      <c r="M35" t="str">
        <f t="shared" si="2"/>
        <v>Premium</v>
      </c>
    </row>
    <row r="36" spans="1:13" x14ac:dyDescent="0.35">
      <c r="A36">
        <v>35</v>
      </c>
      <c r="B36">
        <v>3388</v>
      </c>
      <c r="C36" t="str">
        <f t="shared" si="0"/>
        <v>Large</v>
      </c>
      <c r="D36">
        <v>3</v>
      </c>
      <c r="E36">
        <v>3</v>
      </c>
      <c r="F36">
        <v>2</v>
      </c>
      <c r="G36">
        <v>1988</v>
      </c>
      <c r="H36" t="str">
        <f t="shared" si="1"/>
        <v>1976-2000</v>
      </c>
      <c r="I36" t="s">
        <v>17</v>
      </c>
      <c r="J36" t="s">
        <v>15</v>
      </c>
      <c r="K36" t="s">
        <v>16</v>
      </c>
      <c r="L36" s="4">
        <v>105746</v>
      </c>
      <c r="M36" t="str">
        <f t="shared" si="2"/>
        <v>Low</v>
      </c>
    </row>
    <row r="37" spans="1:13" x14ac:dyDescent="0.35">
      <c r="A37">
        <v>36</v>
      </c>
      <c r="B37">
        <v>2935</v>
      </c>
      <c r="C37" t="str">
        <f t="shared" si="0"/>
        <v>Large</v>
      </c>
      <c r="D37">
        <v>4</v>
      </c>
      <c r="E37">
        <v>4</v>
      </c>
      <c r="F37">
        <v>2</v>
      </c>
      <c r="G37">
        <v>1979</v>
      </c>
      <c r="H37" t="str">
        <f t="shared" si="1"/>
        <v>1976-2000</v>
      </c>
      <c r="I37" t="s">
        <v>17</v>
      </c>
      <c r="J37" t="s">
        <v>18</v>
      </c>
      <c r="K37" t="s">
        <v>12</v>
      </c>
      <c r="L37" s="4">
        <v>959507</v>
      </c>
      <c r="M37" t="str">
        <f t="shared" si="2"/>
        <v>Premium</v>
      </c>
    </row>
    <row r="38" spans="1:13" x14ac:dyDescent="0.35">
      <c r="A38">
        <v>37</v>
      </c>
      <c r="B38">
        <v>1100</v>
      </c>
      <c r="C38" t="str">
        <f t="shared" si="0"/>
        <v>Medium</v>
      </c>
      <c r="D38">
        <v>2</v>
      </c>
      <c r="E38">
        <v>1</v>
      </c>
      <c r="F38">
        <v>3</v>
      </c>
      <c r="G38">
        <v>1957</v>
      </c>
      <c r="H38" t="str">
        <f t="shared" si="1"/>
        <v>1950-1975</v>
      </c>
      <c r="I38" t="s">
        <v>19</v>
      </c>
      <c r="J38" t="s">
        <v>13</v>
      </c>
      <c r="K38" t="s">
        <v>12</v>
      </c>
      <c r="L38" s="4">
        <v>748213</v>
      </c>
      <c r="M38" t="str">
        <f t="shared" si="2"/>
        <v>Premium</v>
      </c>
    </row>
    <row r="39" spans="1:13" x14ac:dyDescent="0.35">
      <c r="A39">
        <v>38</v>
      </c>
      <c r="B39">
        <v>2863</v>
      </c>
      <c r="C39" t="str">
        <f t="shared" si="0"/>
        <v>Large</v>
      </c>
      <c r="D39">
        <v>1</v>
      </c>
      <c r="E39">
        <v>2</v>
      </c>
      <c r="F39">
        <v>3</v>
      </c>
      <c r="G39">
        <v>1982</v>
      </c>
      <c r="H39" t="str">
        <f t="shared" si="1"/>
        <v>1976-2000</v>
      </c>
      <c r="I39" t="s">
        <v>17</v>
      </c>
      <c r="J39" t="s">
        <v>11</v>
      </c>
      <c r="K39" t="s">
        <v>16</v>
      </c>
      <c r="L39" s="4">
        <v>921627</v>
      </c>
      <c r="M39" t="str">
        <f t="shared" si="2"/>
        <v>Premium</v>
      </c>
    </row>
    <row r="40" spans="1:13" x14ac:dyDescent="0.35">
      <c r="A40">
        <v>39</v>
      </c>
      <c r="B40">
        <v>2561</v>
      </c>
      <c r="C40" t="str">
        <f t="shared" si="0"/>
        <v>Large</v>
      </c>
      <c r="D40">
        <v>2</v>
      </c>
      <c r="E40">
        <v>3</v>
      </c>
      <c r="F40">
        <v>1</v>
      </c>
      <c r="G40">
        <v>1964</v>
      </c>
      <c r="H40" t="str">
        <f t="shared" si="1"/>
        <v>1950-1975</v>
      </c>
      <c r="I40" t="s">
        <v>19</v>
      </c>
      <c r="J40" t="s">
        <v>13</v>
      </c>
      <c r="K40" t="s">
        <v>12</v>
      </c>
      <c r="L40" s="4">
        <v>873250</v>
      </c>
      <c r="M40" t="str">
        <f t="shared" si="2"/>
        <v>Premium</v>
      </c>
    </row>
    <row r="41" spans="1:13" x14ac:dyDescent="0.35">
      <c r="A41">
        <v>40</v>
      </c>
      <c r="B41">
        <v>741</v>
      </c>
      <c r="C41" t="str">
        <f t="shared" si="0"/>
        <v>Small</v>
      </c>
      <c r="D41">
        <v>4</v>
      </c>
      <c r="E41">
        <v>1</v>
      </c>
      <c r="F41">
        <v>3</v>
      </c>
      <c r="G41">
        <v>1968</v>
      </c>
      <c r="H41" t="str">
        <f t="shared" si="1"/>
        <v>1950-1975</v>
      </c>
      <c r="I41" t="s">
        <v>10</v>
      </c>
      <c r="J41" t="s">
        <v>11</v>
      </c>
      <c r="K41" t="s">
        <v>12</v>
      </c>
      <c r="L41" s="4">
        <v>218393</v>
      </c>
      <c r="M41" t="str">
        <f t="shared" si="2"/>
        <v>Medium</v>
      </c>
    </row>
    <row r="42" spans="1:13" x14ac:dyDescent="0.35">
      <c r="A42">
        <v>41</v>
      </c>
      <c r="B42">
        <v>2541</v>
      </c>
      <c r="C42" t="str">
        <f t="shared" si="0"/>
        <v>Large</v>
      </c>
      <c r="D42">
        <v>4</v>
      </c>
      <c r="E42">
        <v>3</v>
      </c>
      <c r="F42">
        <v>3</v>
      </c>
      <c r="G42">
        <v>1950</v>
      </c>
      <c r="H42" t="str">
        <f t="shared" si="1"/>
        <v>Pre-1950</v>
      </c>
      <c r="I42" t="s">
        <v>17</v>
      </c>
      <c r="J42" t="s">
        <v>13</v>
      </c>
      <c r="K42" t="s">
        <v>16</v>
      </c>
      <c r="L42" s="4">
        <v>333453</v>
      </c>
      <c r="M42" t="str">
        <f t="shared" si="2"/>
        <v>Medium</v>
      </c>
    </row>
    <row r="43" spans="1:13" x14ac:dyDescent="0.35">
      <c r="A43">
        <v>42</v>
      </c>
      <c r="B43">
        <v>3324</v>
      </c>
      <c r="C43" t="str">
        <f t="shared" si="0"/>
        <v>Large</v>
      </c>
      <c r="D43">
        <v>5</v>
      </c>
      <c r="E43">
        <v>3</v>
      </c>
      <c r="F43">
        <v>3</v>
      </c>
      <c r="G43">
        <v>1921</v>
      </c>
      <c r="H43" t="str">
        <f t="shared" si="1"/>
        <v>Pre-1950</v>
      </c>
      <c r="I43" t="s">
        <v>10</v>
      </c>
      <c r="J43" t="s">
        <v>13</v>
      </c>
      <c r="K43" t="s">
        <v>12</v>
      </c>
      <c r="L43" s="4">
        <v>986192</v>
      </c>
      <c r="M43" t="str">
        <f t="shared" si="2"/>
        <v>Premium</v>
      </c>
    </row>
    <row r="44" spans="1:13" x14ac:dyDescent="0.35">
      <c r="A44">
        <v>43</v>
      </c>
      <c r="B44">
        <v>3112</v>
      </c>
      <c r="C44" t="str">
        <f t="shared" si="0"/>
        <v>Large</v>
      </c>
      <c r="D44">
        <v>4</v>
      </c>
      <c r="E44">
        <v>3</v>
      </c>
      <c r="F44">
        <v>1</v>
      </c>
      <c r="G44">
        <v>1987</v>
      </c>
      <c r="H44" t="str">
        <f t="shared" si="1"/>
        <v>1976-2000</v>
      </c>
      <c r="I44" t="s">
        <v>14</v>
      </c>
      <c r="J44" t="s">
        <v>11</v>
      </c>
      <c r="K44" t="s">
        <v>12</v>
      </c>
      <c r="L44" s="4">
        <v>340320</v>
      </c>
      <c r="M44" t="str">
        <f t="shared" si="2"/>
        <v>Medium</v>
      </c>
    </row>
    <row r="45" spans="1:13" x14ac:dyDescent="0.35">
      <c r="A45">
        <v>44</v>
      </c>
      <c r="B45">
        <v>1863</v>
      </c>
      <c r="C45" t="str">
        <f t="shared" si="0"/>
        <v>Medium</v>
      </c>
      <c r="D45">
        <v>3</v>
      </c>
      <c r="E45">
        <v>3</v>
      </c>
      <c r="F45">
        <v>1</v>
      </c>
      <c r="G45">
        <v>2006</v>
      </c>
      <c r="H45" t="str">
        <f t="shared" si="1"/>
        <v>Post-2000</v>
      </c>
      <c r="I45" t="s">
        <v>17</v>
      </c>
      <c r="J45" t="s">
        <v>11</v>
      </c>
      <c r="K45" t="s">
        <v>12</v>
      </c>
      <c r="L45" s="4">
        <v>643167</v>
      </c>
      <c r="M45" t="str">
        <f t="shared" si="2"/>
        <v>Premium</v>
      </c>
    </row>
    <row r="46" spans="1:13" x14ac:dyDescent="0.35">
      <c r="A46">
        <v>45</v>
      </c>
      <c r="B46">
        <v>1978</v>
      </c>
      <c r="C46" t="str">
        <f t="shared" si="0"/>
        <v>Medium</v>
      </c>
      <c r="D46">
        <v>1</v>
      </c>
      <c r="E46">
        <v>4</v>
      </c>
      <c r="F46">
        <v>2</v>
      </c>
      <c r="G46">
        <v>2008</v>
      </c>
      <c r="H46" t="str">
        <f t="shared" si="1"/>
        <v>Post-2000</v>
      </c>
      <c r="I46" t="s">
        <v>14</v>
      </c>
      <c r="J46" t="s">
        <v>13</v>
      </c>
      <c r="K46" t="s">
        <v>16</v>
      </c>
      <c r="L46" s="4">
        <v>641880</v>
      </c>
      <c r="M46" t="str">
        <f t="shared" si="2"/>
        <v>Premium</v>
      </c>
    </row>
    <row r="47" spans="1:13" x14ac:dyDescent="0.35">
      <c r="A47">
        <v>46</v>
      </c>
      <c r="B47">
        <v>3056</v>
      </c>
      <c r="C47" t="str">
        <f t="shared" si="0"/>
        <v>Large</v>
      </c>
      <c r="D47">
        <v>5</v>
      </c>
      <c r="E47">
        <v>1</v>
      </c>
      <c r="F47">
        <v>1</v>
      </c>
      <c r="G47">
        <v>2015</v>
      </c>
      <c r="H47" t="str">
        <f t="shared" si="1"/>
        <v>Post-2000</v>
      </c>
      <c r="I47" t="s">
        <v>17</v>
      </c>
      <c r="J47" t="s">
        <v>13</v>
      </c>
      <c r="K47" t="s">
        <v>16</v>
      </c>
      <c r="L47" s="4">
        <v>396872</v>
      </c>
      <c r="M47" t="str">
        <f t="shared" si="2"/>
        <v>Medium</v>
      </c>
    </row>
    <row r="48" spans="1:13" x14ac:dyDescent="0.35">
      <c r="A48">
        <v>47</v>
      </c>
      <c r="B48">
        <v>1275</v>
      </c>
      <c r="C48" t="str">
        <f t="shared" si="0"/>
        <v>Medium</v>
      </c>
      <c r="D48">
        <v>3</v>
      </c>
      <c r="E48">
        <v>1</v>
      </c>
      <c r="F48">
        <v>2</v>
      </c>
      <c r="G48">
        <v>2000</v>
      </c>
      <c r="H48" t="str">
        <f t="shared" si="1"/>
        <v>1976-2000</v>
      </c>
      <c r="I48" t="s">
        <v>10</v>
      </c>
      <c r="J48" t="s">
        <v>13</v>
      </c>
      <c r="K48" t="s">
        <v>12</v>
      </c>
      <c r="L48" s="4">
        <v>270084</v>
      </c>
      <c r="M48" t="str">
        <f t="shared" si="2"/>
        <v>Medium</v>
      </c>
    </row>
    <row r="49" spans="1:13" x14ac:dyDescent="0.35">
      <c r="A49">
        <v>48</v>
      </c>
      <c r="B49">
        <v>4514</v>
      </c>
      <c r="C49" t="str">
        <f t="shared" si="0"/>
        <v>Extra Large</v>
      </c>
      <c r="D49">
        <v>2</v>
      </c>
      <c r="E49">
        <v>1</v>
      </c>
      <c r="F49">
        <v>3</v>
      </c>
      <c r="G49">
        <v>1952</v>
      </c>
      <c r="H49" t="str">
        <f t="shared" si="1"/>
        <v>1950-1975</v>
      </c>
      <c r="I49" t="s">
        <v>19</v>
      </c>
      <c r="J49" t="s">
        <v>18</v>
      </c>
      <c r="K49" t="s">
        <v>12</v>
      </c>
      <c r="L49" s="4">
        <v>976920</v>
      </c>
      <c r="M49" t="str">
        <f t="shared" si="2"/>
        <v>Premium</v>
      </c>
    </row>
    <row r="50" spans="1:13" x14ac:dyDescent="0.35">
      <c r="A50">
        <v>49</v>
      </c>
      <c r="B50">
        <v>534</v>
      </c>
      <c r="C50" t="str">
        <f t="shared" si="0"/>
        <v>Small</v>
      </c>
      <c r="D50">
        <v>1</v>
      </c>
      <c r="E50">
        <v>3</v>
      </c>
      <c r="F50">
        <v>2</v>
      </c>
      <c r="G50">
        <v>1999</v>
      </c>
      <c r="H50" t="str">
        <f t="shared" si="1"/>
        <v>1976-2000</v>
      </c>
      <c r="I50" t="s">
        <v>10</v>
      </c>
      <c r="J50" t="s">
        <v>18</v>
      </c>
      <c r="K50" t="s">
        <v>16</v>
      </c>
      <c r="L50" s="4">
        <v>771782</v>
      </c>
      <c r="M50" t="str">
        <f t="shared" si="2"/>
        <v>Premium</v>
      </c>
    </row>
    <row r="51" spans="1:13" x14ac:dyDescent="0.35">
      <c r="A51">
        <v>50</v>
      </c>
      <c r="B51">
        <v>3652</v>
      </c>
      <c r="C51" t="str">
        <f t="shared" si="0"/>
        <v>Large</v>
      </c>
      <c r="D51">
        <v>4</v>
      </c>
      <c r="E51">
        <v>4</v>
      </c>
      <c r="F51">
        <v>2</v>
      </c>
      <c r="G51">
        <v>1935</v>
      </c>
      <c r="H51" t="str">
        <f t="shared" si="1"/>
        <v>Pre-1950</v>
      </c>
      <c r="I51" t="s">
        <v>10</v>
      </c>
      <c r="J51" t="s">
        <v>15</v>
      </c>
      <c r="K51" t="s">
        <v>16</v>
      </c>
      <c r="L51" s="4">
        <v>845016</v>
      </c>
      <c r="M51" t="str">
        <f t="shared" si="2"/>
        <v>Premium</v>
      </c>
    </row>
    <row r="52" spans="1:13" x14ac:dyDescent="0.35">
      <c r="A52">
        <v>51</v>
      </c>
      <c r="B52">
        <v>2455</v>
      </c>
      <c r="C52" t="str">
        <f t="shared" si="0"/>
        <v>Medium</v>
      </c>
      <c r="D52">
        <v>1</v>
      </c>
      <c r="E52">
        <v>3</v>
      </c>
      <c r="F52">
        <v>3</v>
      </c>
      <c r="G52">
        <v>1967</v>
      </c>
      <c r="H52" t="str">
        <f t="shared" si="1"/>
        <v>1950-1975</v>
      </c>
      <c r="I52" t="s">
        <v>10</v>
      </c>
      <c r="J52" t="s">
        <v>18</v>
      </c>
      <c r="K52" t="s">
        <v>12</v>
      </c>
      <c r="L52" s="4">
        <v>698843</v>
      </c>
      <c r="M52" t="str">
        <f t="shared" si="2"/>
        <v>Premium</v>
      </c>
    </row>
    <row r="53" spans="1:13" x14ac:dyDescent="0.35">
      <c r="A53">
        <v>52</v>
      </c>
      <c r="B53">
        <v>2085</v>
      </c>
      <c r="C53" t="str">
        <f t="shared" si="0"/>
        <v>Medium</v>
      </c>
      <c r="D53">
        <v>2</v>
      </c>
      <c r="E53">
        <v>3</v>
      </c>
      <c r="F53">
        <v>2</v>
      </c>
      <c r="G53">
        <v>1935</v>
      </c>
      <c r="H53" t="str">
        <f t="shared" si="1"/>
        <v>Pre-1950</v>
      </c>
      <c r="I53" t="s">
        <v>17</v>
      </c>
      <c r="J53" t="s">
        <v>18</v>
      </c>
      <c r="K53" t="s">
        <v>16</v>
      </c>
      <c r="L53" s="4">
        <v>405446</v>
      </c>
      <c r="M53" t="str">
        <f t="shared" si="2"/>
        <v>High</v>
      </c>
    </row>
    <row r="54" spans="1:13" x14ac:dyDescent="0.35">
      <c r="A54">
        <v>53</v>
      </c>
      <c r="B54">
        <v>4443</v>
      </c>
      <c r="C54" t="str">
        <f t="shared" si="0"/>
        <v>Extra Large</v>
      </c>
      <c r="D54">
        <v>5</v>
      </c>
      <c r="E54">
        <v>1</v>
      </c>
      <c r="F54">
        <v>1</v>
      </c>
      <c r="G54">
        <v>1951</v>
      </c>
      <c r="H54" t="str">
        <f t="shared" si="1"/>
        <v>1950-1975</v>
      </c>
      <c r="I54" t="s">
        <v>19</v>
      </c>
      <c r="J54" t="s">
        <v>11</v>
      </c>
      <c r="K54" t="s">
        <v>12</v>
      </c>
      <c r="L54" s="4">
        <v>958840</v>
      </c>
      <c r="M54" t="str">
        <f t="shared" si="2"/>
        <v>Premium</v>
      </c>
    </row>
    <row r="55" spans="1:13" x14ac:dyDescent="0.35">
      <c r="A55">
        <v>54</v>
      </c>
      <c r="B55">
        <v>3573</v>
      </c>
      <c r="C55" t="str">
        <f t="shared" si="0"/>
        <v>Large</v>
      </c>
      <c r="D55">
        <v>5</v>
      </c>
      <c r="E55">
        <v>3</v>
      </c>
      <c r="F55">
        <v>1</v>
      </c>
      <c r="G55">
        <v>1952</v>
      </c>
      <c r="H55" t="str">
        <f t="shared" si="1"/>
        <v>1950-1975</v>
      </c>
      <c r="I55" t="s">
        <v>14</v>
      </c>
      <c r="J55" t="s">
        <v>15</v>
      </c>
      <c r="K55" t="s">
        <v>12</v>
      </c>
      <c r="L55" s="4">
        <v>593118</v>
      </c>
      <c r="M55" t="str">
        <f t="shared" si="2"/>
        <v>High</v>
      </c>
    </row>
    <row r="56" spans="1:13" x14ac:dyDescent="0.35">
      <c r="A56">
        <v>55</v>
      </c>
      <c r="B56">
        <v>1521</v>
      </c>
      <c r="C56" t="str">
        <f t="shared" si="0"/>
        <v>Medium</v>
      </c>
      <c r="D56">
        <v>5</v>
      </c>
      <c r="E56">
        <v>2</v>
      </c>
      <c r="F56">
        <v>1</v>
      </c>
      <c r="G56">
        <v>1981</v>
      </c>
      <c r="H56" t="str">
        <f t="shared" si="1"/>
        <v>1976-2000</v>
      </c>
      <c r="I56" t="s">
        <v>10</v>
      </c>
      <c r="J56" t="s">
        <v>15</v>
      </c>
      <c r="K56" t="s">
        <v>16</v>
      </c>
      <c r="L56" s="4">
        <v>266897</v>
      </c>
      <c r="M56" t="str">
        <f t="shared" si="2"/>
        <v>Medium</v>
      </c>
    </row>
    <row r="57" spans="1:13" x14ac:dyDescent="0.35">
      <c r="A57">
        <v>56</v>
      </c>
      <c r="B57">
        <v>3961</v>
      </c>
      <c r="C57" t="str">
        <f t="shared" si="0"/>
        <v>Large</v>
      </c>
      <c r="D57">
        <v>4</v>
      </c>
      <c r="E57">
        <v>3</v>
      </c>
      <c r="F57">
        <v>1</v>
      </c>
      <c r="G57">
        <v>1949</v>
      </c>
      <c r="H57" t="str">
        <f t="shared" si="1"/>
        <v>Pre-1950</v>
      </c>
      <c r="I57" t="s">
        <v>17</v>
      </c>
      <c r="J57" t="s">
        <v>18</v>
      </c>
      <c r="K57" t="s">
        <v>16</v>
      </c>
      <c r="L57" s="4">
        <v>826522</v>
      </c>
      <c r="M57" t="str">
        <f t="shared" si="2"/>
        <v>Premium</v>
      </c>
    </row>
    <row r="58" spans="1:13" x14ac:dyDescent="0.35">
      <c r="A58">
        <v>57</v>
      </c>
      <c r="B58">
        <v>3113</v>
      </c>
      <c r="C58" t="str">
        <f t="shared" si="0"/>
        <v>Large</v>
      </c>
      <c r="D58">
        <v>3</v>
      </c>
      <c r="E58">
        <v>2</v>
      </c>
      <c r="F58">
        <v>2</v>
      </c>
      <c r="G58">
        <v>1979</v>
      </c>
      <c r="H58" t="str">
        <f t="shared" si="1"/>
        <v>1976-2000</v>
      </c>
      <c r="I58" t="s">
        <v>14</v>
      </c>
      <c r="J58" t="s">
        <v>11</v>
      </c>
      <c r="K58" t="s">
        <v>12</v>
      </c>
      <c r="L58" s="4">
        <v>913498</v>
      </c>
      <c r="M58" t="str">
        <f t="shared" si="2"/>
        <v>Premium</v>
      </c>
    </row>
    <row r="59" spans="1:13" x14ac:dyDescent="0.35">
      <c r="A59">
        <v>58</v>
      </c>
      <c r="B59">
        <v>4343</v>
      </c>
      <c r="C59" t="str">
        <f t="shared" si="0"/>
        <v>Extra Large</v>
      </c>
      <c r="D59">
        <v>3</v>
      </c>
      <c r="E59">
        <v>3</v>
      </c>
      <c r="F59">
        <v>2</v>
      </c>
      <c r="G59">
        <v>1940</v>
      </c>
      <c r="H59" t="str">
        <f t="shared" si="1"/>
        <v>Pre-1950</v>
      </c>
      <c r="I59" t="s">
        <v>10</v>
      </c>
      <c r="J59" t="s">
        <v>11</v>
      </c>
      <c r="K59" t="s">
        <v>12</v>
      </c>
      <c r="L59" s="4">
        <v>840023</v>
      </c>
      <c r="M59" t="str">
        <f t="shared" si="2"/>
        <v>Premium</v>
      </c>
    </row>
    <row r="60" spans="1:13" x14ac:dyDescent="0.35">
      <c r="A60">
        <v>59</v>
      </c>
      <c r="B60">
        <v>2000</v>
      </c>
      <c r="C60" t="str">
        <f t="shared" si="0"/>
        <v>Medium</v>
      </c>
      <c r="D60">
        <v>1</v>
      </c>
      <c r="E60">
        <v>4</v>
      </c>
      <c r="F60">
        <v>3</v>
      </c>
      <c r="G60">
        <v>1917</v>
      </c>
      <c r="H60" t="str">
        <f t="shared" si="1"/>
        <v>Pre-1950</v>
      </c>
      <c r="I60" t="s">
        <v>14</v>
      </c>
      <c r="J60" t="s">
        <v>15</v>
      </c>
      <c r="K60" t="s">
        <v>16</v>
      </c>
      <c r="L60" s="4">
        <v>143878</v>
      </c>
      <c r="M60" t="str">
        <f t="shared" si="2"/>
        <v>Low</v>
      </c>
    </row>
    <row r="61" spans="1:13" x14ac:dyDescent="0.35">
      <c r="A61">
        <v>60</v>
      </c>
      <c r="B61">
        <v>661</v>
      </c>
      <c r="C61" t="str">
        <f t="shared" si="0"/>
        <v>Small</v>
      </c>
      <c r="D61">
        <v>4</v>
      </c>
      <c r="E61">
        <v>4</v>
      </c>
      <c r="F61">
        <v>2</v>
      </c>
      <c r="G61">
        <v>1921</v>
      </c>
      <c r="H61" t="str">
        <f t="shared" si="1"/>
        <v>Pre-1950</v>
      </c>
      <c r="I61" t="s">
        <v>10</v>
      </c>
      <c r="J61" t="s">
        <v>11</v>
      </c>
      <c r="K61" t="s">
        <v>12</v>
      </c>
      <c r="L61" s="4">
        <v>175407</v>
      </c>
      <c r="M61" t="str">
        <f t="shared" si="2"/>
        <v>Low</v>
      </c>
    </row>
    <row r="62" spans="1:13" x14ac:dyDescent="0.35">
      <c r="A62">
        <v>61</v>
      </c>
      <c r="B62">
        <v>4797</v>
      </c>
      <c r="C62" t="str">
        <f t="shared" si="0"/>
        <v>Extra Large</v>
      </c>
      <c r="D62">
        <v>5</v>
      </c>
      <c r="E62">
        <v>1</v>
      </c>
      <c r="F62">
        <v>2</v>
      </c>
      <c r="G62">
        <v>1965</v>
      </c>
      <c r="H62" t="str">
        <f t="shared" si="1"/>
        <v>1950-1975</v>
      </c>
      <c r="I62" t="s">
        <v>14</v>
      </c>
      <c r="J62" t="s">
        <v>13</v>
      </c>
      <c r="K62" t="s">
        <v>16</v>
      </c>
      <c r="L62" s="4">
        <v>691157</v>
      </c>
      <c r="M62" t="str">
        <f t="shared" si="2"/>
        <v>Premium</v>
      </c>
    </row>
    <row r="63" spans="1:13" x14ac:dyDescent="0.35">
      <c r="A63">
        <v>62</v>
      </c>
      <c r="B63">
        <v>2481</v>
      </c>
      <c r="C63" t="str">
        <f t="shared" si="0"/>
        <v>Medium</v>
      </c>
      <c r="D63">
        <v>5</v>
      </c>
      <c r="E63">
        <v>3</v>
      </c>
      <c r="F63">
        <v>2</v>
      </c>
      <c r="G63">
        <v>1920</v>
      </c>
      <c r="H63" t="str">
        <f t="shared" si="1"/>
        <v>Pre-1950</v>
      </c>
      <c r="I63" t="s">
        <v>14</v>
      </c>
      <c r="J63" t="s">
        <v>18</v>
      </c>
      <c r="K63" t="s">
        <v>16</v>
      </c>
      <c r="L63" s="4">
        <v>307716</v>
      </c>
      <c r="M63" t="str">
        <f t="shared" si="2"/>
        <v>Medium</v>
      </c>
    </row>
    <row r="64" spans="1:13" x14ac:dyDescent="0.35">
      <c r="A64">
        <v>63</v>
      </c>
      <c r="B64">
        <v>1495</v>
      </c>
      <c r="C64" t="str">
        <f t="shared" si="0"/>
        <v>Medium</v>
      </c>
      <c r="D64">
        <v>2</v>
      </c>
      <c r="E64">
        <v>2</v>
      </c>
      <c r="F64">
        <v>3</v>
      </c>
      <c r="G64">
        <v>1999</v>
      </c>
      <c r="H64" t="str">
        <f t="shared" si="1"/>
        <v>1976-2000</v>
      </c>
      <c r="I64" t="s">
        <v>19</v>
      </c>
      <c r="J64" t="s">
        <v>13</v>
      </c>
      <c r="K64" t="s">
        <v>16</v>
      </c>
      <c r="L64" s="4">
        <v>857827</v>
      </c>
      <c r="M64" t="str">
        <f t="shared" si="2"/>
        <v>Premium</v>
      </c>
    </row>
    <row r="65" spans="1:13" x14ac:dyDescent="0.35">
      <c r="A65">
        <v>64</v>
      </c>
      <c r="B65">
        <v>3842</v>
      </c>
      <c r="C65" t="str">
        <f t="shared" si="0"/>
        <v>Large</v>
      </c>
      <c r="D65">
        <v>2</v>
      </c>
      <c r="E65">
        <v>2</v>
      </c>
      <c r="F65">
        <v>1</v>
      </c>
      <c r="G65">
        <v>1943</v>
      </c>
      <c r="H65" t="str">
        <f t="shared" si="1"/>
        <v>Pre-1950</v>
      </c>
      <c r="I65" t="s">
        <v>19</v>
      </c>
      <c r="J65" t="s">
        <v>15</v>
      </c>
      <c r="K65" t="s">
        <v>16</v>
      </c>
      <c r="L65" s="4">
        <v>66738</v>
      </c>
      <c r="M65" t="str">
        <f t="shared" si="2"/>
        <v>Low</v>
      </c>
    </row>
    <row r="66" spans="1:13" x14ac:dyDescent="0.35">
      <c r="A66">
        <v>65</v>
      </c>
      <c r="B66">
        <v>4298</v>
      </c>
      <c r="C66" t="str">
        <f t="shared" si="0"/>
        <v>Extra Large</v>
      </c>
      <c r="D66">
        <v>5</v>
      </c>
      <c r="E66">
        <v>3</v>
      </c>
      <c r="F66">
        <v>2</v>
      </c>
      <c r="G66">
        <v>2002</v>
      </c>
      <c r="H66" t="str">
        <f t="shared" si="1"/>
        <v>Post-2000</v>
      </c>
      <c r="I66" t="s">
        <v>10</v>
      </c>
      <c r="J66" t="s">
        <v>15</v>
      </c>
      <c r="K66" t="s">
        <v>16</v>
      </c>
      <c r="L66" s="4">
        <v>183703</v>
      </c>
      <c r="M66" t="str">
        <f t="shared" si="2"/>
        <v>Low</v>
      </c>
    </row>
    <row r="67" spans="1:13" x14ac:dyDescent="0.35">
      <c r="A67">
        <v>66</v>
      </c>
      <c r="B67">
        <v>1775</v>
      </c>
      <c r="C67" t="str">
        <f t="shared" ref="C67:C130" si="3">IF(B67&lt;=1000,"Small",IF(B67&lt;=2500,"Medium",IF(B67&lt;=4000,"Large",IF(B67&gt;=4000,"Extra Large"))))</f>
        <v>Medium</v>
      </c>
      <c r="D67">
        <v>5</v>
      </c>
      <c r="E67">
        <v>2</v>
      </c>
      <c r="F67">
        <v>3</v>
      </c>
      <c r="G67">
        <v>1946</v>
      </c>
      <c r="H67" t="str">
        <f t="shared" ref="H67:H130" si="4">IF(G67&lt;=1950,"Pre-1950",IF(G67&lt;=1975,"1950-1975",IF(G67&lt;=2000,"1976-2000",IF(G67&gt;=2000,"Post-2000"))))</f>
        <v>Pre-1950</v>
      </c>
      <c r="I67" t="s">
        <v>17</v>
      </c>
      <c r="J67" t="s">
        <v>11</v>
      </c>
      <c r="K67" t="s">
        <v>12</v>
      </c>
      <c r="L67" s="4">
        <v>723265</v>
      </c>
      <c r="M67" t="str">
        <f t="shared" ref="M67:M130" si="5">IF(L67&lt;=200000,"Low",IF(L67&lt;=400000,"Medium",IF(L67&lt;=600000,"High",IF(L67&gt;=600000,"Premium",""))))</f>
        <v>Premium</v>
      </c>
    </row>
    <row r="68" spans="1:13" x14ac:dyDescent="0.35">
      <c r="A68">
        <v>67</v>
      </c>
      <c r="B68">
        <v>1516</v>
      </c>
      <c r="C68" t="str">
        <f t="shared" si="3"/>
        <v>Medium</v>
      </c>
      <c r="D68">
        <v>4</v>
      </c>
      <c r="E68">
        <v>4</v>
      </c>
      <c r="F68">
        <v>3</v>
      </c>
      <c r="G68">
        <v>1938</v>
      </c>
      <c r="H68" t="str">
        <f t="shared" si="4"/>
        <v>Pre-1950</v>
      </c>
      <c r="I68" t="s">
        <v>19</v>
      </c>
      <c r="J68" t="s">
        <v>11</v>
      </c>
      <c r="K68" t="s">
        <v>16</v>
      </c>
      <c r="L68" s="4">
        <v>593344</v>
      </c>
      <c r="M68" t="str">
        <f t="shared" si="5"/>
        <v>High</v>
      </c>
    </row>
    <row r="69" spans="1:13" x14ac:dyDescent="0.35">
      <c r="A69">
        <v>68</v>
      </c>
      <c r="B69">
        <v>837</v>
      </c>
      <c r="C69" t="str">
        <f t="shared" si="3"/>
        <v>Small</v>
      </c>
      <c r="D69">
        <v>3</v>
      </c>
      <c r="E69">
        <v>2</v>
      </c>
      <c r="F69">
        <v>3</v>
      </c>
      <c r="G69">
        <v>1928</v>
      </c>
      <c r="H69" t="str">
        <f t="shared" si="4"/>
        <v>Pre-1950</v>
      </c>
      <c r="I69" t="s">
        <v>14</v>
      </c>
      <c r="J69" t="s">
        <v>15</v>
      </c>
      <c r="K69" t="s">
        <v>16</v>
      </c>
      <c r="L69" s="4">
        <v>815034</v>
      </c>
      <c r="M69" t="str">
        <f t="shared" si="5"/>
        <v>Premium</v>
      </c>
    </row>
    <row r="70" spans="1:13" x14ac:dyDescent="0.35">
      <c r="A70">
        <v>69</v>
      </c>
      <c r="B70">
        <v>1378</v>
      </c>
      <c r="C70" t="str">
        <f t="shared" si="3"/>
        <v>Medium</v>
      </c>
      <c r="D70">
        <v>2</v>
      </c>
      <c r="E70">
        <v>1</v>
      </c>
      <c r="F70">
        <v>1</v>
      </c>
      <c r="G70">
        <v>1953</v>
      </c>
      <c r="H70" t="str">
        <f t="shared" si="4"/>
        <v>1950-1975</v>
      </c>
      <c r="I70" t="s">
        <v>19</v>
      </c>
      <c r="J70" t="s">
        <v>15</v>
      </c>
      <c r="K70" t="s">
        <v>16</v>
      </c>
      <c r="L70" s="4">
        <v>560241</v>
      </c>
      <c r="M70" t="str">
        <f t="shared" si="5"/>
        <v>High</v>
      </c>
    </row>
    <row r="71" spans="1:13" x14ac:dyDescent="0.35">
      <c r="A71">
        <v>70</v>
      </c>
      <c r="B71">
        <v>1576</v>
      </c>
      <c r="C71" t="str">
        <f t="shared" si="3"/>
        <v>Medium</v>
      </c>
      <c r="D71">
        <v>3</v>
      </c>
      <c r="E71">
        <v>4</v>
      </c>
      <c r="F71">
        <v>2</v>
      </c>
      <c r="G71">
        <v>1989</v>
      </c>
      <c r="H71" t="str">
        <f t="shared" si="4"/>
        <v>1976-2000</v>
      </c>
      <c r="I71" t="s">
        <v>19</v>
      </c>
      <c r="J71" t="s">
        <v>13</v>
      </c>
      <c r="K71" t="s">
        <v>16</v>
      </c>
      <c r="L71" s="4">
        <v>433800</v>
      </c>
      <c r="M71" t="str">
        <f t="shared" si="5"/>
        <v>High</v>
      </c>
    </row>
    <row r="72" spans="1:13" x14ac:dyDescent="0.35">
      <c r="A72">
        <v>71</v>
      </c>
      <c r="B72">
        <v>4493</v>
      </c>
      <c r="C72" t="str">
        <f t="shared" si="3"/>
        <v>Extra Large</v>
      </c>
      <c r="D72">
        <v>4</v>
      </c>
      <c r="E72">
        <v>4</v>
      </c>
      <c r="F72">
        <v>3</v>
      </c>
      <c r="G72">
        <v>1984</v>
      </c>
      <c r="H72" t="str">
        <f t="shared" si="4"/>
        <v>1976-2000</v>
      </c>
      <c r="I72" t="s">
        <v>10</v>
      </c>
      <c r="J72" t="s">
        <v>13</v>
      </c>
      <c r="K72" t="s">
        <v>16</v>
      </c>
      <c r="L72" s="4">
        <v>689604</v>
      </c>
      <c r="M72" t="str">
        <f t="shared" si="5"/>
        <v>Premium</v>
      </c>
    </row>
    <row r="73" spans="1:13" x14ac:dyDescent="0.35">
      <c r="A73">
        <v>72</v>
      </c>
      <c r="B73">
        <v>879</v>
      </c>
      <c r="C73" t="str">
        <f t="shared" si="3"/>
        <v>Small</v>
      </c>
      <c r="D73">
        <v>5</v>
      </c>
      <c r="E73">
        <v>4</v>
      </c>
      <c r="F73">
        <v>1</v>
      </c>
      <c r="G73">
        <v>1916</v>
      </c>
      <c r="H73" t="str">
        <f t="shared" si="4"/>
        <v>Pre-1950</v>
      </c>
      <c r="I73" t="s">
        <v>19</v>
      </c>
      <c r="J73" t="s">
        <v>11</v>
      </c>
      <c r="K73" t="s">
        <v>16</v>
      </c>
      <c r="L73" s="4">
        <v>740807</v>
      </c>
      <c r="M73" t="str">
        <f t="shared" si="5"/>
        <v>Premium</v>
      </c>
    </row>
    <row r="74" spans="1:13" x14ac:dyDescent="0.35">
      <c r="A74">
        <v>73</v>
      </c>
      <c r="B74">
        <v>992</v>
      </c>
      <c r="C74" t="str">
        <f t="shared" si="3"/>
        <v>Small</v>
      </c>
      <c r="D74">
        <v>3</v>
      </c>
      <c r="E74">
        <v>3</v>
      </c>
      <c r="F74">
        <v>3</v>
      </c>
      <c r="G74">
        <v>1979</v>
      </c>
      <c r="H74" t="str">
        <f t="shared" si="4"/>
        <v>1976-2000</v>
      </c>
      <c r="I74" t="s">
        <v>19</v>
      </c>
      <c r="J74" t="s">
        <v>13</v>
      </c>
      <c r="K74" t="s">
        <v>16</v>
      </c>
      <c r="L74" s="4">
        <v>628706</v>
      </c>
      <c r="M74" t="str">
        <f t="shared" si="5"/>
        <v>Premium</v>
      </c>
    </row>
    <row r="75" spans="1:13" x14ac:dyDescent="0.35">
      <c r="A75">
        <v>74</v>
      </c>
      <c r="B75">
        <v>2562</v>
      </c>
      <c r="C75" t="str">
        <f t="shared" si="3"/>
        <v>Large</v>
      </c>
      <c r="D75">
        <v>5</v>
      </c>
      <c r="E75">
        <v>3</v>
      </c>
      <c r="F75">
        <v>3</v>
      </c>
      <c r="G75">
        <v>1959</v>
      </c>
      <c r="H75" t="str">
        <f t="shared" si="4"/>
        <v>1950-1975</v>
      </c>
      <c r="I75" t="s">
        <v>14</v>
      </c>
      <c r="J75" t="s">
        <v>11</v>
      </c>
      <c r="K75" t="s">
        <v>12</v>
      </c>
      <c r="L75" s="4">
        <v>873622</v>
      </c>
      <c r="M75" t="str">
        <f t="shared" si="5"/>
        <v>Premium</v>
      </c>
    </row>
    <row r="76" spans="1:13" x14ac:dyDescent="0.35">
      <c r="A76">
        <v>75</v>
      </c>
      <c r="B76">
        <v>4384</v>
      </c>
      <c r="C76" t="str">
        <f t="shared" si="3"/>
        <v>Extra Large</v>
      </c>
      <c r="D76">
        <v>5</v>
      </c>
      <c r="E76">
        <v>4</v>
      </c>
      <c r="F76">
        <v>3</v>
      </c>
      <c r="G76">
        <v>1930</v>
      </c>
      <c r="H76" t="str">
        <f t="shared" si="4"/>
        <v>Pre-1950</v>
      </c>
      <c r="I76" t="s">
        <v>19</v>
      </c>
      <c r="J76" t="s">
        <v>11</v>
      </c>
      <c r="K76" t="s">
        <v>12</v>
      </c>
      <c r="L76" s="4">
        <v>76014</v>
      </c>
      <c r="M76" t="str">
        <f t="shared" si="5"/>
        <v>Low</v>
      </c>
    </row>
    <row r="77" spans="1:13" x14ac:dyDescent="0.35">
      <c r="A77">
        <v>76</v>
      </c>
      <c r="B77">
        <v>564</v>
      </c>
      <c r="C77" t="str">
        <f t="shared" si="3"/>
        <v>Small</v>
      </c>
      <c r="D77">
        <v>1</v>
      </c>
      <c r="E77">
        <v>3</v>
      </c>
      <c r="F77">
        <v>3</v>
      </c>
      <c r="G77">
        <v>2014</v>
      </c>
      <c r="H77" t="str">
        <f t="shared" si="4"/>
        <v>Post-2000</v>
      </c>
      <c r="I77" t="s">
        <v>14</v>
      </c>
      <c r="J77" t="s">
        <v>18</v>
      </c>
      <c r="K77" t="s">
        <v>12</v>
      </c>
      <c r="L77" s="4">
        <v>778359</v>
      </c>
      <c r="M77" t="str">
        <f t="shared" si="5"/>
        <v>Premium</v>
      </c>
    </row>
    <row r="78" spans="1:13" x14ac:dyDescent="0.35">
      <c r="A78">
        <v>77</v>
      </c>
      <c r="B78">
        <v>3068</v>
      </c>
      <c r="C78" t="str">
        <f t="shared" si="3"/>
        <v>Large</v>
      </c>
      <c r="D78">
        <v>3</v>
      </c>
      <c r="E78">
        <v>2</v>
      </c>
      <c r="F78">
        <v>3</v>
      </c>
      <c r="G78">
        <v>1972</v>
      </c>
      <c r="H78" t="str">
        <f t="shared" si="4"/>
        <v>1950-1975</v>
      </c>
      <c r="I78" t="s">
        <v>19</v>
      </c>
      <c r="J78" t="s">
        <v>11</v>
      </c>
      <c r="K78" t="s">
        <v>12</v>
      </c>
      <c r="L78" s="4">
        <v>813277</v>
      </c>
      <c r="M78" t="str">
        <f t="shared" si="5"/>
        <v>Premium</v>
      </c>
    </row>
    <row r="79" spans="1:13" x14ac:dyDescent="0.35">
      <c r="A79">
        <v>78</v>
      </c>
      <c r="B79">
        <v>2527</v>
      </c>
      <c r="C79" t="str">
        <f t="shared" si="3"/>
        <v>Large</v>
      </c>
      <c r="D79">
        <v>3</v>
      </c>
      <c r="E79">
        <v>3</v>
      </c>
      <c r="F79">
        <v>1</v>
      </c>
      <c r="G79">
        <v>1994</v>
      </c>
      <c r="H79" t="str">
        <f t="shared" si="4"/>
        <v>1976-2000</v>
      </c>
      <c r="I79" t="s">
        <v>19</v>
      </c>
      <c r="J79" t="s">
        <v>13</v>
      </c>
      <c r="K79" t="s">
        <v>16</v>
      </c>
      <c r="L79" s="4">
        <v>231350</v>
      </c>
      <c r="M79" t="str">
        <f t="shared" si="5"/>
        <v>Medium</v>
      </c>
    </row>
    <row r="80" spans="1:13" x14ac:dyDescent="0.35">
      <c r="A80">
        <v>79</v>
      </c>
      <c r="B80">
        <v>3195</v>
      </c>
      <c r="C80" t="str">
        <f t="shared" si="3"/>
        <v>Large</v>
      </c>
      <c r="D80">
        <v>5</v>
      </c>
      <c r="E80">
        <v>3</v>
      </c>
      <c r="F80">
        <v>2</v>
      </c>
      <c r="G80">
        <v>1977</v>
      </c>
      <c r="H80" t="str">
        <f t="shared" si="4"/>
        <v>1976-2000</v>
      </c>
      <c r="I80" t="s">
        <v>17</v>
      </c>
      <c r="J80" t="s">
        <v>15</v>
      </c>
      <c r="K80" t="s">
        <v>12</v>
      </c>
      <c r="L80" s="4">
        <v>961995</v>
      </c>
      <c r="M80" t="str">
        <f t="shared" si="5"/>
        <v>Premium</v>
      </c>
    </row>
    <row r="81" spans="1:13" x14ac:dyDescent="0.35">
      <c r="A81">
        <v>80</v>
      </c>
      <c r="B81">
        <v>1995</v>
      </c>
      <c r="C81" t="str">
        <f t="shared" si="3"/>
        <v>Medium</v>
      </c>
      <c r="D81">
        <v>4</v>
      </c>
      <c r="E81">
        <v>4</v>
      </c>
      <c r="F81">
        <v>2</v>
      </c>
      <c r="G81">
        <v>1948</v>
      </c>
      <c r="H81" t="str">
        <f t="shared" si="4"/>
        <v>Pre-1950</v>
      </c>
      <c r="I81" t="s">
        <v>19</v>
      </c>
      <c r="J81" t="s">
        <v>15</v>
      </c>
      <c r="K81" t="s">
        <v>16</v>
      </c>
      <c r="L81" s="4">
        <v>838212</v>
      </c>
      <c r="M81" t="str">
        <f t="shared" si="5"/>
        <v>Premium</v>
      </c>
    </row>
    <row r="82" spans="1:13" x14ac:dyDescent="0.35">
      <c r="A82">
        <v>81</v>
      </c>
      <c r="B82">
        <v>891</v>
      </c>
      <c r="C82" t="str">
        <f t="shared" si="3"/>
        <v>Small</v>
      </c>
      <c r="D82">
        <v>1</v>
      </c>
      <c r="E82">
        <v>1</v>
      </c>
      <c r="F82">
        <v>2</v>
      </c>
      <c r="G82">
        <v>2000</v>
      </c>
      <c r="H82" t="str">
        <f t="shared" si="4"/>
        <v>1976-2000</v>
      </c>
      <c r="I82" t="s">
        <v>14</v>
      </c>
      <c r="J82" t="s">
        <v>13</v>
      </c>
      <c r="K82" t="s">
        <v>12</v>
      </c>
      <c r="L82" s="4">
        <v>534859</v>
      </c>
      <c r="M82" t="str">
        <f t="shared" si="5"/>
        <v>High</v>
      </c>
    </row>
    <row r="83" spans="1:13" x14ac:dyDescent="0.35">
      <c r="A83">
        <v>82</v>
      </c>
      <c r="B83">
        <v>4974</v>
      </c>
      <c r="C83" t="str">
        <f t="shared" si="3"/>
        <v>Extra Large</v>
      </c>
      <c r="D83">
        <v>5</v>
      </c>
      <c r="E83">
        <v>1</v>
      </c>
      <c r="F83">
        <v>2</v>
      </c>
      <c r="G83">
        <v>1901</v>
      </c>
      <c r="H83" t="str">
        <f t="shared" si="4"/>
        <v>Pre-1950</v>
      </c>
      <c r="I83" t="s">
        <v>14</v>
      </c>
      <c r="J83" t="s">
        <v>15</v>
      </c>
      <c r="K83" t="s">
        <v>12</v>
      </c>
      <c r="L83" s="4">
        <v>764618</v>
      </c>
      <c r="M83" t="str">
        <f t="shared" si="5"/>
        <v>Premium</v>
      </c>
    </row>
    <row r="84" spans="1:13" x14ac:dyDescent="0.35">
      <c r="A84">
        <v>83</v>
      </c>
      <c r="B84">
        <v>4061</v>
      </c>
      <c r="C84" t="str">
        <f t="shared" si="3"/>
        <v>Extra Large</v>
      </c>
      <c r="D84">
        <v>2</v>
      </c>
      <c r="E84">
        <v>1</v>
      </c>
      <c r="F84">
        <v>1</v>
      </c>
      <c r="G84">
        <v>2015</v>
      </c>
      <c r="H84" t="str">
        <f t="shared" si="4"/>
        <v>Post-2000</v>
      </c>
      <c r="I84" t="s">
        <v>10</v>
      </c>
      <c r="J84" t="s">
        <v>11</v>
      </c>
      <c r="K84" t="s">
        <v>16</v>
      </c>
      <c r="L84" s="4">
        <v>540339</v>
      </c>
      <c r="M84" t="str">
        <f t="shared" si="5"/>
        <v>High</v>
      </c>
    </row>
    <row r="85" spans="1:13" x14ac:dyDescent="0.35">
      <c r="A85">
        <v>84</v>
      </c>
      <c r="B85">
        <v>2778</v>
      </c>
      <c r="C85" t="str">
        <f t="shared" si="3"/>
        <v>Large</v>
      </c>
      <c r="D85">
        <v>2</v>
      </c>
      <c r="E85">
        <v>2</v>
      </c>
      <c r="F85">
        <v>1</v>
      </c>
      <c r="G85">
        <v>1947</v>
      </c>
      <c r="H85" t="str">
        <f t="shared" si="4"/>
        <v>Pre-1950</v>
      </c>
      <c r="I85" t="s">
        <v>10</v>
      </c>
      <c r="J85" t="s">
        <v>15</v>
      </c>
      <c r="K85" t="s">
        <v>16</v>
      </c>
      <c r="L85" s="4">
        <v>92192</v>
      </c>
      <c r="M85" t="str">
        <f t="shared" si="5"/>
        <v>Low</v>
      </c>
    </row>
    <row r="86" spans="1:13" x14ac:dyDescent="0.35">
      <c r="A86">
        <v>85</v>
      </c>
      <c r="B86">
        <v>3599</v>
      </c>
      <c r="C86" t="str">
        <f t="shared" si="3"/>
        <v>Large</v>
      </c>
      <c r="D86">
        <v>1</v>
      </c>
      <c r="E86">
        <v>3</v>
      </c>
      <c r="F86">
        <v>1</v>
      </c>
      <c r="G86">
        <v>2009</v>
      </c>
      <c r="H86" t="str">
        <f t="shared" si="4"/>
        <v>Post-2000</v>
      </c>
      <c r="I86" t="s">
        <v>17</v>
      </c>
      <c r="J86" t="s">
        <v>13</v>
      </c>
      <c r="K86" t="s">
        <v>12</v>
      </c>
      <c r="L86" s="4">
        <v>941307</v>
      </c>
      <c r="M86" t="str">
        <f t="shared" si="5"/>
        <v>Premium</v>
      </c>
    </row>
    <row r="87" spans="1:13" x14ac:dyDescent="0.35">
      <c r="A87">
        <v>86</v>
      </c>
      <c r="B87">
        <v>700</v>
      </c>
      <c r="C87" t="str">
        <f t="shared" si="3"/>
        <v>Small</v>
      </c>
      <c r="D87">
        <v>4</v>
      </c>
      <c r="E87">
        <v>1</v>
      </c>
      <c r="F87">
        <v>3</v>
      </c>
      <c r="G87">
        <v>1913</v>
      </c>
      <c r="H87" t="str">
        <f t="shared" si="4"/>
        <v>Pre-1950</v>
      </c>
      <c r="I87" t="s">
        <v>14</v>
      </c>
      <c r="J87" t="s">
        <v>15</v>
      </c>
      <c r="K87" t="s">
        <v>12</v>
      </c>
      <c r="L87" s="4">
        <v>411273</v>
      </c>
      <c r="M87" t="str">
        <f t="shared" si="5"/>
        <v>High</v>
      </c>
    </row>
    <row r="88" spans="1:13" x14ac:dyDescent="0.35">
      <c r="A88">
        <v>87</v>
      </c>
      <c r="B88">
        <v>3604</v>
      </c>
      <c r="C88" t="str">
        <f t="shared" si="3"/>
        <v>Large</v>
      </c>
      <c r="D88">
        <v>5</v>
      </c>
      <c r="E88">
        <v>4</v>
      </c>
      <c r="F88">
        <v>3</v>
      </c>
      <c r="G88">
        <v>1958</v>
      </c>
      <c r="H88" t="str">
        <f t="shared" si="4"/>
        <v>1950-1975</v>
      </c>
      <c r="I88" t="s">
        <v>14</v>
      </c>
      <c r="J88" t="s">
        <v>11</v>
      </c>
      <c r="K88" t="s">
        <v>12</v>
      </c>
      <c r="L88" s="4">
        <v>93923</v>
      </c>
      <c r="M88" t="str">
        <f t="shared" si="5"/>
        <v>Low</v>
      </c>
    </row>
    <row r="89" spans="1:13" x14ac:dyDescent="0.35">
      <c r="A89">
        <v>88</v>
      </c>
      <c r="B89">
        <v>2954</v>
      </c>
      <c r="C89" t="str">
        <f t="shared" si="3"/>
        <v>Large</v>
      </c>
      <c r="D89">
        <v>3</v>
      </c>
      <c r="E89">
        <v>1</v>
      </c>
      <c r="F89">
        <v>3</v>
      </c>
      <c r="G89">
        <v>1996</v>
      </c>
      <c r="H89" t="str">
        <f t="shared" si="4"/>
        <v>1976-2000</v>
      </c>
      <c r="I89" t="s">
        <v>14</v>
      </c>
      <c r="J89" t="s">
        <v>11</v>
      </c>
      <c r="K89" t="s">
        <v>12</v>
      </c>
      <c r="L89" s="4">
        <v>663484</v>
      </c>
      <c r="M89" t="str">
        <f t="shared" si="5"/>
        <v>Premium</v>
      </c>
    </row>
    <row r="90" spans="1:13" x14ac:dyDescent="0.35">
      <c r="A90">
        <v>89</v>
      </c>
      <c r="B90">
        <v>4145</v>
      </c>
      <c r="C90" t="str">
        <f t="shared" si="3"/>
        <v>Extra Large</v>
      </c>
      <c r="D90">
        <v>1</v>
      </c>
      <c r="E90">
        <v>1</v>
      </c>
      <c r="F90">
        <v>2</v>
      </c>
      <c r="G90">
        <v>1998</v>
      </c>
      <c r="H90" t="str">
        <f t="shared" si="4"/>
        <v>1976-2000</v>
      </c>
      <c r="I90" t="s">
        <v>17</v>
      </c>
      <c r="J90" t="s">
        <v>13</v>
      </c>
      <c r="K90" t="s">
        <v>16</v>
      </c>
      <c r="L90" s="4">
        <v>576683</v>
      </c>
      <c r="M90" t="str">
        <f t="shared" si="5"/>
        <v>High</v>
      </c>
    </row>
    <row r="91" spans="1:13" x14ac:dyDescent="0.35">
      <c r="A91">
        <v>90</v>
      </c>
      <c r="B91">
        <v>1304</v>
      </c>
      <c r="C91" t="str">
        <f t="shared" si="3"/>
        <v>Medium</v>
      </c>
      <c r="D91">
        <v>4</v>
      </c>
      <c r="E91">
        <v>3</v>
      </c>
      <c r="F91">
        <v>3</v>
      </c>
      <c r="G91">
        <v>1957</v>
      </c>
      <c r="H91" t="str">
        <f t="shared" si="4"/>
        <v>1950-1975</v>
      </c>
      <c r="I91" t="s">
        <v>14</v>
      </c>
      <c r="J91" t="s">
        <v>13</v>
      </c>
      <c r="K91" t="s">
        <v>12</v>
      </c>
      <c r="L91" s="4">
        <v>414593</v>
      </c>
      <c r="M91" t="str">
        <f t="shared" si="5"/>
        <v>High</v>
      </c>
    </row>
    <row r="92" spans="1:13" x14ac:dyDescent="0.35">
      <c r="A92">
        <v>91</v>
      </c>
      <c r="B92">
        <v>3231</v>
      </c>
      <c r="C92" t="str">
        <f t="shared" si="3"/>
        <v>Large</v>
      </c>
      <c r="D92">
        <v>3</v>
      </c>
      <c r="E92">
        <v>3</v>
      </c>
      <c r="F92">
        <v>2</v>
      </c>
      <c r="G92">
        <v>2002</v>
      </c>
      <c r="H92" t="str">
        <f t="shared" si="4"/>
        <v>Post-2000</v>
      </c>
      <c r="I92" t="s">
        <v>10</v>
      </c>
      <c r="J92" t="s">
        <v>13</v>
      </c>
      <c r="K92" t="s">
        <v>12</v>
      </c>
      <c r="L92" s="4">
        <v>433891</v>
      </c>
      <c r="M92" t="str">
        <f t="shared" si="5"/>
        <v>High</v>
      </c>
    </row>
    <row r="93" spans="1:13" x14ac:dyDescent="0.35">
      <c r="A93">
        <v>92</v>
      </c>
      <c r="B93">
        <v>3273</v>
      </c>
      <c r="C93" t="str">
        <f t="shared" si="3"/>
        <v>Large</v>
      </c>
      <c r="D93">
        <v>2</v>
      </c>
      <c r="E93">
        <v>3</v>
      </c>
      <c r="F93">
        <v>3</v>
      </c>
      <c r="G93">
        <v>1957</v>
      </c>
      <c r="H93" t="str">
        <f t="shared" si="4"/>
        <v>1950-1975</v>
      </c>
      <c r="I93" t="s">
        <v>17</v>
      </c>
      <c r="J93" t="s">
        <v>18</v>
      </c>
      <c r="K93" t="s">
        <v>12</v>
      </c>
      <c r="L93" s="4">
        <v>802744</v>
      </c>
      <c r="M93" t="str">
        <f t="shared" si="5"/>
        <v>Premium</v>
      </c>
    </row>
    <row r="94" spans="1:13" x14ac:dyDescent="0.35">
      <c r="A94">
        <v>93</v>
      </c>
      <c r="B94">
        <v>2070</v>
      </c>
      <c r="C94" t="str">
        <f t="shared" si="3"/>
        <v>Medium</v>
      </c>
      <c r="D94">
        <v>2</v>
      </c>
      <c r="E94">
        <v>2</v>
      </c>
      <c r="F94">
        <v>2</v>
      </c>
      <c r="G94">
        <v>2010</v>
      </c>
      <c r="H94" t="str">
        <f t="shared" si="4"/>
        <v>Post-2000</v>
      </c>
      <c r="I94" t="s">
        <v>10</v>
      </c>
      <c r="J94" t="s">
        <v>18</v>
      </c>
      <c r="K94" t="s">
        <v>12</v>
      </c>
      <c r="L94" s="4">
        <v>458995</v>
      </c>
      <c r="M94" t="str">
        <f t="shared" si="5"/>
        <v>High</v>
      </c>
    </row>
    <row r="95" spans="1:13" x14ac:dyDescent="0.35">
      <c r="A95">
        <v>94</v>
      </c>
      <c r="B95">
        <v>3190</v>
      </c>
      <c r="C95" t="str">
        <f t="shared" si="3"/>
        <v>Large</v>
      </c>
      <c r="D95">
        <v>3</v>
      </c>
      <c r="E95">
        <v>2</v>
      </c>
      <c r="F95">
        <v>3</v>
      </c>
      <c r="G95">
        <v>1950</v>
      </c>
      <c r="H95" t="str">
        <f t="shared" si="4"/>
        <v>Pre-1950</v>
      </c>
      <c r="I95" t="s">
        <v>10</v>
      </c>
      <c r="J95" t="s">
        <v>11</v>
      </c>
      <c r="K95" t="s">
        <v>12</v>
      </c>
      <c r="L95" s="4">
        <v>645316</v>
      </c>
      <c r="M95" t="str">
        <f t="shared" si="5"/>
        <v>Premium</v>
      </c>
    </row>
    <row r="96" spans="1:13" x14ac:dyDescent="0.35">
      <c r="A96">
        <v>95</v>
      </c>
      <c r="B96">
        <v>4340</v>
      </c>
      <c r="C96" t="str">
        <f t="shared" si="3"/>
        <v>Extra Large</v>
      </c>
      <c r="D96">
        <v>1</v>
      </c>
      <c r="E96">
        <v>1</v>
      </c>
      <c r="F96">
        <v>3</v>
      </c>
      <c r="G96">
        <v>1983</v>
      </c>
      <c r="H96" t="str">
        <f t="shared" si="4"/>
        <v>1976-2000</v>
      </c>
      <c r="I96" t="s">
        <v>17</v>
      </c>
      <c r="J96" t="s">
        <v>18</v>
      </c>
      <c r="K96" t="s">
        <v>16</v>
      </c>
      <c r="L96" s="4">
        <v>997226</v>
      </c>
      <c r="M96" t="str">
        <f t="shared" si="5"/>
        <v>Premium</v>
      </c>
    </row>
    <row r="97" spans="1:13" x14ac:dyDescent="0.35">
      <c r="A97">
        <v>96</v>
      </c>
      <c r="B97">
        <v>1528</v>
      </c>
      <c r="C97" t="str">
        <f t="shared" si="3"/>
        <v>Medium</v>
      </c>
      <c r="D97">
        <v>2</v>
      </c>
      <c r="E97">
        <v>3</v>
      </c>
      <c r="F97">
        <v>1</v>
      </c>
      <c r="G97">
        <v>1901</v>
      </c>
      <c r="H97" t="str">
        <f t="shared" si="4"/>
        <v>Pre-1950</v>
      </c>
      <c r="I97" t="s">
        <v>19</v>
      </c>
      <c r="J97" t="s">
        <v>18</v>
      </c>
      <c r="K97" t="s">
        <v>16</v>
      </c>
      <c r="L97" s="4">
        <v>450327</v>
      </c>
      <c r="M97" t="str">
        <f t="shared" si="5"/>
        <v>High</v>
      </c>
    </row>
    <row r="98" spans="1:13" x14ac:dyDescent="0.35">
      <c r="A98">
        <v>97</v>
      </c>
      <c r="B98">
        <v>1002</v>
      </c>
      <c r="C98" t="str">
        <f t="shared" si="3"/>
        <v>Medium</v>
      </c>
      <c r="D98">
        <v>5</v>
      </c>
      <c r="E98">
        <v>1</v>
      </c>
      <c r="F98">
        <v>3</v>
      </c>
      <c r="G98">
        <v>2014</v>
      </c>
      <c r="H98" t="str">
        <f t="shared" si="4"/>
        <v>Post-2000</v>
      </c>
      <c r="I98" t="s">
        <v>19</v>
      </c>
      <c r="J98" t="s">
        <v>15</v>
      </c>
      <c r="K98" t="s">
        <v>16</v>
      </c>
      <c r="L98" s="4">
        <v>816751</v>
      </c>
      <c r="M98" t="str">
        <f t="shared" si="5"/>
        <v>Premium</v>
      </c>
    </row>
    <row r="99" spans="1:13" x14ac:dyDescent="0.35">
      <c r="A99">
        <v>98</v>
      </c>
      <c r="B99">
        <v>4993</v>
      </c>
      <c r="C99" t="str">
        <f t="shared" si="3"/>
        <v>Extra Large</v>
      </c>
      <c r="D99">
        <v>3</v>
      </c>
      <c r="E99">
        <v>4</v>
      </c>
      <c r="F99">
        <v>3</v>
      </c>
      <c r="G99">
        <v>1940</v>
      </c>
      <c r="H99" t="str">
        <f t="shared" si="4"/>
        <v>Pre-1950</v>
      </c>
      <c r="I99" t="s">
        <v>10</v>
      </c>
      <c r="J99" t="s">
        <v>18</v>
      </c>
      <c r="K99" t="s">
        <v>16</v>
      </c>
      <c r="L99" s="4">
        <v>715344</v>
      </c>
      <c r="M99" t="str">
        <f t="shared" si="5"/>
        <v>Premium</v>
      </c>
    </row>
    <row r="100" spans="1:13" x14ac:dyDescent="0.35">
      <c r="A100">
        <v>99</v>
      </c>
      <c r="B100">
        <v>1370</v>
      </c>
      <c r="C100" t="str">
        <f t="shared" si="3"/>
        <v>Medium</v>
      </c>
      <c r="D100">
        <v>3</v>
      </c>
      <c r="E100">
        <v>4</v>
      </c>
      <c r="F100">
        <v>1</v>
      </c>
      <c r="G100">
        <v>1982</v>
      </c>
      <c r="H100" t="str">
        <f t="shared" si="4"/>
        <v>1976-2000</v>
      </c>
      <c r="I100" t="s">
        <v>19</v>
      </c>
      <c r="J100" t="s">
        <v>15</v>
      </c>
      <c r="K100" t="s">
        <v>16</v>
      </c>
      <c r="L100" s="4">
        <v>929608</v>
      </c>
      <c r="M100" t="str">
        <f t="shared" si="5"/>
        <v>Premium</v>
      </c>
    </row>
    <row r="101" spans="1:13" x14ac:dyDescent="0.35">
      <c r="A101">
        <v>100</v>
      </c>
      <c r="B101">
        <v>4988</v>
      </c>
      <c r="C101" t="str">
        <f t="shared" si="3"/>
        <v>Extra Large</v>
      </c>
      <c r="D101">
        <v>2</v>
      </c>
      <c r="E101">
        <v>3</v>
      </c>
      <c r="F101">
        <v>2</v>
      </c>
      <c r="G101">
        <v>2022</v>
      </c>
      <c r="H101" t="str">
        <f t="shared" si="4"/>
        <v>Post-2000</v>
      </c>
      <c r="I101" t="s">
        <v>14</v>
      </c>
      <c r="J101" t="s">
        <v>13</v>
      </c>
      <c r="K101" t="s">
        <v>12</v>
      </c>
      <c r="L101" s="4">
        <v>777688</v>
      </c>
      <c r="M101" t="str">
        <f t="shared" si="5"/>
        <v>Premium</v>
      </c>
    </row>
    <row r="102" spans="1:13" x14ac:dyDescent="0.35">
      <c r="A102">
        <v>101</v>
      </c>
      <c r="B102">
        <v>706</v>
      </c>
      <c r="C102" t="str">
        <f t="shared" si="3"/>
        <v>Small</v>
      </c>
      <c r="D102">
        <v>1</v>
      </c>
      <c r="E102">
        <v>3</v>
      </c>
      <c r="F102">
        <v>1</v>
      </c>
      <c r="G102">
        <v>2000</v>
      </c>
      <c r="H102" t="str">
        <f t="shared" si="4"/>
        <v>1976-2000</v>
      </c>
      <c r="I102" t="s">
        <v>17</v>
      </c>
      <c r="J102" t="s">
        <v>15</v>
      </c>
      <c r="K102" t="s">
        <v>16</v>
      </c>
      <c r="L102" s="4">
        <v>305315</v>
      </c>
      <c r="M102" t="str">
        <f t="shared" si="5"/>
        <v>Medium</v>
      </c>
    </row>
    <row r="103" spans="1:13" x14ac:dyDescent="0.35">
      <c r="A103">
        <v>102</v>
      </c>
      <c r="B103">
        <v>1984</v>
      </c>
      <c r="C103" t="str">
        <f t="shared" si="3"/>
        <v>Medium</v>
      </c>
      <c r="D103">
        <v>5</v>
      </c>
      <c r="E103">
        <v>4</v>
      </c>
      <c r="F103">
        <v>1</v>
      </c>
      <c r="G103">
        <v>1981</v>
      </c>
      <c r="H103" t="str">
        <f t="shared" si="4"/>
        <v>1976-2000</v>
      </c>
      <c r="I103" t="s">
        <v>10</v>
      </c>
      <c r="J103" t="s">
        <v>15</v>
      </c>
      <c r="K103" t="s">
        <v>16</v>
      </c>
      <c r="L103" s="4">
        <v>339068</v>
      </c>
      <c r="M103" t="str">
        <f t="shared" si="5"/>
        <v>Medium</v>
      </c>
    </row>
    <row r="104" spans="1:13" x14ac:dyDescent="0.35">
      <c r="A104">
        <v>103</v>
      </c>
      <c r="B104">
        <v>1363</v>
      </c>
      <c r="C104" t="str">
        <f t="shared" si="3"/>
        <v>Medium</v>
      </c>
      <c r="D104">
        <v>1</v>
      </c>
      <c r="E104">
        <v>3</v>
      </c>
      <c r="F104">
        <v>2</v>
      </c>
      <c r="G104">
        <v>1915</v>
      </c>
      <c r="H104" t="str">
        <f t="shared" si="4"/>
        <v>Pre-1950</v>
      </c>
      <c r="I104" t="s">
        <v>14</v>
      </c>
      <c r="J104" t="s">
        <v>13</v>
      </c>
      <c r="K104" t="s">
        <v>12</v>
      </c>
      <c r="L104" s="4">
        <v>495919</v>
      </c>
      <c r="M104" t="str">
        <f t="shared" si="5"/>
        <v>High</v>
      </c>
    </row>
    <row r="105" spans="1:13" x14ac:dyDescent="0.35">
      <c r="A105">
        <v>104</v>
      </c>
      <c r="B105">
        <v>3290</v>
      </c>
      <c r="C105" t="str">
        <f t="shared" si="3"/>
        <v>Large</v>
      </c>
      <c r="D105">
        <v>4</v>
      </c>
      <c r="E105">
        <v>2</v>
      </c>
      <c r="F105">
        <v>3</v>
      </c>
      <c r="G105">
        <v>1903</v>
      </c>
      <c r="H105" t="str">
        <f t="shared" si="4"/>
        <v>Pre-1950</v>
      </c>
      <c r="I105" t="s">
        <v>19</v>
      </c>
      <c r="J105" t="s">
        <v>13</v>
      </c>
      <c r="K105" t="s">
        <v>16</v>
      </c>
      <c r="L105" s="4">
        <v>344721</v>
      </c>
      <c r="M105" t="str">
        <f t="shared" si="5"/>
        <v>Medium</v>
      </c>
    </row>
    <row r="106" spans="1:13" x14ac:dyDescent="0.35">
      <c r="A106">
        <v>105</v>
      </c>
      <c r="B106">
        <v>1063</v>
      </c>
      <c r="C106" t="str">
        <f t="shared" si="3"/>
        <v>Medium</v>
      </c>
      <c r="D106">
        <v>4</v>
      </c>
      <c r="E106">
        <v>2</v>
      </c>
      <c r="F106">
        <v>2</v>
      </c>
      <c r="G106">
        <v>1911</v>
      </c>
      <c r="H106" t="str">
        <f t="shared" si="4"/>
        <v>Pre-1950</v>
      </c>
      <c r="I106" t="s">
        <v>14</v>
      </c>
      <c r="J106" t="s">
        <v>11</v>
      </c>
      <c r="K106" t="s">
        <v>16</v>
      </c>
      <c r="L106" s="4">
        <v>188783</v>
      </c>
      <c r="M106" t="str">
        <f t="shared" si="5"/>
        <v>Low</v>
      </c>
    </row>
    <row r="107" spans="1:13" x14ac:dyDescent="0.35">
      <c r="A107">
        <v>106</v>
      </c>
      <c r="B107">
        <v>4691</v>
      </c>
      <c r="C107" t="str">
        <f t="shared" si="3"/>
        <v>Extra Large</v>
      </c>
      <c r="D107">
        <v>2</v>
      </c>
      <c r="E107">
        <v>3</v>
      </c>
      <c r="F107">
        <v>3</v>
      </c>
      <c r="G107">
        <v>1928</v>
      </c>
      <c r="H107" t="str">
        <f t="shared" si="4"/>
        <v>Pre-1950</v>
      </c>
      <c r="I107" t="s">
        <v>19</v>
      </c>
      <c r="J107" t="s">
        <v>11</v>
      </c>
      <c r="K107" t="s">
        <v>16</v>
      </c>
      <c r="L107" s="4">
        <v>659836</v>
      </c>
      <c r="M107" t="str">
        <f t="shared" si="5"/>
        <v>Premium</v>
      </c>
    </row>
    <row r="108" spans="1:13" x14ac:dyDescent="0.35">
      <c r="A108">
        <v>107</v>
      </c>
      <c r="B108">
        <v>2257</v>
      </c>
      <c r="C108" t="str">
        <f t="shared" si="3"/>
        <v>Medium</v>
      </c>
      <c r="D108">
        <v>2</v>
      </c>
      <c r="E108">
        <v>4</v>
      </c>
      <c r="F108">
        <v>3</v>
      </c>
      <c r="G108">
        <v>1906</v>
      </c>
      <c r="H108" t="str">
        <f t="shared" si="4"/>
        <v>Pre-1950</v>
      </c>
      <c r="I108" t="s">
        <v>10</v>
      </c>
      <c r="J108" t="s">
        <v>11</v>
      </c>
      <c r="K108" t="s">
        <v>16</v>
      </c>
      <c r="L108" s="4">
        <v>307288</v>
      </c>
      <c r="M108" t="str">
        <f t="shared" si="5"/>
        <v>Medium</v>
      </c>
    </row>
    <row r="109" spans="1:13" x14ac:dyDescent="0.35">
      <c r="A109">
        <v>108</v>
      </c>
      <c r="B109">
        <v>2178</v>
      </c>
      <c r="C109" t="str">
        <f t="shared" si="3"/>
        <v>Medium</v>
      </c>
      <c r="D109">
        <v>2</v>
      </c>
      <c r="E109">
        <v>1</v>
      </c>
      <c r="F109">
        <v>2</v>
      </c>
      <c r="G109">
        <v>1913</v>
      </c>
      <c r="H109" t="str">
        <f t="shared" si="4"/>
        <v>Pre-1950</v>
      </c>
      <c r="I109" t="s">
        <v>14</v>
      </c>
      <c r="J109" t="s">
        <v>11</v>
      </c>
      <c r="K109" t="s">
        <v>12</v>
      </c>
      <c r="L109" s="4">
        <v>543085</v>
      </c>
      <c r="M109" t="str">
        <f t="shared" si="5"/>
        <v>High</v>
      </c>
    </row>
    <row r="110" spans="1:13" x14ac:dyDescent="0.35">
      <c r="A110">
        <v>109</v>
      </c>
      <c r="B110">
        <v>3742</v>
      </c>
      <c r="C110" t="str">
        <f t="shared" si="3"/>
        <v>Large</v>
      </c>
      <c r="D110">
        <v>4</v>
      </c>
      <c r="E110">
        <v>3</v>
      </c>
      <c r="F110">
        <v>1</v>
      </c>
      <c r="G110">
        <v>2018</v>
      </c>
      <c r="H110" t="str">
        <f t="shared" si="4"/>
        <v>Post-2000</v>
      </c>
      <c r="I110" t="s">
        <v>17</v>
      </c>
      <c r="J110" t="s">
        <v>15</v>
      </c>
      <c r="K110" t="s">
        <v>12</v>
      </c>
      <c r="L110" s="4">
        <v>545187</v>
      </c>
      <c r="M110" t="str">
        <f t="shared" si="5"/>
        <v>High</v>
      </c>
    </row>
    <row r="111" spans="1:13" x14ac:dyDescent="0.35">
      <c r="A111">
        <v>110</v>
      </c>
      <c r="B111">
        <v>1559</v>
      </c>
      <c r="C111" t="str">
        <f t="shared" si="3"/>
        <v>Medium</v>
      </c>
      <c r="D111">
        <v>1</v>
      </c>
      <c r="E111">
        <v>3</v>
      </c>
      <c r="F111">
        <v>2</v>
      </c>
      <c r="G111">
        <v>1911</v>
      </c>
      <c r="H111" t="str">
        <f t="shared" si="4"/>
        <v>Pre-1950</v>
      </c>
      <c r="I111" t="s">
        <v>10</v>
      </c>
      <c r="J111" t="s">
        <v>15</v>
      </c>
      <c r="K111" t="s">
        <v>16</v>
      </c>
      <c r="L111" s="4">
        <v>699381</v>
      </c>
      <c r="M111" t="str">
        <f t="shared" si="5"/>
        <v>Premium</v>
      </c>
    </row>
    <row r="112" spans="1:13" x14ac:dyDescent="0.35">
      <c r="A112">
        <v>111</v>
      </c>
      <c r="B112">
        <v>2222</v>
      </c>
      <c r="C112" t="str">
        <f t="shared" si="3"/>
        <v>Medium</v>
      </c>
      <c r="D112">
        <v>1</v>
      </c>
      <c r="E112">
        <v>1</v>
      </c>
      <c r="F112">
        <v>3</v>
      </c>
      <c r="G112">
        <v>1998</v>
      </c>
      <c r="H112" t="str">
        <f t="shared" si="4"/>
        <v>1976-2000</v>
      </c>
      <c r="I112" t="s">
        <v>14</v>
      </c>
      <c r="J112" t="s">
        <v>11</v>
      </c>
      <c r="K112" t="s">
        <v>12</v>
      </c>
      <c r="L112" s="4">
        <v>285835</v>
      </c>
      <c r="M112" t="str">
        <f t="shared" si="5"/>
        <v>Medium</v>
      </c>
    </row>
    <row r="113" spans="1:13" x14ac:dyDescent="0.35">
      <c r="A113">
        <v>112</v>
      </c>
      <c r="B113">
        <v>3814</v>
      </c>
      <c r="C113" t="str">
        <f t="shared" si="3"/>
        <v>Large</v>
      </c>
      <c r="D113">
        <v>2</v>
      </c>
      <c r="E113">
        <v>3</v>
      </c>
      <c r="F113">
        <v>2</v>
      </c>
      <c r="G113">
        <v>1904</v>
      </c>
      <c r="H113" t="str">
        <f t="shared" si="4"/>
        <v>Pre-1950</v>
      </c>
      <c r="I113" t="s">
        <v>14</v>
      </c>
      <c r="J113" t="s">
        <v>18</v>
      </c>
      <c r="K113" t="s">
        <v>16</v>
      </c>
      <c r="L113" s="4">
        <v>971600</v>
      </c>
      <c r="M113" t="str">
        <f t="shared" si="5"/>
        <v>Premium</v>
      </c>
    </row>
    <row r="114" spans="1:13" x14ac:dyDescent="0.35">
      <c r="A114">
        <v>113</v>
      </c>
      <c r="B114">
        <v>3657</v>
      </c>
      <c r="C114" t="str">
        <f t="shared" si="3"/>
        <v>Large</v>
      </c>
      <c r="D114">
        <v>5</v>
      </c>
      <c r="E114">
        <v>1</v>
      </c>
      <c r="F114">
        <v>2</v>
      </c>
      <c r="G114">
        <v>1980</v>
      </c>
      <c r="H114" t="str">
        <f t="shared" si="4"/>
        <v>1976-2000</v>
      </c>
      <c r="I114" t="s">
        <v>19</v>
      </c>
      <c r="J114" t="s">
        <v>11</v>
      </c>
      <c r="K114" t="s">
        <v>12</v>
      </c>
      <c r="L114" s="4">
        <v>902987</v>
      </c>
      <c r="M114" t="str">
        <f t="shared" si="5"/>
        <v>Premium</v>
      </c>
    </row>
    <row r="115" spans="1:13" x14ac:dyDescent="0.35">
      <c r="A115">
        <v>114</v>
      </c>
      <c r="B115">
        <v>3125</v>
      </c>
      <c r="C115" t="str">
        <f t="shared" si="3"/>
        <v>Large</v>
      </c>
      <c r="D115">
        <v>1</v>
      </c>
      <c r="E115">
        <v>4</v>
      </c>
      <c r="F115">
        <v>3</v>
      </c>
      <c r="G115">
        <v>2021</v>
      </c>
      <c r="H115" t="str">
        <f t="shared" si="4"/>
        <v>Post-2000</v>
      </c>
      <c r="I115" t="s">
        <v>10</v>
      </c>
      <c r="J115" t="s">
        <v>18</v>
      </c>
      <c r="K115" t="s">
        <v>12</v>
      </c>
      <c r="L115" s="4">
        <v>401992</v>
      </c>
      <c r="M115" t="str">
        <f t="shared" si="5"/>
        <v>High</v>
      </c>
    </row>
    <row r="116" spans="1:13" x14ac:dyDescent="0.35">
      <c r="A116">
        <v>115</v>
      </c>
      <c r="B116">
        <v>3229</v>
      </c>
      <c r="C116" t="str">
        <f t="shared" si="3"/>
        <v>Large</v>
      </c>
      <c r="D116">
        <v>4</v>
      </c>
      <c r="E116">
        <v>2</v>
      </c>
      <c r="F116">
        <v>1</v>
      </c>
      <c r="G116">
        <v>2005</v>
      </c>
      <c r="H116" t="str">
        <f t="shared" si="4"/>
        <v>Post-2000</v>
      </c>
      <c r="I116" t="s">
        <v>10</v>
      </c>
      <c r="J116" t="s">
        <v>13</v>
      </c>
      <c r="K116" t="s">
        <v>12</v>
      </c>
      <c r="L116" s="4">
        <v>256084</v>
      </c>
      <c r="M116" t="str">
        <f t="shared" si="5"/>
        <v>Medium</v>
      </c>
    </row>
    <row r="117" spans="1:13" x14ac:dyDescent="0.35">
      <c r="A117">
        <v>116</v>
      </c>
      <c r="B117">
        <v>2097</v>
      </c>
      <c r="C117" t="str">
        <f t="shared" si="3"/>
        <v>Medium</v>
      </c>
      <c r="D117">
        <v>3</v>
      </c>
      <c r="E117">
        <v>4</v>
      </c>
      <c r="F117">
        <v>2</v>
      </c>
      <c r="G117">
        <v>1931</v>
      </c>
      <c r="H117" t="str">
        <f t="shared" si="4"/>
        <v>Pre-1950</v>
      </c>
      <c r="I117" t="s">
        <v>10</v>
      </c>
      <c r="J117" t="s">
        <v>15</v>
      </c>
      <c r="K117" t="s">
        <v>12</v>
      </c>
      <c r="L117" s="4">
        <v>844686</v>
      </c>
      <c r="M117" t="str">
        <f t="shared" si="5"/>
        <v>Premium</v>
      </c>
    </row>
    <row r="118" spans="1:13" x14ac:dyDescent="0.35">
      <c r="A118">
        <v>117</v>
      </c>
      <c r="B118">
        <v>3560</v>
      </c>
      <c r="C118" t="str">
        <f t="shared" si="3"/>
        <v>Large</v>
      </c>
      <c r="D118">
        <v>3</v>
      </c>
      <c r="E118">
        <v>2</v>
      </c>
      <c r="F118">
        <v>3</v>
      </c>
      <c r="G118">
        <v>1973</v>
      </c>
      <c r="H118" t="str">
        <f t="shared" si="4"/>
        <v>1950-1975</v>
      </c>
      <c r="I118" t="s">
        <v>10</v>
      </c>
      <c r="J118" t="s">
        <v>15</v>
      </c>
      <c r="K118" t="s">
        <v>12</v>
      </c>
      <c r="L118" s="4">
        <v>437554</v>
      </c>
      <c r="M118" t="str">
        <f t="shared" si="5"/>
        <v>High</v>
      </c>
    </row>
    <row r="119" spans="1:13" x14ac:dyDescent="0.35">
      <c r="A119">
        <v>118</v>
      </c>
      <c r="B119">
        <v>3193</v>
      </c>
      <c r="C119" t="str">
        <f t="shared" si="3"/>
        <v>Large</v>
      </c>
      <c r="D119">
        <v>3</v>
      </c>
      <c r="E119">
        <v>1</v>
      </c>
      <c r="F119">
        <v>3</v>
      </c>
      <c r="G119">
        <v>1942</v>
      </c>
      <c r="H119" t="str">
        <f t="shared" si="4"/>
        <v>Pre-1950</v>
      </c>
      <c r="I119" t="s">
        <v>19</v>
      </c>
      <c r="J119" t="s">
        <v>18</v>
      </c>
      <c r="K119" t="s">
        <v>12</v>
      </c>
      <c r="L119" s="4">
        <v>803315</v>
      </c>
      <c r="M119" t="str">
        <f t="shared" si="5"/>
        <v>Premium</v>
      </c>
    </row>
    <row r="120" spans="1:13" x14ac:dyDescent="0.35">
      <c r="A120">
        <v>119</v>
      </c>
      <c r="B120">
        <v>4127</v>
      </c>
      <c r="C120" t="str">
        <f t="shared" si="3"/>
        <v>Extra Large</v>
      </c>
      <c r="D120">
        <v>5</v>
      </c>
      <c r="E120">
        <v>2</v>
      </c>
      <c r="F120">
        <v>2</v>
      </c>
      <c r="G120">
        <v>1980</v>
      </c>
      <c r="H120" t="str">
        <f t="shared" si="4"/>
        <v>1976-2000</v>
      </c>
      <c r="I120" t="s">
        <v>17</v>
      </c>
      <c r="J120" t="s">
        <v>11</v>
      </c>
      <c r="K120" t="s">
        <v>12</v>
      </c>
      <c r="L120" s="4">
        <v>520336</v>
      </c>
      <c r="M120" t="str">
        <f t="shared" si="5"/>
        <v>High</v>
      </c>
    </row>
    <row r="121" spans="1:13" x14ac:dyDescent="0.35">
      <c r="A121">
        <v>120</v>
      </c>
      <c r="B121">
        <v>1863</v>
      </c>
      <c r="C121" t="str">
        <f t="shared" si="3"/>
        <v>Medium</v>
      </c>
      <c r="D121">
        <v>2</v>
      </c>
      <c r="E121">
        <v>4</v>
      </c>
      <c r="F121">
        <v>1</v>
      </c>
      <c r="G121">
        <v>1968</v>
      </c>
      <c r="H121" t="str">
        <f t="shared" si="4"/>
        <v>1950-1975</v>
      </c>
      <c r="I121" t="s">
        <v>10</v>
      </c>
      <c r="J121" t="s">
        <v>15</v>
      </c>
      <c r="K121" t="s">
        <v>12</v>
      </c>
      <c r="L121" s="4">
        <v>973469</v>
      </c>
      <c r="M121" t="str">
        <f t="shared" si="5"/>
        <v>Premium</v>
      </c>
    </row>
    <row r="122" spans="1:13" x14ac:dyDescent="0.35">
      <c r="A122">
        <v>121</v>
      </c>
      <c r="B122">
        <v>2481</v>
      </c>
      <c r="C122" t="str">
        <f t="shared" si="3"/>
        <v>Medium</v>
      </c>
      <c r="D122">
        <v>4</v>
      </c>
      <c r="E122">
        <v>2</v>
      </c>
      <c r="F122">
        <v>2</v>
      </c>
      <c r="G122">
        <v>1944</v>
      </c>
      <c r="H122" t="str">
        <f t="shared" si="4"/>
        <v>Pre-1950</v>
      </c>
      <c r="I122" t="s">
        <v>19</v>
      </c>
      <c r="J122" t="s">
        <v>18</v>
      </c>
      <c r="K122" t="s">
        <v>12</v>
      </c>
      <c r="L122" s="4">
        <v>258072</v>
      </c>
      <c r="M122" t="str">
        <f t="shared" si="5"/>
        <v>Medium</v>
      </c>
    </row>
    <row r="123" spans="1:13" x14ac:dyDescent="0.35">
      <c r="A123">
        <v>122</v>
      </c>
      <c r="B123">
        <v>2163</v>
      </c>
      <c r="C123" t="str">
        <f t="shared" si="3"/>
        <v>Medium</v>
      </c>
      <c r="D123">
        <v>5</v>
      </c>
      <c r="E123">
        <v>1</v>
      </c>
      <c r="F123">
        <v>1</v>
      </c>
      <c r="G123">
        <v>2005</v>
      </c>
      <c r="H123" t="str">
        <f t="shared" si="4"/>
        <v>Post-2000</v>
      </c>
      <c r="I123" t="s">
        <v>17</v>
      </c>
      <c r="J123" t="s">
        <v>13</v>
      </c>
      <c r="K123" t="s">
        <v>12</v>
      </c>
      <c r="L123" s="4">
        <v>298029</v>
      </c>
      <c r="M123" t="str">
        <f t="shared" si="5"/>
        <v>Medium</v>
      </c>
    </row>
    <row r="124" spans="1:13" x14ac:dyDescent="0.35">
      <c r="A124">
        <v>123</v>
      </c>
      <c r="B124">
        <v>2029</v>
      </c>
      <c r="C124" t="str">
        <f t="shared" si="3"/>
        <v>Medium</v>
      </c>
      <c r="D124">
        <v>4</v>
      </c>
      <c r="E124">
        <v>2</v>
      </c>
      <c r="F124">
        <v>1</v>
      </c>
      <c r="G124">
        <v>1908</v>
      </c>
      <c r="H124" t="str">
        <f t="shared" si="4"/>
        <v>Pre-1950</v>
      </c>
      <c r="I124" t="s">
        <v>17</v>
      </c>
      <c r="J124" t="s">
        <v>13</v>
      </c>
      <c r="K124" t="s">
        <v>12</v>
      </c>
      <c r="L124" s="4">
        <v>259047</v>
      </c>
      <c r="M124" t="str">
        <f t="shared" si="5"/>
        <v>Medium</v>
      </c>
    </row>
    <row r="125" spans="1:13" x14ac:dyDescent="0.35">
      <c r="A125">
        <v>124</v>
      </c>
      <c r="B125">
        <v>2538</v>
      </c>
      <c r="C125" t="str">
        <f t="shared" si="3"/>
        <v>Large</v>
      </c>
      <c r="D125">
        <v>4</v>
      </c>
      <c r="E125">
        <v>3</v>
      </c>
      <c r="F125">
        <v>1</v>
      </c>
      <c r="G125">
        <v>1948</v>
      </c>
      <c r="H125" t="str">
        <f t="shared" si="4"/>
        <v>Pre-1950</v>
      </c>
      <c r="I125" t="s">
        <v>19</v>
      </c>
      <c r="J125" t="s">
        <v>15</v>
      </c>
      <c r="K125" t="s">
        <v>16</v>
      </c>
      <c r="L125" s="4">
        <v>415169</v>
      </c>
      <c r="M125" t="str">
        <f t="shared" si="5"/>
        <v>High</v>
      </c>
    </row>
    <row r="126" spans="1:13" x14ac:dyDescent="0.35">
      <c r="A126">
        <v>125</v>
      </c>
      <c r="B126">
        <v>3802</v>
      </c>
      <c r="C126" t="str">
        <f t="shared" si="3"/>
        <v>Large</v>
      </c>
      <c r="D126">
        <v>2</v>
      </c>
      <c r="E126">
        <v>4</v>
      </c>
      <c r="F126">
        <v>1</v>
      </c>
      <c r="G126">
        <v>1932</v>
      </c>
      <c r="H126" t="str">
        <f t="shared" si="4"/>
        <v>Pre-1950</v>
      </c>
      <c r="I126" t="s">
        <v>10</v>
      </c>
      <c r="J126" t="s">
        <v>11</v>
      </c>
      <c r="K126" t="s">
        <v>12</v>
      </c>
      <c r="L126" s="4">
        <v>180509</v>
      </c>
      <c r="M126" t="str">
        <f t="shared" si="5"/>
        <v>Low</v>
      </c>
    </row>
    <row r="127" spans="1:13" x14ac:dyDescent="0.35">
      <c r="A127">
        <v>126</v>
      </c>
      <c r="B127">
        <v>2737</v>
      </c>
      <c r="C127" t="str">
        <f t="shared" si="3"/>
        <v>Large</v>
      </c>
      <c r="D127">
        <v>3</v>
      </c>
      <c r="E127">
        <v>3</v>
      </c>
      <c r="F127">
        <v>2</v>
      </c>
      <c r="G127">
        <v>1999</v>
      </c>
      <c r="H127" t="str">
        <f t="shared" si="4"/>
        <v>1976-2000</v>
      </c>
      <c r="I127" t="s">
        <v>17</v>
      </c>
      <c r="J127" t="s">
        <v>18</v>
      </c>
      <c r="K127" t="s">
        <v>16</v>
      </c>
      <c r="L127" s="4">
        <v>812072</v>
      </c>
      <c r="M127" t="str">
        <f t="shared" si="5"/>
        <v>Premium</v>
      </c>
    </row>
    <row r="128" spans="1:13" x14ac:dyDescent="0.35">
      <c r="A128">
        <v>127</v>
      </c>
      <c r="B128">
        <v>1806</v>
      </c>
      <c r="C128" t="str">
        <f t="shared" si="3"/>
        <v>Medium</v>
      </c>
      <c r="D128">
        <v>2</v>
      </c>
      <c r="E128">
        <v>1</v>
      </c>
      <c r="F128">
        <v>3</v>
      </c>
      <c r="G128">
        <v>1999</v>
      </c>
      <c r="H128" t="str">
        <f t="shared" si="4"/>
        <v>1976-2000</v>
      </c>
      <c r="I128" t="s">
        <v>10</v>
      </c>
      <c r="J128" t="s">
        <v>15</v>
      </c>
      <c r="K128" t="s">
        <v>12</v>
      </c>
      <c r="L128" s="4">
        <v>345107</v>
      </c>
      <c r="M128" t="str">
        <f t="shared" si="5"/>
        <v>Medium</v>
      </c>
    </row>
    <row r="129" spans="1:13" x14ac:dyDescent="0.35">
      <c r="A129">
        <v>128</v>
      </c>
      <c r="B129">
        <v>4529</v>
      </c>
      <c r="C129" t="str">
        <f t="shared" si="3"/>
        <v>Extra Large</v>
      </c>
      <c r="D129">
        <v>5</v>
      </c>
      <c r="E129">
        <v>2</v>
      </c>
      <c r="F129">
        <v>3</v>
      </c>
      <c r="G129">
        <v>1917</v>
      </c>
      <c r="H129" t="str">
        <f t="shared" si="4"/>
        <v>Pre-1950</v>
      </c>
      <c r="I129" t="s">
        <v>10</v>
      </c>
      <c r="J129" t="s">
        <v>13</v>
      </c>
      <c r="K129" t="s">
        <v>16</v>
      </c>
      <c r="L129" s="4">
        <v>577561</v>
      </c>
      <c r="M129" t="str">
        <f t="shared" si="5"/>
        <v>High</v>
      </c>
    </row>
    <row r="130" spans="1:13" x14ac:dyDescent="0.35">
      <c r="A130">
        <v>129</v>
      </c>
      <c r="B130">
        <v>3175</v>
      </c>
      <c r="C130" t="str">
        <f t="shared" si="3"/>
        <v>Large</v>
      </c>
      <c r="D130">
        <v>5</v>
      </c>
      <c r="E130">
        <v>3</v>
      </c>
      <c r="F130">
        <v>3</v>
      </c>
      <c r="G130">
        <v>1908</v>
      </c>
      <c r="H130" t="str">
        <f t="shared" si="4"/>
        <v>Pre-1950</v>
      </c>
      <c r="I130" t="s">
        <v>14</v>
      </c>
      <c r="J130" t="s">
        <v>11</v>
      </c>
      <c r="K130" t="s">
        <v>16</v>
      </c>
      <c r="L130" s="4">
        <v>589618</v>
      </c>
      <c r="M130" t="str">
        <f t="shared" si="5"/>
        <v>High</v>
      </c>
    </row>
    <row r="131" spans="1:13" x14ac:dyDescent="0.35">
      <c r="A131">
        <v>130</v>
      </c>
      <c r="B131">
        <v>1782</v>
      </c>
      <c r="C131" t="str">
        <f t="shared" ref="C131:C194" si="6">IF(B131&lt;=1000,"Small",IF(B131&lt;=2500,"Medium",IF(B131&lt;=4000,"Large",IF(B131&gt;=4000,"Extra Large"))))</f>
        <v>Medium</v>
      </c>
      <c r="D131">
        <v>5</v>
      </c>
      <c r="E131">
        <v>3</v>
      </c>
      <c r="F131">
        <v>3</v>
      </c>
      <c r="G131">
        <v>1961</v>
      </c>
      <c r="H131" t="str">
        <f t="shared" ref="H131:H194" si="7">IF(G131&lt;=1950,"Pre-1950",IF(G131&lt;=1975,"1950-1975",IF(G131&lt;=2000,"1976-2000",IF(G131&gt;=2000,"Post-2000"))))</f>
        <v>1950-1975</v>
      </c>
      <c r="I131" t="s">
        <v>10</v>
      </c>
      <c r="J131" t="s">
        <v>18</v>
      </c>
      <c r="K131" t="s">
        <v>16</v>
      </c>
      <c r="L131" s="4">
        <v>202566</v>
      </c>
      <c r="M131" t="str">
        <f t="shared" ref="M131:M194" si="8">IF(L131&lt;=200000,"Low",IF(L131&lt;=400000,"Medium",IF(L131&lt;=600000,"High",IF(L131&gt;=600000,"Premium",""))))</f>
        <v>Medium</v>
      </c>
    </row>
    <row r="132" spans="1:13" x14ac:dyDescent="0.35">
      <c r="A132">
        <v>131</v>
      </c>
      <c r="B132">
        <v>1209</v>
      </c>
      <c r="C132" t="str">
        <f t="shared" si="6"/>
        <v>Medium</v>
      </c>
      <c r="D132">
        <v>2</v>
      </c>
      <c r="E132">
        <v>2</v>
      </c>
      <c r="F132">
        <v>3</v>
      </c>
      <c r="G132">
        <v>1956</v>
      </c>
      <c r="H132" t="str">
        <f t="shared" si="7"/>
        <v>1950-1975</v>
      </c>
      <c r="I132" t="s">
        <v>14</v>
      </c>
      <c r="J132" t="s">
        <v>15</v>
      </c>
      <c r="K132" t="s">
        <v>12</v>
      </c>
      <c r="L132" s="4">
        <v>650710</v>
      </c>
      <c r="M132" t="str">
        <f t="shared" si="8"/>
        <v>Premium</v>
      </c>
    </row>
    <row r="133" spans="1:13" x14ac:dyDescent="0.35">
      <c r="A133">
        <v>132</v>
      </c>
      <c r="B133">
        <v>4913</v>
      </c>
      <c r="C133" t="str">
        <f t="shared" si="6"/>
        <v>Extra Large</v>
      </c>
      <c r="D133">
        <v>4</v>
      </c>
      <c r="E133">
        <v>2</v>
      </c>
      <c r="F133">
        <v>3</v>
      </c>
      <c r="G133">
        <v>1928</v>
      </c>
      <c r="H133" t="str">
        <f t="shared" si="7"/>
        <v>Pre-1950</v>
      </c>
      <c r="I133" t="s">
        <v>17</v>
      </c>
      <c r="J133" t="s">
        <v>18</v>
      </c>
      <c r="K133" t="s">
        <v>12</v>
      </c>
      <c r="L133" s="4">
        <v>958521</v>
      </c>
      <c r="M133" t="str">
        <f t="shared" si="8"/>
        <v>Premium</v>
      </c>
    </row>
    <row r="134" spans="1:13" x14ac:dyDescent="0.35">
      <c r="A134">
        <v>133</v>
      </c>
      <c r="B134">
        <v>4248</v>
      </c>
      <c r="C134" t="str">
        <f t="shared" si="6"/>
        <v>Extra Large</v>
      </c>
      <c r="D134">
        <v>4</v>
      </c>
      <c r="E134">
        <v>4</v>
      </c>
      <c r="F134">
        <v>2</v>
      </c>
      <c r="G134">
        <v>2013</v>
      </c>
      <c r="H134" t="str">
        <f t="shared" si="7"/>
        <v>Post-2000</v>
      </c>
      <c r="I134" t="s">
        <v>19</v>
      </c>
      <c r="J134" t="s">
        <v>11</v>
      </c>
      <c r="K134" t="s">
        <v>12</v>
      </c>
      <c r="L134" s="4">
        <v>53212</v>
      </c>
      <c r="M134" t="str">
        <f t="shared" si="8"/>
        <v>Low</v>
      </c>
    </row>
    <row r="135" spans="1:13" x14ac:dyDescent="0.35">
      <c r="A135">
        <v>134</v>
      </c>
      <c r="B135">
        <v>1163</v>
      </c>
      <c r="C135" t="str">
        <f t="shared" si="6"/>
        <v>Medium</v>
      </c>
      <c r="D135">
        <v>1</v>
      </c>
      <c r="E135">
        <v>3</v>
      </c>
      <c r="F135">
        <v>1</v>
      </c>
      <c r="G135">
        <v>1977</v>
      </c>
      <c r="H135" t="str">
        <f t="shared" si="7"/>
        <v>1976-2000</v>
      </c>
      <c r="I135" t="s">
        <v>14</v>
      </c>
      <c r="J135" t="s">
        <v>11</v>
      </c>
      <c r="K135" t="s">
        <v>12</v>
      </c>
      <c r="L135" s="4">
        <v>282131</v>
      </c>
      <c r="M135" t="str">
        <f t="shared" si="8"/>
        <v>Medium</v>
      </c>
    </row>
    <row r="136" spans="1:13" x14ac:dyDescent="0.35">
      <c r="A136">
        <v>135</v>
      </c>
      <c r="B136">
        <v>2498</v>
      </c>
      <c r="C136" t="str">
        <f t="shared" si="6"/>
        <v>Medium</v>
      </c>
      <c r="D136">
        <v>5</v>
      </c>
      <c r="E136">
        <v>3</v>
      </c>
      <c r="F136">
        <v>3</v>
      </c>
      <c r="G136">
        <v>1924</v>
      </c>
      <c r="H136" t="str">
        <f t="shared" si="7"/>
        <v>Pre-1950</v>
      </c>
      <c r="I136" t="s">
        <v>19</v>
      </c>
      <c r="J136" t="s">
        <v>13</v>
      </c>
      <c r="K136" t="s">
        <v>16</v>
      </c>
      <c r="L136" s="4">
        <v>526657</v>
      </c>
      <c r="M136" t="str">
        <f t="shared" si="8"/>
        <v>High</v>
      </c>
    </row>
    <row r="137" spans="1:13" x14ac:dyDescent="0.35">
      <c r="A137">
        <v>136</v>
      </c>
      <c r="B137">
        <v>3945</v>
      </c>
      <c r="C137" t="str">
        <f t="shared" si="6"/>
        <v>Large</v>
      </c>
      <c r="D137">
        <v>4</v>
      </c>
      <c r="E137">
        <v>1</v>
      </c>
      <c r="F137">
        <v>2</v>
      </c>
      <c r="G137">
        <v>1914</v>
      </c>
      <c r="H137" t="str">
        <f t="shared" si="7"/>
        <v>Pre-1950</v>
      </c>
      <c r="I137" t="s">
        <v>17</v>
      </c>
      <c r="J137" t="s">
        <v>11</v>
      </c>
      <c r="K137" t="s">
        <v>12</v>
      </c>
      <c r="L137" s="4">
        <v>661882</v>
      </c>
      <c r="M137" t="str">
        <f t="shared" si="8"/>
        <v>Premium</v>
      </c>
    </row>
    <row r="138" spans="1:13" x14ac:dyDescent="0.35">
      <c r="A138">
        <v>137</v>
      </c>
      <c r="B138">
        <v>4243</v>
      </c>
      <c r="C138" t="str">
        <f t="shared" si="6"/>
        <v>Extra Large</v>
      </c>
      <c r="D138">
        <v>1</v>
      </c>
      <c r="E138">
        <v>4</v>
      </c>
      <c r="F138">
        <v>3</v>
      </c>
      <c r="G138">
        <v>1905</v>
      </c>
      <c r="H138" t="str">
        <f t="shared" si="7"/>
        <v>Pre-1950</v>
      </c>
      <c r="I138" t="s">
        <v>10</v>
      </c>
      <c r="J138" t="s">
        <v>15</v>
      </c>
      <c r="K138" t="s">
        <v>12</v>
      </c>
      <c r="L138" s="4">
        <v>182152</v>
      </c>
      <c r="M138" t="str">
        <f t="shared" si="8"/>
        <v>Low</v>
      </c>
    </row>
    <row r="139" spans="1:13" x14ac:dyDescent="0.35">
      <c r="A139">
        <v>138</v>
      </c>
      <c r="B139">
        <v>1995</v>
      </c>
      <c r="C139" t="str">
        <f t="shared" si="6"/>
        <v>Medium</v>
      </c>
      <c r="D139">
        <v>4</v>
      </c>
      <c r="E139">
        <v>1</v>
      </c>
      <c r="F139">
        <v>3</v>
      </c>
      <c r="G139">
        <v>2019</v>
      </c>
      <c r="H139" t="str">
        <f t="shared" si="7"/>
        <v>Post-2000</v>
      </c>
      <c r="I139" t="s">
        <v>17</v>
      </c>
      <c r="J139" t="s">
        <v>18</v>
      </c>
      <c r="K139" t="s">
        <v>12</v>
      </c>
      <c r="L139" s="4">
        <v>344819</v>
      </c>
      <c r="M139" t="str">
        <f t="shared" si="8"/>
        <v>Medium</v>
      </c>
    </row>
    <row r="140" spans="1:13" x14ac:dyDescent="0.35">
      <c r="A140">
        <v>139</v>
      </c>
      <c r="B140">
        <v>3804</v>
      </c>
      <c r="C140" t="str">
        <f t="shared" si="6"/>
        <v>Large</v>
      </c>
      <c r="D140">
        <v>5</v>
      </c>
      <c r="E140">
        <v>3</v>
      </c>
      <c r="F140">
        <v>1</v>
      </c>
      <c r="G140">
        <v>1941</v>
      </c>
      <c r="H140" t="str">
        <f t="shared" si="7"/>
        <v>Pre-1950</v>
      </c>
      <c r="I140" t="s">
        <v>19</v>
      </c>
      <c r="J140" t="s">
        <v>11</v>
      </c>
      <c r="K140" t="s">
        <v>12</v>
      </c>
      <c r="L140" s="4">
        <v>72007</v>
      </c>
      <c r="M140" t="str">
        <f t="shared" si="8"/>
        <v>Low</v>
      </c>
    </row>
    <row r="141" spans="1:13" x14ac:dyDescent="0.35">
      <c r="A141">
        <v>140</v>
      </c>
      <c r="B141">
        <v>4263</v>
      </c>
      <c r="C141" t="str">
        <f t="shared" si="6"/>
        <v>Extra Large</v>
      </c>
      <c r="D141">
        <v>3</v>
      </c>
      <c r="E141">
        <v>1</v>
      </c>
      <c r="F141">
        <v>1</v>
      </c>
      <c r="G141">
        <v>1928</v>
      </c>
      <c r="H141" t="str">
        <f t="shared" si="7"/>
        <v>Pre-1950</v>
      </c>
      <c r="I141" t="s">
        <v>17</v>
      </c>
      <c r="J141" t="s">
        <v>11</v>
      </c>
      <c r="K141" t="s">
        <v>12</v>
      </c>
      <c r="L141" s="4">
        <v>688093</v>
      </c>
      <c r="M141" t="str">
        <f t="shared" si="8"/>
        <v>Premium</v>
      </c>
    </row>
    <row r="142" spans="1:13" x14ac:dyDescent="0.35">
      <c r="A142">
        <v>141</v>
      </c>
      <c r="B142">
        <v>2353</v>
      </c>
      <c r="C142" t="str">
        <f t="shared" si="6"/>
        <v>Medium</v>
      </c>
      <c r="D142">
        <v>5</v>
      </c>
      <c r="E142">
        <v>3</v>
      </c>
      <c r="F142">
        <v>1</v>
      </c>
      <c r="G142">
        <v>1978</v>
      </c>
      <c r="H142" t="str">
        <f t="shared" si="7"/>
        <v>1976-2000</v>
      </c>
      <c r="I142" t="s">
        <v>10</v>
      </c>
      <c r="J142" t="s">
        <v>15</v>
      </c>
      <c r="K142" t="s">
        <v>12</v>
      </c>
      <c r="L142" s="4">
        <v>394785</v>
      </c>
      <c r="M142" t="str">
        <f t="shared" si="8"/>
        <v>Medium</v>
      </c>
    </row>
    <row r="143" spans="1:13" x14ac:dyDescent="0.35">
      <c r="A143">
        <v>142</v>
      </c>
      <c r="B143">
        <v>1791</v>
      </c>
      <c r="C143" t="str">
        <f t="shared" si="6"/>
        <v>Medium</v>
      </c>
      <c r="D143">
        <v>2</v>
      </c>
      <c r="E143">
        <v>3</v>
      </c>
      <c r="F143">
        <v>3</v>
      </c>
      <c r="G143">
        <v>1992</v>
      </c>
      <c r="H143" t="str">
        <f t="shared" si="7"/>
        <v>1976-2000</v>
      </c>
      <c r="I143" t="s">
        <v>17</v>
      </c>
      <c r="J143" t="s">
        <v>18</v>
      </c>
      <c r="K143" t="s">
        <v>12</v>
      </c>
      <c r="L143" s="4">
        <v>670103</v>
      </c>
      <c r="M143" t="str">
        <f t="shared" si="8"/>
        <v>Premium</v>
      </c>
    </row>
    <row r="144" spans="1:13" x14ac:dyDescent="0.35">
      <c r="A144">
        <v>143</v>
      </c>
      <c r="B144">
        <v>4081</v>
      </c>
      <c r="C144" t="str">
        <f t="shared" si="6"/>
        <v>Extra Large</v>
      </c>
      <c r="D144">
        <v>4</v>
      </c>
      <c r="E144">
        <v>1</v>
      </c>
      <c r="F144">
        <v>3</v>
      </c>
      <c r="G144">
        <v>1903</v>
      </c>
      <c r="H144" t="str">
        <f t="shared" si="7"/>
        <v>Pre-1950</v>
      </c>
      <c r="I144" t="s">
        <v>10</v>
      </c>
      <c r="J144" t="s">
        <v>18</v>
      </c>
      <c r="K144" t="s">
        <v>12</v>
      </c>
      <c r="L144" s="4">
        <v>883247</v>
      </c>
      <c r="M144" t="str">
        <f t="shared" si="8"/>
        <v>Premium</v>
      </c>
    </row>
    <row r="145" spans="1:13" x14ac:dyDescent="0.35">
      <c r="A145">
        <v>144</v>
      </c>
      <c r="B145">
        <v>3957</v>
      </c>
      <c r="C145" t="str">
        <f t="shared" si="6"/>
        <v>Large</v>
      </c>
      <c r="D145">
        <v>4</v>
      </c>
      <c r="E145">
        <v>1</v>
      </c>
      <c r="F145">
        <v>3</v>
      </c>
      <c r="G145">
        <v>1981</v>
      </c>
      <c r="H145" t="str">
        <f t="shared" si="7"/>
        <v>1976-2000</v>
      </c>
      <c r="I145" t="s">
        <v>14</v>
      </c>
      <c r="J145" t="s">
        <v>13</v>
      </c>
      <c r="K145" t="s">
        <v>16</v>
      </c>
      <c r="L145" s="4">
        <v>919914</v>
      </c>
      <c r="M145" t="str">
        <f t="shared" si="8"/>
        <v>Premium</v>
      </c>
    </row>
    <row r="146" spans="1:13" x14ac:dyDescent="0.35">
      <c r="A146">
        <v>145</v>
      </c>
      <c r="B146">
        <v>2136</v>
      </c>
      <c r="C146" t="str">
        <f t="shared" si="6"/>
        <v>Medium</v>
      </c>
      <c r="D146">
        <v>2</v>
      </c>
      <c r="E146">
        <v>2</v>
      </c>
      <c r="F146">
        <v>1</v>
      </c>
      <c r="G146">
        <v>2013</v>
      </c>
      <c r="H146" t="str">
        <f t="shared" si="7"/>
        <v>Post-2000</v>
      </c>
      <c r="I146" t="s">
        <v>19</v>
      </c>
      <c r="J146" t="s">
        <v>13</v>
      </c>
      <c r="K146" t="s">
        <v>16</v>
      </c>
      <c r="L146" s="4">
        <v>837071</v>
      </c>
      <c r="M146" t="str">
        <f t="shared" si="8"/>
        <v>Premium</v>
      </c>
    </row>
    <row r="147" spans="1:13" x14ac:dyDescent="0.35">
      <c r="A147">
        <v>146</v>
      </c>
      <c r="B147">
        <v>4196</v>
      </c>
      <c r="C147" t="str">
        <f t="shared" si="6"/>
        <v>Extra Large</v>
      </c>
      <c r="D147">
        <v>2</v>
      </c>
      <c r="E147">
        <v>2</v>
      </c>
      <c r="F147">
        <v>2</v>
      </c>
      <c r="G147">
        <v>1956</v>
      </c>
      <c r="H147" t="str">
        <f t="shared" si="7"/>
        <v>1950-1975</v>
      </c>
      <c r="I147" t="s">
        <v>10</v>
      </c>
      <c r="J147" t="s">
        <v>18</v>
      </c>
      <c r="K147" t="s">
        <v>12</v>
      </c>
      <c r="L147" s="4">
        <v>375737</v>
      </c>
      <c r="M147" t="str">
        <f t="shared" si="8"/>
        <v>Medium</v>
      </c>
    </row>
    <row r="148" spans="1:13" x14ac:dyDescent="0.35">
      <c r="A148">
        <v>147</v>
      </c>
      <c r="B148">
        <v>3499</v>
      </c>
      <c r="C148" t="str">
        <f t="shared" si="6"/>
        <v>Large</v>
      </c>
      <c r="D148">
        <v>3</v>
      </c>
      <c r="E148">
        <v>2</v>
      </c>
      <c r="F148">
        <v>3</v>
      </c>
      <c r="G148">
        <v>1948</v>
      </c>
      <c r="H148" t="str">
        <f t="shared" si="7"/>
        <v>Pre-1950</v>
      </c>
      <c r="I148" t="s">
        <v>10</v>
      </c>
      <c r="J148" t="s">
        <v>15</v>
      </c>
      <c r="K148" t="s">
        <v>12</v>
      </c>
      <c r="L148" s="4">
        <v>562164</v>
      </c>
      <c r="M148" t="str">
        <f t="shared" si="8"/>
        <v>High</v>
      </c>
    </row>
    <row r="149" spans="1:13" x14ac:dyDescent="0.35">
      <c r="A149">
        <v>148</v>
      </c>
      <c r="B149">
        <v>3652</v>
      </c>
      <c r="C149" t="str">
        <f t="shared" si="6"/>
        <v>Large</v>
      </c>
      <c r="D149">
        <v>4</v>
      </c>
      <c r="E149">
        <v>3</v>
      </c>
      <c r="F149">
        <v>3</v>
      </c>
      <c r="G149">
        <v>1943</v>
      </c>
      <c r="H149" t="str">
        <f t="shared" si="7"/>
        <v>Pre-1950</v>
      </c>
      <c r="I149" t="s">
        <v>17</v>
      </c>
      <c r="J149" t="s">
        <v>15</v>
      </c>
      <c r="K149" t="s">
        <v>12</v>
      </c>
      <c r="L149" s="4">
        <v>128038</v>
      </c>
      <c r="M149" t="str">
        <f t="shared" si="8"/>
        <v>Low</v>
      </c>
    </row>
    <row r="150" spans="1:13" x14ac:dyDescent="0.35">
      <c r="A150">
        <v>149</v>
      </c>
      <c r="B150">
        <v>1198</v>
      </c>
      <c r="C150" t="str">
        <f t="shared" si="6"/>
        <v>Medium</v>
      </c>
      <c r="D150">
        <v>4</v>
      </c>
      <c r="E150">
        <v>1</v>
      </c>
      <c r="F150">
        <v>3</v>
      </c>
      <c r="G150">
        <v>2002</v>
      </c>
      <c r="H150" t="str">
        <f t="shared" si="7"/>
        <v>Post-2000</v>
      </c>
      <c r="I150" t="s">
        <v>14</v>
      </c>
      <c r="J150" t="s">
        <v>13</v>
      </c>
      <c r="K150" t="s">
        <v>12</v>
      </c>
      <c r="L150" s="4">
        <v>406043</v>
      </c>
      <c r="M150" t="str">
        <f t="shared" si="8"/>
        <v>High</v>
      </c>
    </row>
    <row r="151" spans="1:13" x14ac:dyDescent="0.35">
      <c r="A151">
        <v>150</v>
      </c>
      <c r="B151">
        <v>2660</v>
      </c>
      <c r="C151" t="str">
        <f t="shared" si="6"/>
        <v>Large</v>
      </c>
      <c r="D151">
        <v>3</v>
      </c>
      <c r="E151">
        <v>4</v>
      </c>
      <c r="F151">
        <v>2</v>
      </c>
      <c r="G151">
        <v>1979</v>
      </c>
      <c r="H151" t="str">
        <f t="shared" si="7"/>
        <v>1976-2000</v>
      </c>
      <c r="I151" t="s">
        <v>10</v>
      </c>
      <c r="J151" t="s">
        <v>11</v>
      </c>
      <c r="K151" t="s">
        <v>16</v>
      </c>
      <c r="L151" s="4">
        <v>840168</v>
      </c>
      <c r="M151" t="str">
        <f t="shared" si="8"/>
        <v>Premium</v>
      </c>
    </row>
    <row r="152" spans="1:13" x14ac:dyDescent="0.35">
      <c r="A152">
        <v>151</v>
      </c>
      <c r="B152">
        <v>4597</v>
      </c>
      <c r="C152" t="str">
        <f t="shared" si="6"/>
        <v>Extra Large</v>
      </c>
      <c r="D152">
        <v>1</v>
      </c>
      <c r="E152">
        <v>3</v>
      </c>
      <c r="F152">
        <v>3</v>
      </c>
      <c r="G152">
        <v>1974</v>
      </c>
      <c r="H152" t="str">
        <f t="shared" si="7"/>
        <v>1950-1975</v>
      </c>
      <c r="I152" t="s">
        <v>14</v>
      </c>
      <c r="J152" t="s">
        <v>15</v>
      </c>
      <c r="K152" t="s">
        <v>16</v>
      </c>
      <c r="L152" s="4">
        <v>827794</v>
      </c>
      <c r="M152" t="str">
        <f t="shared" si="8"/>
        <v>Premium</v>
      </c>
    </row>
    <row r="153" spans="1:13" x14ac:dyDescent="0.35">
      <c r="A153">
        <v>152</v>
      </c>
      <c r="B153">
        <v>1354</v>
      </c>
      <c r="C153" t="str">
        <f t="shared" si="6"/>
        <v>Medium</v>
      </c>
      <c r="D153">
        <v>3</v>
      </c>
      <c r="E153">
        <v>4</v>
      </c>
      <c r="F153">
        <v>2</v>
      </c>
      <c r="G153">
        <v>1913</v>
      </c>
      <c r="H153" t="str">
        <f t="shared" si="7"/>
        <v>Pre-1950</v>
      </c>
      <c r="I153" t="s">
        <v>14</v>
      </c>
      <c r="J153" t="s">
        <v>11</v>
      </c>
      <c r="K153" t="s">
        <v>12</v>
      </c>
      <c r="L153" s="4">
        <v>66473</v>
      </c>
      <c r="M153" t="str">
        <f t="shared" si="8"/>
        <v>Low</v>
      </c>
    </row>
    <row r="154" spans="1:13" x14ac:dyDescent="0.35">
      <c r="A154">
        <v>153</v>
      </c>
      <c r="B154">
        <v>3974</v>
      </c>
      <c r="C154" t="str">
        <f t="shared" si="6"/>
        <v>Large</v>
      </c>
      <c r="D154">
        <v>5</v>
      </c>
      <c r="E154">
        <v>1</v>
      </c>
      <c r="F154">
        <v>3</v>
      </c>
      <c r="G154">
        <v>1902</v>
      </c>
      <c r="H154" t="str">
        <f t="shared" si="7"/>
        <v>Pre-1950</v>
      </c>
      <c r="I154" t="s">
        <v>17</v>
      </c>
      <c r="J154" t="s">
        <v>15</v>
      </c>
      <c r="K154" t="s">
        <v>16</v>
      </c>
      <c r="L154" s="4">
        <v>703059</v>
      </c>
      <c r="M154" t="str">
        <f t="shared" si="8"/>
        <v>Premium</v>
      </c>
    </row>
    <row r="155" spans="1:13" x14ac:dyDescent="0.35">
      <c r="A155">
        <v>154</v>
      </c>
      <c r="B155">
        <v>2207</v>
      </c>
      <c r="C155" t="str">
        <f t="shared" si="6"/>
        <v>Medium</v>
      </c>
      <c r="D155">
        <v>4</v>
      </c>
      <c r="E155">
        <v>3</v>
      </c>
      <c r="F155">
        <v>2</v>
      </c>
      <c r="G155">
        <v>2014</v>
      </c>
      <c r="H155" t="str">
        <f t="shared" si="7"/>
        <v>Post-2000</v>
      </c>
      <c r="I155" t="s">
        <v>10</v>
      </c>
      <c r="J155" t="s">
        <v>18</v>
      </c>
      <c r="K155" t="s">
        <v>16</v>
      </c>
      <c r="L155" s="4">
        <v>175801</v>
      </c>
      <c r="M155" t="str">
        <f t="shared" si="8"/>
        <v>Low</v>
      </c>
    </row>
    <row r="156" spans="1:13" x14ac:dyDescent="0.35">
      <c r="A156">
        <v>155</v>
      </c>
      <c r="B156">
        <v>3277</v>
      </c>
      <c r="C156" t="str">
        <f t="shared" si="6"/>
        <v>Large</v>
      </c>
      <c r="D156">
        <v>2</v>
      </c>
      <c r="E156">
        <v>4</v>
      </c>
      <c r="F156">
        <v>3</v>
      </c>
      <c r="G156">
        <v>2013</v>
      </c>
      <c r="H156" t="str">
        <f t="shared" si="7"/>
        <v>Post-2000</v>
      </c>
      <c r="I156" t="s">
        <v>17</v>
      </c>
      <c r="J156" t="s">
        <v>13</v>
      </c>
      <c r="K156" t="s">
        <v>12</v>
      </c>
      <c r="L156" s="4">
        <v>944030</v>
      </c>
      <c r="M156" t="str">
        <f t="shared" si="8"/>
        <v>Premium</v>
      </c>
    </row>
    <row r="157" spans="1:13" x14ac:dyDescent="0.35">
      <c r="A157">
        <v>156</v>
      </c>
      <c r="B157">
        <v>2233</v>
      </c>
      <c r="C157" t="str">
        <f t="shared" si="6"/>
        <v>Medium</v>
      </c>
      <c r="D157">
        <v>5</v>
      </c>
      <c r="E157">
        <v>4</v>
      </c>
      <c r="F157">
        <v>1</v>
      </c>
      <c r="G157">
        <v>1961</v>
      </c>
      <c r="H157" t="str">
        <f t="shared" si="7"/>
        <v>1950-1975</v>
      </c>
      <c r="I157" t="s">
        <v>19</v>
      </c>
      <c r="J157" t="s">
        <v>11</v>
      </c>
      <c r="K157" t="s">
        <v>12</v>
      </c>
      <c r="L157" s="4">
        <v>660911</v>
      </c>
      <c r="M157" t="str">
        <f t="shared" si="8"/>
        <v>Premium</v>
      </c>
    </row>
    <row r="158" spans="1:13" x14ac:dyDescent="0.35">
      <c r="A158">
        <v>157</v>
      </c>
      <c r="B158">
        <v>4010</v>
      </c>
      <c r="C158" t="str">
        <f t="shared" si="6"/>
        <v>Extra Large</v>
      </c>
      <c r="D158">
        <v>4</v>
      </c>
      <c r="E158">
        <v>2</v>
      </c>
      <c r="F158">
        <v>1</v>
      </c>
      <c r="G158">
        <v>2005</v>
      </c>
      <c r="H158" t="str">
        <f t="shared" si="7"/>
        <v>Post-2000</v>
      </c>
      <c r="I158" t="s">
        <v>19</v>
      </c>
      <c r="J158" t="s">
        <v>11</v>
      </c>
      <c r="K158" t="s">
        <v>12</v>
      </c>
      <c r="L158" s="4">
        <v>558252</v>
      </c>
      <c r="M158" t="str">
        <f t="shared" si="8"/>
        <v>High</v>
      </c>
    </row>
    <row r="159" spans="1:13" x14ac:dyDescent="0.35">
      <c r="A159">
        <v>158</v>
      </c>
      <c r="B159">
        <v>702</v>
      </c>
      <c r="C159" t="str">
        <f t="shared" si="6"/>
        <v>Small</v>
      </c>
      <c r="D159">
        <v>3</v>
      </c>
      <c r="E159">
        <v>2</v>
      </c>
      <c r="F159">
        <v>1</v>
      </c>
      <c r="G159">
        <v>1963</v>
      </c>
      <c r="H159" t="str">
        <f t="shared" si="7"/>
        <v>1950-1975</v>
      </c>
      <c r="I159" t="s">
        <v>10</v>
      </c>
      <c r="J159" t="s">
        <v>18</v>
      </c>
      <c r="K159" t="s">
        <v>16</v>
      </c>
      <c r="L159" s="4">
        <v>275097</v>
      </c>
      <c r="M159" t="str">
        <f t="shared" si="8"/>
        <v>Medium</v>
      </c>
    </row>
    <row r="160" spans="1:13" x14ac:dyDescent="0.35">
      <c r="A160">
        <v>159</v>
      </c>
      <c r="B160">
        <v>3755</v>
      </c>
      <c r="C160" t="str">
        <f t="shared" si="6"/>
        <v>Large</v>
      </c>
      <c r="D160">
        <v>5</v>
      </c>
      <c r="E160">
        <v>2</v>
      </c>
      <c r="F160">
        <v>1</v>
      </c>
      <c r="G160">
        <v>2001</v>
      </c>
      <c r="H160" t="str">
        <f t="shared" si="7"/>
        <v>Post-2000</v>
      </c>
      <c r="I160" t="s">
        <v>14</v>
      </c>
      <c r="J160" t="s">
        <v>15</v>
      </c>
      <c r="K160" t="s">
        <v>16</v>
      </c>
      <c r="L160" s="4">
        <v>348964</v>
      </c>
      <c r="M160" t="str">
        <f t="shared" si="8"/>
        <v>Medium</v>
      </c>
    </row>
    <row r="161" spans="1:13" x14ac:dyDescent="0.35">
      <c r="A161">
        <v>160</v>
      </c>
      <c r="B161">
        <v>4718</v>
      </c>
      <c r="C161" t="str">
        <f t="shared" si="6"/>
        <v>Extra Large</v>
      </c>
      <c r="D161">
        <v>4</v>
      </c>
      <c r="E161">
        <v>3</v>
      </c>
      <c r="F161">
        <v>3</v>
      </c>
      <c r="G161">
        <v>1944</v>
      </c>
      <c r="H161" t="str">
        <f t="shared" si="7"/>
        <v>Pre-1950</v>
      </c>
      <c r="I161" t="s">
        <v>10</v>
      </c>
      <c r="J161" t="s">
        <v>11</v>
      </c>
      <c r="K161" t="s">
        <v>12</v>
      </c>
      <c r="L161" s="4">
        <v>265933</v>
      </c>
      <c r="M161" t="str">
        <f t="shared" si="8"/>
        <v>Medium</v>
      </c>
    </row>
    <row r="162" spans="1:13" x14ac:dyDescent="0.35">
      <c r="A162">
        <v>161</v>
      </c>
      <c r="B162">
        <v>4996</v>
      </c>
      <c r="C162" t="str">
        <f t="shared" si="6"/>
        <v>Extra Large</v>
      </c>
      <c r="D162">
        <v>1</v>
      </c>
      <c r="E162">
        <v>1</v>
      </c>
      <c r="F162">
        <v>1</v>
      </c>
      <c r="G162">
        <v>2005</v>
      </c>
      <c r="H162" t="str">
        <f t="shared" si="7"/>
        <v>Post-2000</v>
      </c>
      <c r="I162" t="s">
        <v>10</v>
      </c>
      <c r="J162" t="s">
        <v>15</v>
      </c>
      <c r="K162" t="s">
        <v>12</v>
      </c>
      <c r="L162" s="4">
        <v>369733</v>
      </c>
      <c r="M162" t="str">
        <f t="shared" si="8"/>
        <v>Medium</v>
      </c>
    </row>
    <row r="163" spans="1:13" x14ac:dyDescent="0.35">
      <c r="A163">
        <v>162</v>
      </c>
      <c r="B163">
        <v>1266</v>
      </c>
      <c r="C163" t="str">
        <f t="shared" si="6"/>
        <v>Medium</v>
      </c>
      <c r="D163">
        <v>1</v>
      </c>
      <c r="E163">
        <v>1</v>
      </c>
      <c r="F163">
        <v>2</v>
      </c>
      <c r="G163">
        <v>1981</v>
      </c>
      <c r="H163" t="str">
        <f t="shared" si="7"/>
        <v>1976-2000</v>
      </c>
      <c r="I163" t="s">
        <v>19</v>
      </c>
      <c r="J163" t="s">
        <v>18</v>
      </c>
      <c r="K163" t="s">
        <v>16</v>
      </c>
      <c r="L163" s="4">
        <v>771167</v>
      </c>
      <c r="M163" t="str">
        <f t="shared" si="8"/>
        <v>Premium</v>
      </c>
    </row>
    <row r="164" spans="1:13" x14ac:dyDescent="0.35">
      <c r="A164">
        <v>163</v>
      </c>
      <c r="B164">
        <v>4889</v>
      </c>
      <c r="C164" t="str">
        <f t="shared" si="6"/>
        <v>Extra Large</v>
      </c>
      <c r="D164">
        <v>2</v>
      </c>
      <c r="E164">
        <v>2</v>
      </c>
      <c r="F164">
        <v>1</v>
      </c>
      <c r="G164">
        <v>1957</v>
      </c>
      <c r="H164" t="str">
        <f t="shared" si="7"/>
        <v>1950-1975</v>
      </c>
      <c r="I164" t="s">
        <v>19</v>
      </c>
      <c r="J164" t="s">
        <v>13</v>
      </c>
      <c r="K164" t="s">
        <v>16</v>
      </c>
      <c r="L164" s="4">
        <v>330558</v>
      </c>
      <c r="M164" t="str">
        <f t="shared" si="8"/>
        <v>Medium</v>
      </c>
    </row>
    <row r="165" spans="1:13" x14ac:dyDescent="0.35">
      <c r="A165">
        <v>164</v>
      </c>
      <c r="B165">
        <v>2827</v>
      </c>
      <c r="C165" t="str">
        <f t="shared" si="6"/>
        <v>Large</v>
      </c>
      <c r="D165">
        <v>4</v>
      </c>
      <c r="E165">
        <v>2</v>
      </c>
      <c r="F165">
        <v>1</v>
      </c>
      <c r="G165">
        <v>1919</v>
      </c>
      <c r="H165" t="str">
        <f t="shared" si="7"/>
        <v>Pre-1950</v>
      </c>
      <c r="I165" t="s">
        <v>14</v>
      </c>
      <c r="J165" t="s">
        <v>11</v>
      </c>
      <c r="K165" t="s">
        <v>12</v>
      </c>
      <c r="L165" s="4">
        <v>439522</v>
      </c>
      <c r="M165" t="str">
        <f t="shared" si="8"/>
        <v>High</v>
      </c>
    </row>
    <row r="166" spans="1:13" x14ac:dyDescent="0.35">
      <c r="A166">
        <v>165</v>
      </c>
      <c r="B166">
        <v>3431</v>
      </c>
      <c r="C166" t="str">
        <f t="shared" si="6"/>
        <v>Large</v>
      </c>
      <c r="D166">
        <v>1</v>
      </c>
      <c r="E166">
        <v>2</v>
      </c>
      <c r="F166">
        <v>1</v>
      </c>
      <c r="G166">
        <v>1957</v>
      </c>
      <c r="H166" t="str">
        <f t="shared" si="7"/>
        <v>1950-1975</v>
      </c>
      <c r="I166" t="s">
        <v>14</v>
      </c>
      <c r="J166" t="s">
        <v>15</v>
      </c>
      <c r="K166" t="s">
        <v>16</v>
      </c>
      <c r="L166" s="4">
        <v>74220</v>
      </c>
      <c r="M166" t="str">
        <f t="shared" si="8"/>
        <v>Low</v>
      </c>
    </row>
    <row r="167" spans="1:13" x14ac:dyDescent="0.35">
      <c r="A167">
        <v>166</v>
      </c>
      <c r="B167">
        <v>697</v>
      </c>
      <c r="C167" t="str">
        <f t="shared" si="6"/>
        <v>Small</v>
      </c>
      <c r="D167">
        <v>3</v>
      </c>
      <c r="E167">
        <v>4</v>
      </c>
      <c r="F167">
        <v>3</v>
      </c>
      <c r="G167">
        <v>2011</v>
      </c>
      <c r="H167" t="str">
        <f t="shared" si="7"/>
        <v>Post-2000</v>
      </c>
      <c r="I167" t="s">
        <v>10</v>
      </c>
      <c r="J167" t="s">
        <v>11</v>
      </c>
      <c r="K167" t="s">
        <v>12</v>
      </c>
      <c r="L167" s="4">
        <v>634819</v>
      </c>
      <c r="M167" t="str">
        <f t="shared" si="8"/>
        <v>Premium</v>
      </c>
    </row>
    <row r="168" spans="1:13" x14ac:dyDescent="0.35">
      <c r="A168">
        <v>167</v>
      </c>
      <c r="B168">
        <v>2430</v>
      </c>
      <c r="C168" t="str">
        <f t="shared" si="6"/>
        <v>Medium</v>
      </c>
      <c r="D168">
        <v>4</v>
      </c>
      <c r="E168">
        <v>2</v>
      </c>
      <c r="F168">
        <v>1</v>
      </c>
      <c r="G168">
        <v>1988</v>
      </c>
      <c r="H168" t="str">
        <f t="shared" si="7"/>
        <v>1976-2000</v>
      </c>
      <c r="I168" t="s">
        <v>17</v>
      </c>
      <c r="J168" t="s">
        <v>15</v>
      </c>
      <c r="K168" t="s">
        <v>12</v>
      </c>
      <c r="L168" s="4">
        <v>422146</v>
      </c>
      <c r="M168" t="str">
        <f t="shared" si="8"/>
        <v>High</v>
      </c>
    </row>
    <row r="169" spans="1:13" x14ac:dyDescent="0.35">
      <c r="A169">
        <v>168</v>
      </c>
      <c r="B169">
        <v>4082</v>
      </c>
      <c r="C169" t="str">
        <f t="shared" si="6"/>
        <v>Extra Large</v>
      </c>
      <c r="D169">
        <v>3</v>
      </c>
      <c r="E169">
        <v>4</v>
      </c>
      <c r="F169">
        <v>2</v>
      </c>
      <c r="G169">
        <v>1956</v>
      </c>
      <c r="H169" t="str">
        <f t="shared" si="7"/>
        <v>1950-1975</v>
      </c>
      <c r="I169" t="s">
        <v>10</v>
      </c>
      <c r="J169" t="s">
        <v>15</v>
      </c>
      <c r="K169" t="s">
        <v>16</v>
      </c>
      <c r="L169" s="4">
        <v>557409</v>
      </c>
      <c r="M169" t="str">
        <f t="shared" si="8"/>
        <v>High</v>
      </c>
    </row>
    <row r="170" spans="1:13" x14ac:dyDescent="0.35">
      <c r="A170">
        <v>169</v>
      </c>
      <c r="B170">
        <v>1108</v>
      </c>
      <c r="C170" t="str">
        <f t="shared" si="6"/>
        <v>Medium</v>
      </c>
      <c r="D170">
        <v>3</v>
      </c>
      <c r="E170">
        <v>1</v>
      </c>
      <c r="F170">
        <v>1</v>
      </c>
      <c r="G170">
        <v>2001</v>
      </c>
      <c r="H170" t="str">
        <f t="shared" si="7"/>
        <v>Post-2000</v>
      </c>
      <c r="I170" t="s">
        <v>14</v>
      </c>
      <c r="J170" t="s">
        <v>15</v>
      </c>
      <c r="K170" t="s">
        <v>16</v>
      </c>
      <c r="L170" s="4">
        <v>747785</v>
      </c>
      <c r="M170" t="str">
        <f t="shared" si="8"/>
        <v>Premium</v>
      </c>
    </row>
    <row r="171" spans="1:13" x14ac:dyDescent="0.35">
      <c r="A171">
        <v>170</v>
      </c>
      <c r="B171">
        <v>3772</v>
      </c>
      <c r="C171" t="str">
        <f t="shared" si="6"/>
        <v>Large</v>
      </c>
      <c r="D171">
        <v>1</v>
      </c>
      <c r="E171">
        <v>3</v>
      </c>
      <c r="F171">
        <v>1</v>
      </c>
      <c r="G171">
        <v>1976</v>
      </c>
      <c r="H171" t="str">
        <f t="shared" si="7"/>
        <v>1976-2000</v>
      </c>
      <c r="I171" t="s">
        <v>17</v>
      </c>
      <c r="J171" t="s">
        <v>18</v>
      </c>
      <c r="K171" t="s">
        <v>16</v>
      </c>
      <c r="L171" s="4">
        <v>59387</v>
      </c>
      <c r="M171" t="str">
        <f t="shared" si="8"/>
        <v>Low</v>
      </c>
    </row>
    <row r="172" spans="1:13" x14ac:dyDescent="0.35">
      <c r="A172">
        <v>171</v>
      </c>
      <c r="B172">
        <v>1647</v>
      </c>
      <c r="C172" t="str">
        <f t="shared" si="6"/>
        <v>Medium</v>
      </c>
      <c r="D172">
        <v>4</v>
      </c>
      <c r="E172">
        <v>3</v>
      </c>
      <c r="F172">
        <v>1</v>
      </c>
      <c r="G172">
        <v>1967</v>
      </c>
      <c r="H172" t="str">
        <f t="shared" si="7"/>
        <v>1950-1975</v>
      </c>
      <c r="I172" t="s">
        <v>19</v>
      </c>
      <c r="J172" t="s">
        <v>13</v>
      </c>
      <c r="K172" t="s">
        <v>12</v>
      </c>
      <c r="L172" s="4">
        <v>295752</v>
      </c>
      <c r="M172" t="str">
        <f t="shared" si="8"/>
        <v>Medium</v>
      </c>
    </row>
    <row r="173" spans="1:13" x14ac:dyDescent="0.35">
      <c r="A173">
        <v>172</v>
      </c>
      <c r="B173">
        <v>4782</v>
      </c>
      <c r="C173" t="str">
        <f t="shared" si="6"/>
        <v>Extra Large</v>
      </c>
      <c r="D173">
        <v>5</v>
      </c>
      <c r="E173">
        <v>3</v>
      </c>
      <c r="F173">
        <v>2</v>
      </c>
      <c r="G173">
        <v>2018</v>
      </c>
      <c r="H173" t="str">
        <f t="shared" si="7"/>
        <v>Post-2000</v>
      </c>
      <c r="I173" t="s">
        <v>14</v>
      </c>
      <c r="J173" t="s">
        <v>11</v>
      </c>
      <c r="K173" t="s">
        <v>12</v>
      </c>
      <c r="L173" s="4">
        <v>651103</v>
      </c>
      <c r="M173" t="str">
        <f t="shared" si="8"/>
        <v>Premium</v>
      </c>
    </row>
    <row r="174" spans="1:13" x14ac:dyDescent="0.35">
      <c r="A174">
        <v>173</v>
      </c>
      <c r="B174">
        <v>3897</v>
      </c>
      <c r="C174" t="str">
        <f t="shared" si="6"/>
        <v>Large</v>
      </c>
      <c r="D174">
        <v>1</v>
      </c>
      <c r="E174">
        <v>3</v>
      </c>
      <c r="F174">
        <v>1</v>
      </c>
      <c r="G174">
        <v>1977</v>
      </c>
      <c r="H174" t="str">
        <f t="shared" si="7"/>
        <v>1976-2000</v>
      </c>
      <c r="I174" t="s">
        <v>14</v>
      </c>
      <c r="J174" t="s">
        <v>13</v>
      </c>
      <c r="K174" t="s">
        <v>12</v>
      </c>
      <c r="L174" s="4">
        <v>601872</v>
      </c>
      <c r="M174" t="str">
        <f t="shared" si="8"/>
        <v>Premium</v>
      </c>
    </row>
    <row r="175" spans="1:13" x14ac:dyDescent="0.35">
      <c r="A175">
        <v>174</v>
      </c>
      <c r="B175">
        <v>3011</v>
      </c>
      <c r="C175" t="str">
        <f t="shared" si="6"/>
        <v>Large</v>
      </c>
      <c r="D175">
        <v>1</v>
      </c>
      <c r="E175">
        <v>4</v>
      </c>
      <c r="F175">
        <v>2</v>
      </c>
      <c r="G175">
        <v>1996</v>
      </c>
      <c r="H175" t="str">
        <f t="shared" si="7"/>
        <v>1976-2000</v>
      </c>
      <c r="I175" t="s">
        <v>17</v>
      </c>
      <c r="J175" t="s">
        <v>15</v>
      </c>
      <c r="K175" t="s">
        <v>12</v>
      </c>
      <c r="L175" s="4">
        <v>619071</v>
      </c>
      <c r="M175" t="str">
        <f t="shared" si="8"/>
        <v>Premium</v>
      </c>
    </row>
    <row r="176" spans="1:13" x14ac:dyDescent="0.35">
      <c r="A176">
        <v>175</v>
      </c>
      <c r="B176">
        <v>2294</v>
      </c>
      <c r="C176" t="str">
        <f t="shared" si="6"/>
        <v>Medium</v>
      </c>
      <c r="D176">
        <v>4</v>
      </c>
      <c r="E176">
        <v>4</v>
      </c>
      <c r="F176">
        <v>2</v>
      </c>
      <c r="G176">
        <v>1991</v>
      </c>
      <c r="H176" t="str">
        <f t="shared" si="7"/>
        <v>1976-2000</v>
      </c>
      <c r="I176" t="s">
        <v>14</v>
      </c>
      <c r="J176" t="s">
        <v>15</v>
      </c>
      <c r="K176" t="s">
        <v>12</v>
      </c>
      <c r="L176" s="4">
        <v>745169</v>
      </c>
      <c r="M176" t="str">
        <f t="shared" si="8"/>
        <v>Premium</v>
      </c>
    </row>
    <row r="177" spans="1:13" x14ac:dyDescent="0.35">
      <c r="A177">
        <v>176</v>
      </c>
      <c r="B177">
        <v>1159</v>
      </c>
      <c r="C177" t="str">
        <f t="shared" si="6"/>
        <v>Medium</v>
      </c>
      <c r="D177">
        <v>4</v>
      </c>
      <c r="E177">
        <v>2</v>
      </c>
      <c r="F177">
        <v>1</v>
      </c>
      <c r="G177">
        <v>1951</v>
      </c>
      <c r="H177" t="str">
        <f t="shared" si="7"/>
        <v>1950-1975</v>
      </c>
      <c r="I177" t="s">
        <v>14</v>
      </c>
      <c r="J177" t="s">
        <v>13</v>
      </c>
      <c r="K177" t="s">
        <v>12</v>
      </c>
      <c r="L177" s="4">
        <v>759687</v>
      </c>
      <c r="M177" t="str">
        <f t="shared" si="8"/>
        <v>Premium</v>
      </c>
    </row>
    <row r="178" spans="1:13" x14ac:dyDescent="0.35">
      <c r="A178">
        <v>177</v>
      </c>
      <c r="B178">
        <v>3311</v>
      </c>
      <c r="C178" t="str">
        <f t="shared" si="6"/>
        <v>Large</v>
      </c>
      <c r="D178">
        <v>3</v>
      </c>
      <c r="E178">
        <v>4</v>
      </c>
      <c r="F178">
        <v>2</v>
      </c>
      <c r="G178">
        <v>1936</v>
      </c>
      <c r="H178" t="str">
        <f t="shared" si="7"/>
        <v>Pre-1950</v>
      </c>
      <c r="I178" t="s">
        <v>14</v>
      </c>
      <c r="J178" t="s">
        <v>13</v>
      </c>
      <c r="K178" t="s">
        <v>16</v>
      </c>
      <c r="L178" s="4">
        <v>698782</v>
      </c>
      <c r="M178" t="str">
        <f t="shared" si="8"/>
        <v>Premium</v>
      </c>
    </row>
    <row r="179" spans="1:13" x14ac:dyDescent="0.35">
      <c r="A179">
        <v>178</v>
      </c>
      <c r="B179">
        <v>1869</v>
      </c>
      <c r="C179" t="str">
        <f t="shared" si="6"/>
        <v>Medium</v>
      </c>
      <c r="D179">
        <v>4</v>
      </c>
      <c r="E179">
        <v>2</v>
      </c>
      <c r="F179">
        <v>3</v>
      </c>
      <c r="G179">
        <v>1907</v>
      </c>
      <c r="H179" t="str">
        <f t="shared" si="7"/>
        <v>Pre-1950</v>
      </c>
      <c r="I179" t="s">
        <v>14</v>
      </c>
      <c r="J179" t="s">
        <v>11</v>
      </c>
      <c r="K179" t="s">
        <v>12</v>
      </c>
      <c r="L179" s="4">
        <v>690102</v>
      </c>
      <c r="M179" t="str">
        <f t="shared" si="8"/>
        <v>Premium</v>
      </c>
    </row>
    <row r="180" spans="1:13" x14ac:dyDescent="0.35">
      <c r="A180">
        <v>179</v>
      </c>
      <c r="B180">
        <v>2486</v>
      </c>
      <c r="C180" t="str">
        <f t="shared" si="6"/>
        <v>Medium</v>
      </c>
      <c r="D180">
        <v>3</v>
      </c>
      <c r="E180">
        <v>2</v>
      </c>
      <c r="F180">
        <v>1</v>
      </c>
      <c r="G180">
        <v>1943</v>
      </c>
      <c r="H180" t="str">
        <f t="shared" si="7"/>
        <v>Pre-1950</v>
      </c>
      <c r="I180" t="s">
        <v>14</v>
      </c>
      <c r="J180" t="s">
        <v>15</v>
      </c>
      <c r="K180" t="s">
        <v>12</v>
      </c>
      <c r="L180" s="4">
        <v>300139</v>
      </c>
      <c r="M180" t="str">
        <f t="shared" si="8"/>
        <v>Medium</v>
      </c>
    </row>
    <row r="181" spans="1:13" x14ac:dyDescent="0.35">
      <c r="A181">
        <v>180</v>
      </c>
      <c r="B181">
        <v>646</v>
      </c>
      <c r="C181" t="str">
        <f t="shared" si="6"/>
        <v>Small</v>
      </c>
      <c r="D181">
        <v>1</v>
      </c>
      <c r="E181">
        <v>3</v>
      </c>
      <c r="F181">
        <v>1</v>
      </c>
      <c r="G181">
        <v>1997</v>
      </c>
      <c r="H181" t="str">
        <f t="shared" si="7"/>
        <v>1976-2000</v>
      </c>
      <c r="I181" t="s">
        <v>14</v>
      </c>
      <c r="J181" t="s">
        <v>13</v>
      </c>
      <c r="K181" t="s">
        <v>12</v>
      </c>
      <c r="L181" s="4">
        <v>967184</v>
      </c>
      <c r="M181" t="str">
        <f t="shared" si="8"/>
        <v>Premium</v>
      </c>
    </row>
    <row r="182" spans="1:13" x14ac:dyDescent="0.35">
      <c r="A182">
        <v>181</v>
      </c>
      <c r="B182">
        <v>3719</v>
      </c>
      <c r="C182" t="str">
        <f t="shared" si="6"/>
        <v>Large</v>
      </c>
      <c r="D182">
        <v>2</v>
      </c>
      <c r="E182">
        <v>4</v>
      </c>
      <c r="F182">
        <v>2</v>
      </c>
      <c r="G182">
        <v>2007</v>
      </c>
      <c r="H182" t="str">
        <f t="shared" si="7"/>
        <v>Post-2000</v>
      </c>
      <c r="I182" t="s">
        <v>14</v>
      </c>
      <c r="J182" t="s">
        <v>18</v>
      </c>
      <c r="K182" t="s">
        <v>12</v>
      </c>
      <c r="L182" s="4">
        <v>550228</v>
      </c>
      <c r="M182" t="str">
        <f t="shared" si="8"/>
        <v>High</v>
      </c>
    </row>
    <row r="183" spans="1:13" x14ac:dyDescent="0.35">
      <c r="A183">
        <v>182</v>
      </c>
      <c r="B183">
        <v>3411</v>
      </c>
      <c r="C183" t="str">
        <f t="shared" si="6"/>
        <v>Large</v>
      </c>
      <c r="D183">
        <v>5</v>
      </c>
      <c r="E183">
        <v>4</v>
      </c>
      <c r="F183">
        <v>2</v>
      </c>
      <c r="G183">
        <v>1904</v>
      </c>
      <c r="H183" t="str">
        <f t="shared" si="7"/>
        <v>Pre-1950</v>
      </c>
      <c r="I183" t="s">
        <v>14</v>
      </c>
      <c r="J183" t="s">
        <v>15</v>
      </c>
      <c r="K183" t="s">
        <v>16</v>
      </c>
      <c r="L183" s="4">
        <v>716217</v>
      </c>
      <c r="M183" t="str">
        <f t="shared" si="8"/>
        <v>Premium</v>
      </c>
    </row>
    <row r="184" spans="1:13" x14ac:dyDescent="0.35">
      <c r="A184">
        <v>183</v>
      </c>
      <c r="B184">
        <v>2234</v>
      </c>
      <c r="C184" t="str">
        <f t="shared" si="6"/>
        <v>Medium</v>
      </c>
      <c r="D184">
        <v>1</v>
      </c>
      <c r="E184">
        <v>2</v>
      </c>
      <c r="F184">
        <v>1</v>
      </c>
      <c r="G184">
        <v>2017</v>
      </c>
      <c r="H184" t="str">
        <f t="shared" si="7"/>
        <v>Post-2000</v>
      </c>
      <c r="I184" t="s">
        <v>19</v>
      </c>
      <c r="J184" t="s">
        <v>15</v>
      </c>
      <c r="K184" t="s">
        <v>12</v>
      </c>
      <c r="L184" s="4">
        <v>747621</v>
      </c>
      <c r="M184" t="str">
        <f t="shared" si="8"/>
        <v>Premium</v>
      </c>
    </row>
    <row r="185" spans="1:13" x14ac:dyDescent="0.35">
      <c r="A185">
        <v>184</v>
      </c>
      <c r="B185">
        <v>2343</v>
      </c>
      <c r="C185" t="str">
        <f t="shared" si="6"/>
        <v>Medium</v>
      </c>
      <c r="D185">
        <v>4</v>
      </c>
      <c r="E185">
        <v>2</v>
      </c>
      <c r="F185">
        <v>3</v>
      </c>
      <c r="G185">
        <v>1968</v>
      </c>
      <c r="H185" t="str">
        <f t="shared" si="7"/>
        <v>1950-1975</v>
      </c>
      <c r="I185" t="s">
        <v>14</v>
      </c>
      <c r="J185" t="s">
        <v>11</v>
      </c>
      <c r="K185" t="s">
        <v>16</v>
      </c>
      <c r="L185" s="4">
        <v>910020</v>
      </c>
      <c r="M185" t="str">
        <f t="shared" si="8"/>
        <v>Premium</v>
      </c>
    </row>
    <row r="186" spans="1:13" x14ac:dyDescent="0.35">
      <c r="A186">
        <v>185</v>
      </c>
      <c r="B186">
        <v>988</v>
      </c>
      <c r="C186" t="str">
        <f t="shared" si="6"/>
        <v>Small</v>
      </c>
      <c r="D186">
        <v>5</v>
      </c>
      <c r="E186">
        <v>1</v>
      </c>
      <c r="F186">
        <v>2</v>
      </c>
      <c r="G186">
        <v>1930</v>
      </c>
      <c r="H186" t="str">
        <f t="shared" si="7"/>
        <v>Pre-1950</v>
      </c>
      <c r="I186" t="s">
        <v>19</v>
      </c>
      <c r="J186" t="s">
        <v>18</v>
      </c>
      <c r="K186" t="s">
        <v>16</v>
      </c>
      <c r="L186" s="4">
        <v>984499</v>
      </c>
      <c r="M186" t="str">
        <f t="shared" si="8"/>
        <v>Premium</v>
      </c>
    </row>
    <row r="187" spans="1:13" x14ac:dyDescent="0.35">
      <c r="A187">
        <v>186</v>
      </c>
      <c r="B187">
        <v>3476</v>
      </c>
      <c r="C187" t="str">
        <f t="shared" si="6"/>
        <v>Large</v>
      </c>
      <c r="D187">
        <v>2</v>
      </c>
      <c r="E187">
        <v>1</v>
      </c>
      <c r="F187">
        <v>2</v>
      </c>
      <c r="G187">
        <v>1944</v>
      </c>
      <c r="H187" t="str">
        <f t="shared" si="7"/>
        <v>Pre-1950</v>
      </c>
      <c r="I187" t="s">
        <v>19</v>
      </c>
      <c r="J187" t="s">
        <v>11</v>
      </c>
      <c r="K187" t="s">
        <v>12</v>
      </c>
      <c r="L187" s="4">
        <v>296509</v>
      </c>
      <c r="M187" t="str">
        <f t="shared" si="8"/>
        <v>Medium</v>
      </c>
    </row>
    <row r="188" spans="1:13" x14ac:dyDescent="0.35">
      <c r="A188">
        <v>187</v>
      </c>
      <c r="B188">
        <v>2459</v>
      </c>
      <c r="C188" t="str">
        <f t="shared" si="6"/>
        <v>Medium</v>
      </c>
      <c r="D188">
        <v>2</v>
      </c>
      <c r="E188">
        <v>2</v>
      </c>
      <c r="F188">
        <v>3</v>
      </c>
      <c r="G188">
        <v>1908</v>
      </c>
      <c r="H188" t="str">
        <f t="shared" si="7"/>
        <v>Pre-1950</v>
      </c>
      <c r="I188" t="s">
        <v>10</v>
      </c>
      <c r="J188" t="s">
        <v>18</v>
      </c>
      <c r="K188" t="s">
        <v>12</v>
      </c>
      <c r="L188" s="4">
        <v>63580</v>
      </c>
      <c r="M188" t="str">
        <f t="shared" si="8"/>
        <v>Low</v>
      </c>
    </row>
    <row r="189" spans="1:13" x14ac:dyDescent="0.35">
      <c r="A189">
        <v>188</v>
      </c>
      <c r="B189">
        <v>2885</v>
      </c>
      <c r="C189" t="str">
        <f t="shared" si="6"/>
        <v>Large</v>
      </c>
      <c r="D189">
        <v>3</v>
      </c>
      <c r="E189">
        <v>1</v>
      </c>
      <c r="F189">
        <v>3</v>
      </c>
      <c r="G189">
        <v>2005</v>
      </c>
      <c r="H189" t="str">
        <f t="shared" si="7"/>
        <v>Post-2000</v>
      </c>
      <c r="I189" t="s">
        <v>10</v>
      </c>
      <c r="J189" t="s">
        <v>11</v>
      </c>
      <c r="K189" t="s">
        <v>16</v>
      </c>
      <c r="L189" s="4">
        <v>592528</v>
      </c>
      <c r="M189" t="str">
        <f t="shared" si="8"/>
        <v>High</v>
      </c>
    </row>
    <row r="190" spans="1:13" x14ac:dyDescent="0.35">
      <c r="A190">
        <v>189</v>
      </c>
      <c r="B190">
        <v>3419</v>
      </c>
      <c r="C190" t="str">
        <f t="shared" si="6"/>
        <v>Large</v>
      </c>
      <c r="D190">
        <v>5</v>
      </c>
      <c r="E190">
        <v>1</v>
      </c>
      <c r="F190">
        <v>1</v>
      </c>
      <c r="G190">
        <v>1931</v>
      </c>
      <c r="H190" t="str">
        <f t="shared" si="7"/>
        <v>Pre-1950</v>
      </c>
      <c r="I190" t="s">
        <v>19</v>
      </c>
      <c r="J190" t="s">
        <v>18</v>
      </c>
      <c r="K190" t="s">
        <v>16</v>
      </c>
      <c r="L190" s="4">
        <v>828639</v>
      </c>
      <c r="M190" t="str">
        <f t="shared" si="8"/>
        <v>Premium</v>
      </c>
    </row>
    <row r="191" spans="1:13" x14ac:dyDescent="0.35">
      <c r="A191">
        <v>190</v>
      </c>
      <c r="B191">
        <v>2302</v>
      </c>
      <c r="C191" t="str">
        <f t="shared" si="6"/>
        <v>Medium</v>
      </c>
      <c r="D191">
        <v>3</v>
      </c>
      <c r="E191">
        <v>2</v>
      </c>
      <c r="F191">
        <v>3</v>
      </c>
      <c r="G191">
        <v>1932</v>
      </c>
      <c r="H191" t="str">
        <f t="shared" si="7"/>
        <v>Pre-1950</v>
      </c>
      <c r="I191" t="s">
        <v>19</v>
      </c>
      <c r="J191" t="s">
        <v>18</v>
      </c>
      <c r="K191" t="s">
        <v>12</v>
      </c>
      <c r="L191" s="4">
        <v>395590</v>
      </c>
      <c r="M191" t="str">
        <f t="shared" si="8"/>
        <v>Medium</v>
      </c>
    </row>
    <row r="192" spans="1:13" x14ac:dyDescent="0.35">
      <c r="A192">
        <v>191</v>
      </c>
      <c r="B192">
        <v>4561</v>
      </c>
      <c r="C192" t="str">
        <f t="shared" si="6"/>
        <v>Extra Large</v>
      </c>
      <c r="D192">
        <v>1</v>
      </c>
      <c r="E192">
        <v>2</v>
      </c>
      <c r="F192">
        <v>1</v>
      </c>
      <c r="G192">
        <v>1966</v>
      </c>
      <c r="H192" t="str">
        <f t="shared" si="7"/>
        <v>1950-1975</v>
      </c>
      <c r="I192" t="s">
        <v>14</v>
      </c>
      <c r="J192" t="s">
        <v>18</v>
      </c>
      <c r="K192" t="s">
        <v>16</v>
      </c>
      <c r="L192" s="4">
        <v>518968</v>
      </c>
      <c r="M192" t="str">
        <f t="shared" si="8"/>
        <v>High</v>
      </c>
    </row>
    <row r="193" spans="1:13" x14ac:dyDescent="0.35">
      <c r="A193">
        <v>192</v>
      </c>
      <c r="B193">
        <v>3869</v>
      </c>
      <c r="C193" t="str">
        <f t="shared" si="6"/>
        <v>Large</v>
      </c>
      <c r="D193">
        <v>5</v>
      </c>
      <c r="E193">
        <v>4</v>
      </c>
      <c r="F193">
        <v>3</v>
      </c>
      <c r="G193">
        <v>1929</v>
      </c>
      <c r="H193" t="str">
        <f t="shared" si="7"/>
        <v>Pre-1950</v>
      </c>
      <c r="I193" t="s">
        <v>10</v>
      </c>
      <c r="J193" t="s">
        <v>13</v>
      </c>
      <c r="K193" t="s">
        <v>12</v>
      </c>
      <c r="L193" s="4">
        <v>940965</v>
      </c>
      <c r="M193" t="str">
        <f t="shared" si="8"/>
        <v>Premium</v>
      </c>
    </row>
    <row r="194" spans="1:13" x14ac:dyDescent="0.35">
      <c r="A194">
        <v>193</v>
      </c>
      <c r="B194">
        <v>762</v>
      </c>
      <c r="C194" t="str">
        <f t="shared" si="6"/>
        <v>Small</v>
      </c>
      <c r="D194">
        <v>1</v>
      </c>
      <c r="E194">
        <v>2</v>
      </c>
      <c r="F194">
        <v>2</v>
      </c>
      <c r="G194">
        <v>2013</v>
      </c>
      <c r="H194" t="str">
        <f t="shared" si="7"/>
        <v>Post-2000</v>
      </c>
      <c r="I194" t="s">
        <v>17</v>
      </c>
      <c r="J194" t="s">
        <v>15</v>
      </c>
      <c r="K194" t="s">
        <v>12</v>
      </c>
      <c r="L194" s="4">
        <v>828559</v>
      </c>
      <c r="M194" t="str">
        <f t="shared" si="8"/>
        <v>Premium</v>
      </c>
    </row>
    <row r="195" spans="1:13" x14ac:dyDescent="0.35">
      <c r="A195">
        <v>194</v>
      </c>
      <c r="B195">
        <v>1123</v>
      </c>
      <c r="C195" t="str">
        <f t="shared" ref="C195:C258" si="9">IF(B195&lt;=1000,"Small",IF(B195&lt;=2500,"Medium",IF(B195&lt;=4000,"Large",IF(B195&gt;=4000,"Extra Large"))))</f>
        <v>Medium</v>
      </c>
      <c r="D195">
        <v>3</v>
      </c>
      <c r="E195">
        <v>2</v>
      </c>
      <c r="F195">
        <v>1</v>
      </c>
      <c r="G195">
        <v>1975</v>
      </c>
      <c r="H195" t="str">
        <f t="shared" ref="H195:H258" si="10">IF(G195&lt;=1950,"Pre-1950",IF(G195&lt;=1975,"1950-1975",IF(G195&lt;=2000,"1976-2000",IF(G195&gt;=2000,"Post-2000"))))</f>
        <v>1950-1975</v>
      </c>
      <c r="I195" t="s">
        <v>10</v>
      </c>
      <c r="J195" t="s">
        <v>18</v>
      </c>
      <c r="K195" t="s">
        <v>16</v>
      </c>
      <c r="L195" s="4">
        <v>533663</v>
      </c>
      <c r="M195" t="str">
        <f t="shared" ref="M195:M258" si="11">IF(L195&lt;=200000,"Low",IF(L195&lt;=400000,"Medium",IF(L195&lt;=600000,"High",IF(L195&gt;=600000,"Premium",""))))</f>
        <v>High</v>
      </c>
    </row>
    <row r="196" spans="1:13" x14ac:dyDescent="0.35">
      <c r="A196">
        <v>195</v>
      </c>
      <c r="B196">
        <v>1516</v>
      </c>
      <c r="C196" t="str">
        <f t="shared" si="9"/>
        <v>Medium</v>
      </c>
      <c r="D196">
        <v>5</v>
      </c>
      <c r="E196">
        <v>3</v>
      </c>
      <c r="F196">
        <v>1</v>
      </c>
      <c r="G196">
        <v>1928</v>
      </c>
      <c r="H196" t="str">
        <f t="shared" si="10"/>
        <v>Pre-1950</v>
      </c>
      <c r="I196" t="s">
        <v>19</v>
      </c>
      <c r="J196" t="s">
        <v>13</v>
      </c>
      <c r="K196" t="s">
        <v>12</v>
      </c>
      <c r="L196" s="4">
        <v>478082</v>
      </c>
      <c r="M196" t="str">
        <f t="shared" si="11"/>
        <v>High</v>
      </c>
    </row>
    <row r="197" spans="1:13" x14ac:dyDescent="0.35">
      <c r="A197">
        <v>196</v>
      </c>
      <c r="B197">
        <v>4143</v>
      </c>
      <c r="C197" t="str">
        <f t="shared" si="9"/>
        <v>Extra Large</v>
      </c>
      <c r="D197">
        <v>3</v>
      </c>
      <c r="E197">
        <v>4</v>
      </c>
      <c r="F197">
        <v>1</v>
      </c>
      <c r="G197">
        <v>1902</v>
      </c>
      <c r="H197" t="str">
        <f t="shared" si="10"/>
        <v>Pre-1950</v>
      </c>
      <c r="I197" t="s">
        <v>19</v>
      </c>
      <c r="J197" t="s">
        <v>13</v>
      </c>
      <c r="K197" t="s">
        <v>12</v>
      </c>
      <c r="L197" s="4">
        <v>655262</v>
      </c>
      <c r="M197" t="str">
        <f t="shared" si="11"/>
        <v>Premium</v>
      </c>
    </row>
    <row r="198" spans="1:13" x14ac:dyDescent="0.35">
      <c r="A198">
        <v>197</v>
      </c>
      <c r="B198">
        <v>2549</v>
      </c>
      <c r="C198" t="str">
        <f t="shared" si="9"/>
        <v>Large</v>
      </c>
      <c r="D198">
        <v>5</v>
      </c>
      <c r="E198">
        <v>4</v>
      </c>
      <c r="F198">
        <v>3</v>
      </c>
      <c r="G198">
        <v>1989</v>
      </c>
      <c r="H198" t="str">
        <f t="shared" si="10"/>
        <v>1976-2000</v>
      </c>
      <c r="I198" t="s">
        <v>14</v>
      </c>
      <c r="J198" t="s">
        <v>11</v>
      </c>
      <c r="K198" t="s">
        <v>12</v>
      </c>
      <c r="L198" s="4">
        <v>647689</v>
      </c>
      <c r="M198" t="str">
        <f t="shared" si="11"/>
        <v>Premium</v>
      </c>
    </row>
    <row r="199" spans="1:13" x14ac:dyDescent="0.35">
      <c r="A199">
        <v>198</v>
      </c>
      <c r="B199">
        <v>4223</v>
      </c>
      <c r="C199" t="str">
        <f t="shared" si="9"/>
        <v>Extra Large</v>
      </c>
      <c r="D199">
        <v>3</v>
      </c>
      <c r="E199">
        <v>4</v>
      </c>
      <c r="F199">
        <v>2</v>
      </c>
      <c r="G199">
        <v>1956</v>
      </c>
      <c r="H199" t="str">
        <f t="shared" si="10"/>
        <v>1950-1975</v>
      </c>
      <c r="I199" t="s">
        <v>14</v>
      </c>
      <c r="J199" t="s">
        <v>15</v>
      </c>
      <c r="K199" t="s">
        <v>16</v>
      </c>
      <c r="L199" s="4">
        <v>263165</v>
      </c>
      <c r="M199" t="str">
        <f t="shared" si="11"/>
        <v>Medium</v>
      </c>
    </row>
    <row r="200" spans="1:13" x14ac:dyDescent="0.35">
      <c r="A200">
        <v>199</v>
      </c>
      <c r="B200">
        <v>3608</v>
      </c>
      <c r="C200" t="str">
        <f t="shared" si="9"/>
        <v>Large</v>
      </c>
      <c r="D200">
        <v>2</v>
      </c>
      <c r="E200">
        <v>3</v>
      </c>
      <c r="F200">
        <v>1</v>
      </c>
      <c r="G200">
        <v>1929</v>
      </c>
      <c r="H200" t="str">
        <f t="shared" si="10"/>
        <v>Pre-1950</v>
      </c>
      <c r="I200" t="s">
        <v>10</v>
      </c>
      <c r="J200" t="s">
        <v>15</v>
      </c>
      <c r="K200" t="s">
        <v>16</v>
      </c>
      <c r="L200" s="4">
        <v>455427</v>
      </c>
      <c r="M200" t="str">
        <f t="shared" si="11"/>
        <v>High</v>
      </c>
    </row>
    <row r="201" spans="1:13" x14ac:dyDescent="0.35">
      <c r="A201">
        <v>200</v>
      </c>
      <c r="B201">
        <v>4590</v>
      </c>
      <c r="C201" t="str">
        <f t="shared" si="9"/>
        <v>Extra Large</v>
      </c>
      <c r="D201">
        <v>3</v>
      </c>
      <c r="E201">
        <v>2</v>
      </c>
      <c r="F201">
        <v>1</v>
      </c>
      <c r="G201">
        <v>1908</v>
      </c>
      <c r="H201" t="str">
        <f t="shared" si="10"/>
        <v>Pre-1950</v>
      </c>
      <c r="I201" t="s">
        <v>14</v>
      </c>
      <c r="J201" t="s">
        <v>11</v>
      </c>
      <c r="K201" t="s">
        <v>16</v>
      </c>
      <c r="L201" s="4">
        <v>502201</v>
      </c>
      <c r="M201" t="str">
        <f t="shared" si="11"/>
        <v>High</v>
      </c>
    </row>
    <row r="202" spans="1:13" x14ac:dyDescent="0.35">
      <c r="A202">
        <v>201</v>
      </c>
      <c r="B202">
        <v>2556</v>
      </c>
      <c r="C202" t="str">
        <f t="shared" si="9"/>
        <v>Large</v>
      </c>
      <c r="D202">
        <v>2</v>
      </c>
      <c r="E202">
        <v>4</v>
      </c>
      <c r="F202">
        <v>1</v>
      </c>
      <c r="G202">
        <v>1925</v>
      </c>
      <c r="H202" t="str">
        <f t="shared" si="10"/>
        <v>Pre-1950</v>
      </c>
      <c r="I202" t="s">
        <v>17</v>
      </c>
      <c r="J202" t="s">
        <v>15</v>
      </c>
      <c r="K202" t="s">
        <v>12</v>
      </c>
      <c r="L202" s="4">
        <v>214340</v>
      </c>
      <c r="M202" t="str">
        <f t="shared" si="11"/>
        <v>Medium</v>
      </c>
    </row>
    <row r="203" spans="1:13" x14ac:dyDescent="0.35">
      <c r="A203">
        <v>202</v>
      </c>
      <c r="B203">
        <v>3670</v>
      </c>
      <c r="C203" t="str">
        <f t="shared" si="9"/>
        <v>Large</v>
      </c>
      <c r="D203">
        <v>3</v>
      </c>
      <c r="E203">
        <v>4</v>
      </c>
      <c r="F203">
        <v>1</v>
      </c>
      <c r="G203">
        <v>1901</v>
      </c>
      <c r="H203" t="str">
        <f t="shared" si="10"/>
        <v>Pre-1950</v>
      </c>
      <c r="I203" t="s">
        <v>17</v>
      </c>
      <c r="J203" t="s">
        <v>11</v>
      </c>
      <c r="K203" t="s">
        <v>16</v>
      </c>
      <c r="L203" s="4">
        <v>840078</v>
      </c>
      <c r="M203" t="str">
        <f t="shared" si="11"/>
        <v>Premium</v>
      </c>
    </row>
    <row r="204" spans="1:13" x14ac:dyDescent="0.35">
      <c r="A204">
        <v>203</v>
      </c>
      <c r="B204">
        <v>2182</v>
      </c>
      <c r="C204" t="str">
        <f t="shared" si="9"/>
        <v>Medium</v>
      </c>
      <c r="D204">
        <v>5</v>
      </c>
      <c r="E204">
        <v>1</v>
      </c>
      <c r="F204">
        <v>2</v>
      </c>
      <c r="G204">
        <v>1961</v>
      </c>
      <c r="H204" t="str">
        <f t="shared" si="10"/>
        <v>1950-1975</v>
      </c>
      <c r="I204" t="s">
        <v>14</v>
      </c>
      <c r="J204" t="s">
        <v>13</v>
      </c>
      <c r="K204" t="s">
        <v>16</v>
      </c>
      <c r="L204" s="4">
        <v>760731</v>
      </c>
      <c r="M204" t="str">
        <f t="shared" si="11"/>
        <v>Premium</v>
      </c>
    </row>
    <row r="205" spans="1:13" x14ac:dyDescent="0.35">
      <c r="A205">
        <v>204</v>
      </c>
      <c r="B205">
        <v>2755</v>
      </c>
      <c r="C205" t="str">
        <f t="shared" si="9"/>
        <v>Large</v>
      </c>
      <c r="D205">
        <v>5</v>
      </c>
      <c r="E205">
        <v>4</v>
      </c>
      <c r="F205">
        <v>3</v>
      </c>
      <c r="G205">
        <v>1902</v>
      </c>
      <c r="H205" t="str">
        <f t="shared" si="10"/>
        <v>Pre-1950</v>
      </c>
      <c r="I205" t="s">
        <v>17</v>
      </c>
      <c r="J205" t="s">
        <v>13</v>
      </c>
      <c r="K205" t="s">
        <v>16</v>
      </c>
      <c r="L205" s="4">
        <v>822411</v>
      </c>
      <c r="M205" t="str">
        <f t="shared" si="11"/>
        <v>Premium</v>
      </c>
    </row>
    <row r="206" spans="1:13" x14ac:dyDescent="0.35">
      <c r="A206">
        <v>205</v>
      </c>
      <c r="B206">
        <v>1654</v>
      </c>
      <c r="C206" t="str">
        <f t="shared" si="9"/>
        <v>Medium</v>
      </c>
      <c r="D206">
        <v>5</v>
      </c>
      <c r="E206">
        <v>2</v>
      </c>
      <c r="F206">
        <v>2</v>
      </c>
      <c r="G206">
        <v>1945</v>
      </c>
      <c r="H206" t="str">
        <f t="shared" si="10"/>
        <v>Pre-1950</v>
      </c>
      <c r="I206" t="s">
        <v>17</v>
      </c>
      <c r="J206" t="s">
        <v>18</v>
      </c>
      <c r="K206" t="s">
        <v>12</v>
      </c>
      <c r="L206" s="4">
        <v>354960</v>
      </c>
      <c r="M206" t="str">
        <f t="shared" si="11"/>
        <v>Medium</v>
      </c>
    </row>
    <row r="207" spans="1:13" x14ac:dyDescent="0.35">
      <c r="A207">
        <v>206</v>
      </c>
      <c r="B207">
        <v>4999</v>
      </c>
      <c r="C207" t="str">
        <f t="shared" si="9"/>
        <v>Extra Large</v>
      </c>
      <c r="D207">
        <v>4</v>
      </c>
      <c r="E207">
        <v>2</v>
      </c>
      <c r="F207">
        <v>1</v>
      </c>
      <c r="G207">
        <v>1967</v>
      </c>
      <c r="H207" t="str">
        <f t="shared" si="10"/>
        <v>1950-1975</v>
      </c>
      <c r="I207" t="s">
        <v>10</v>
      </c>
      <c r="J207" t="s">
        <v>11</v>
      </c>
      <c r="K207" t="s">
        <v>12</v>
      </c>
      <c r="L207" s="4">
        <v>139460</v>
      </c>
      <c r="M207" t="str">
        <f t="shared" si="11"/>
        <v>Low</v>
      </c>
    </row>
    <row r="208" spans="1:13" x14ac:dyDescent="0.35">
      <c r="A208">
        <v>207</v>
      </c>
      <c r="B208">
        <v>3691</v>
      </c>
      <c r="C208" t="str">
        <f t="shared" si="9"/>
        <v>Large</v>
      </c>
      <c r="D208">
        <v>1</v>
      </c>
      <c r="E208">
        <v>1</v>
      </c>
      <c r="F208">
        <v>2</v>
      </c>
      <c r="G208">
        <v>1924</v>
      </c>
      <c r="H208" t="str">
        <f t="shared" si="10"/>
        <v>Pre-1950</v>
      </c>
      <c r="I208" t="s">
        <v>17</v>
      </c>
      <c r="J208" t="s">
        <v>13</v>
      </c>
      <c r="K208" t="s">
        <v>16</v>
      </c>
      <c r="L208" s="4">
        <v>356256</v>
      </c>
      <c r="M208" t="str">
        <f t="shared" si="11"/>
        <v>Medium</v>
      </c>
    </row>
    <row r="209" spans="1:13" x14ac:dyDescent="0.35">
      <c r="A209">
        <v>208</v>
      </c>
      <c r="B209">
        <v>2196</v>
      </c>
      <c r="C209" t="str">
        <f t="shared" si="9"/>
        <v>Medium</v>
      </c>
      <c r="D209">
        <v>5</v>
      </c>
      <c r="E209">
        <v>4</v>
      </c>
      <c r="F209">
        <v>1</v>
      </c>
      <c r="G209">
        <v>1950</v>
      </c>
      <c r="H209" t="str">
        <f t="shared" si="10"/>
        <v>Pre-1950</v>
      </c>
      <c r="I209" t="s">
        <v>19</v>
      </c>
      <c r="J209" t="s">
        <v>13</v>
      </c>
      <c r="K209" t="s">
        <v>16</v>
      </c>
      <c r="L209" s="4">
        <v>101048</v>
      </c>
      <c r="M209" t="str">
        <f t="shared" si="11"/>
        <v>Low</v>
      </c>
    </row>
    <row r="210" spans="1:13" x14ac:dyDescent="0.35">
      <c r="A210">
        <v>209</v>
      </c>
      <c r="B210">
        <v>4491</v>
      </c>
      <c r="C210" t="str">
        <f t="shared" si="9"/>
        <v>Extra Large</v>
      </c>
      <c r="D210">
        <v>2</v>
      </c>
      <c r="E210">
        <v>4</v>
      </c>
      <c r="F210">
        <v>3</v>
      </c>
      <c r="G210">
        <v>1912</v>
      </c>
      <c r="H210" t="str">
        <f t="shared" si="10"/>
        <v>Pre-1950</v>
      </c>
      <c r="I210" t="s">
        <v>19</v>
      </c>
      <c r="J210" t="s">
        <v>11</v>
      </c>
      <c r="K210" t="s">
        <v>16</v>
      </c>
      <c r="L210" s="4">
        <v>780806</v>
      </c>
      <c r="M210" t="str">
        <f t="shared" si="11"/>
        <v>Premium</v>
      </c>
    </row>
    <row r="211" spans="1:13" x14ac:dyDescent="0.35">
      <c r="A211">
        <v>210</v>
      </c>
      <c r="B211">
        <v>2148</v>
      </c>
      <c r="C211" t="str">
        <f t="shared" si="9"/>
        <v>Medium</v>
      </c>
      <c r="D211">
        <v>5</v>
      </c>
      <c r="E211">
        <v>4</v>
      </c>
      <c r="F211">
        <v>3</v>
      </c>
      <c r="G211">
        <v>2002</v>
      </c>
      <c r="H211" t="str">
        <f t="shared" si="10"/>
        <v>Post-2000</v>
      </c>
      <c r="I211" t="s">
        <v>10</v>
      </c>
      <c r="J211" t="s">
        <v>13</v>
      </c>
      <c r="K211" t="s">
        <v>12</v>
      </c>
      <c r="L211" s="4">
        <v>182850</v>
      </c>
      <c r="M211" t="str">
        <f t="shared" si="11"/>
        <v>Low</v>
      </c>
    </row>
    <row r="212" spans="1:13" x14ac:dyDescent="0.35">
      <c r="A212">
        <v>211</v>
      </c>
      <c r="B212">
        <v>1945</v>
      </c>
      <c r="C212" t="str">
        <f t="shared" si="9"/>
        <v>Medium</v>
      </c>
      <c r="D212">
        <v>4</v>
      </c>
      <c r="E212">
        <v>3</v>
      </c>
      <c r="F212">
        <v>3</v>
      </c>
      <c r="G212">
        <v>1943</v>
      </c>
      <c r="H212" t="str">
        <f t="shared" si="10"/>
        <v>Pre-1950</v>
      </c>
      <c r="I212" t="s">
        <v>14</v>
      </c>
      <c r="J212" t="s">
        <v>15</v>
      </c>
      <c r="K212" t="s">
        <v>16</v>
      </c>
      <c r="L212" s="4">
        <v>882184</v>
      </c>
      <c r="M212" t="str">
        <f t="shared" si="11"/>
        <v>Premium</v>
      </c>
    </row>
    <row r="213" spans="1:13" x14ac:dyDescent="0.35">
      <c r="A213">
        <v>212</v>
      </c>
      <c r="B213">
        <v>4699</v>
      </c>
      <c r="C213" t="str">
        <f t="shared" si="9"/>
        <v>Extra Large</v>
      </c>
      <c r="D213">
        <v>2</v>
      </c>
      <c r="E213">
        <v>4</v>
      </c>
      <c r="F213">
        <v>1</v>
      </c>
      <c r="G213">
        <v>1934</v>
      </c>
      <c r="H213" t="str">
        <f t="shared" si="10"/>
        <v>Pre-1950</v>
      </c>
      <c r="I213" t="s">
        <v>10</v>
      </c>
      <c r="J213" t="s">
        <v>13</v>
      </c>
      <c r="K213" t="s">
        <v>12</v>
      </c>
      <c r="L213" s="4">
        <v>528193</v>
      </c>
      <c r="M213" t="str">
        <f t="shared" si="11"/>
        <v>High</v>
      </c>
    </row>
    <row r="214" spans="1:13" x14ac:dyDescent="0.35">
      <c r="A214">
        <v>213</v>
      </c>
      <c r="B214">
        <v>4423</v>
      </c>
      <c r="C214" t="str">
        <f t="shared" si="9"/>
        <v>Extra Large</v>
      </c>
      <c r="D214">
        <v>4</v>
      </c>
      <c r="E214">
        <v>2</v>
      </c>
      <c r="F214">
        <v>2</v>
      </c>
      <c r="G214">
        <v>1954</v>
      </c>
      <c r="H214" t="str">
        <f t="shared" si="10"/>
        <v>1950-1975</v>
      </c>
      <c r="I214" t="s">
        <v>14</v>
      </c>
      <c r="J214" t="s">
        <v>11</v>
      </c>
      <c r="K214" t="s">
        <v>12</v>
      </c>
      <c r="L214" s="4">
        <v>907158</v>
      </c>
      <c r="M214" t="str">
        <f t="shared" si="11"/>
        <v>Premium</v>
      </c>
    </row>
    <row r="215" spans="1:13" x14ac:dyDescent="0.35">
      <c r="A215">
        <v>214</v>
      </c>
      <c r="B215">
        <v>753</v>
      </c>
      <c r="C215" t="str">
        <f t="shared" si="9"/>
        <v>Small</v>
      </c>
      <c r="D215">
        <v>2</v>
      </c>
      <c r="E215">
        <v>2</v>
      </c>
      <c r="F215">
        <v>3</v>
      </c>
      <c r="G215">
        <v>1986</v>
      </c>
      <c r="H215" t="str">
        <f t="shared" si="10"/>
        <v>1976-2000</v>
      </c>
      <c r="I215" t="s">
        <v>14</v>
      </c>
      <c r="J215" t="s">
        <v>15</v>
      </c>
      <c r="K215" t="s">
        <v>12</v>
      </c>
      <c r="L215" s="4">
        <v>786200</v>
      </c>
      <c r="M215" t="str">
        <f t="shared" si="11"/>
        <v>Premium</v>
      </c>
    </row>
    <row r="216" spans="1:13" x14ac:dyDescent="0.35">
      <c r="A216">
        <v>215</v>
      </c>
      <c r="B216">
        <v>3683</v>
      </c>
      <c r="C216" t="str">
        <f t="shared" si="9"/>
        <v>Large</v>
      </c>
      <c r="D216">
        <v>3</v>
      </c>
      <c r="E216">
        <v>3</v>
      </c>
      <c r="F216">
        <v>1</v>
      </c>
      <c r="G216">
        <v>1908</v>
      </c>
      <c r="H216" t="str">
        <f t="shared" si="10"/>
        <v>Pre-1950</v>
      </c>
      <c r="I216" t="s">
        <v>14</v>
      </c>
      <c r="J216" t="s">
        <v>15</v>
      </c>
      <c r="K216" t="s">
        <v>16</v>
      </c>
      <c r="L216" s="4">
        <v>994793</v>
      </c>
      <c r="M216" t="str">
        <f t="shared" si="11"/>
        <v>Premium</v>
      </c>
    </row>
    <row r="217" spans="1:13" x14ac:dyDescent="0.35">
      <c r="A217">
        <v>216</v>
      </c>
      <c r="B217">
        <v>3057</v>
      </c>
      <c r="C217" t="str">
        <f t="shared" si="9"/>
        <v>Large</v>
      </c>
      <c r="D217">
        <v>1</v>
      </c>
      <c r="E217">
        <v>3</v>
      </c>
      <c r="F217">
        <v>1</v>
      </c>
      <c r="G217">
        <v>1901</v>
      </c>
      <c r="H217" t="str">
        <f t="shared" si="10"/>
        <v>Pre-1950</v>
      </c>
      <c r="I217" t="s">
        <v>14</v>
      </c>
      <c r="J217" t="s">
        <v>13</v>
      </c>
      <c r="K217" t="s">
        <v>16</v>
      </c>
      <c r="L217" s="4">
        <v>356932</v>
      </c>
      <c r="M217" t="str">
        <f t="shared" si="11"/>
        <v>Medium</v>
      </c>
    </row>
    <row r="218" spans="1:13" x14ac:dyDescent="0.35">
      <c r="A218">
        <v>217</v>
      </c>
      <c r="B218">
        <v>598</v>
      </c>
      <c r="C218" t="str">
        <f t="shared" si="9"/>
        <v>Small</v>
      </c>
      <c r="D218">
        <v>1</v>
      </c>
      <c r="E218">
        <v>4</v>
      </c>
      <c r="F218">
        <v>2</v>
      </c>
      <c r="G218">
        <v>1960</v>
      </c>
      <c r="H218" t="str">
        <f t="shared" si="10"/>
        <v>1950-1975</v>
      </c>
      <c r="I218" t="s">
        <v>14</v>
      </c>
      <c r="J218" t="s">
        <v>18</v>
      </c>
      <c r="K218" t="s">
        <v>12</v>
      </c>
      <c r="L218" s="4">
        <v>316891</v>
      </c>
      <c r="M218" t="str">
        <f t="shared" si="11"/>
        <v>Medium</v>
      </c>
    </row>
    <row r="219" spans="1:13" x14ac:dyDescent="0.35">
      <c r="A219">
        <v>218</v>
      </c>
      <c r="B219">
        <v>2700</v>
      </c>
      <c r="C219" t="str">
        <f t="shared" si="9"/>
        <v>Large</v>
      </c>
      <c r="D219">
        <v>4</v>
      </c>
      <c r="E219">
        <v>1</v>
      </c>
      <c r="F219">
        <v>3</v>
      </c>
      <c r="G219">
        <v>2017</v>
      </c>
      <c r="H219" t="str">
        <f t="shared" si="10"/>
        <v>Post-2000</v>
      </c>
      <c r="I219" t="s">
        <v>10</v>
      </c>
      <c r="J219" t="s">
        <v>15</v>
      </c>
      <c r="K219" t="s">
        <v>12</v>
      </c>
      <c r="L219" s="4">
        <v>574333</v>
      </c>
      <c r="M219" t="str">
        <f t="shared" si="11"/>
        <v>High</v>
      </c>
    </row>
    <row r="220" spans="1:13" x14ac:dyDescent="0.35">
      <c r="A220">
        <v>219</v>
      </c>
      <c r="B220">
        <v>3461</v>
      </c>
      <c r="C220" t="str">
        <f t="shared" si="9"/>
        <v>Large</v>
      </c>
      <c r="D220">
        <v>1</v>
      </c>
      <c r="E220">
        <v>3</v>
      </c>
      <c r="F220">
        <v>1</v>
      </c>
      <c r="G220">
        <v>1940</v>
      </c>
      <c r="H220" t="str">
        <f t="shared" si="10"/>
        <v>Pre-1950</v>
      </c>
      <c r="I220" t="s">
        <v>14</v>
      </c>
      <c r="J220" t="s">
        <v>11</v>
      </c>
      <c r="K220" t="s">
        <v>12</v>
      </c>
      <c r="L220" s="4">
        <v>582046</v>
      </c>
      <c r="M220" t="str">
        <f t="shared" si="11"/>
        <v>High</v>
      </c>
    </row>
    <row r="221" spans="1:13" x14ac:dyDescent="0.35">
      <c r="A221">
        <v>220</v>
      </c>
      <c r="B221">
        <v>4933</v>
      </c>
      <c r="C221" t="str">
        <f t="shared" si="9"/>
        <v>Extra Large</v>
      </c>
      <c r="D221">
        <v>4</v>
      </c>
      <c r="E221">
        <v>3</v>
      </c>
      <c r="F221">
        <v>2</v>
      </c>
      <c r="G221">
        <v>1943</v>
      </c>
      <c r="H221" t="str">
        <f t="shared" si="10"/>
        <v>Pre-1950</v>
      </c>
      <c r="I221" t="s">
        <v>17</v>
      </c>
      <c r="J221" t="s">
        <v>18</v>
      </c>
      <c r="K221" t="s">
        <v>12</v>
      </c>
      <c r="L221" s="4">
        <v>829685</v>
      </c>
      <c r="M221" t="str">
        <f t="shared" si="11"/>
        <v>Premium</v>
      </c>
    </row>
    <row r="222" spans="1:13" x14ac:dyDescent="0.35">
      <c r="A222">
        <v>221</v>
      </c>
      <c r="B222">
        <v>4277</v>
      </c>
      <c r="C222" t="str">
        <f t="shared" si="9"/>
        <v>Extra Large</v>
      </c>
      <c r="D222">
        <v>4</v>
      </c>
      <c r="E222">
        <v>4</v>
      </c>
      <c r="F222">
        <v>3</v>
      </c>
      <c r="G222">
        <v>1963</v>
      </c>
      <c r="H222" t="str">
        <f t="shared" si="10"/>
        <v>1950-1975</v>
      </c>
      <c r="I222" t="s">
        <v>17</v>
      </c>
      <c r="J222" t="s">
        <v>18</v>
      </c>
      <c r="K222" t="s">
        <v>16</v>
      </c>
      <c r="L222" s="4">
        <v>961508</v>
      </c>
      <c r="M222" t="str">
        <f t="shared" si="11"/>
        <v>Premium</v>
      </c>
    </row>
    <row r="223" spans="1:13" x14ac:dyDescent="0.35">
      <c r="A223">
        <v>222</v>
      </c>
      <c r="B223">
        <v>3369</v>
      </c>
      <c r="C223" t="str">
        <f t="shared" si="9"/>
        <v>Large</v>
      </c>
      <c r="D223">
        <v>4</v>
      </c>
      <c r="E223">
        <v>4</v>
      </c>
      <c r="F223">
        <v>2</v>
      </c>
      <c r="G223">
        <v>1930</v>
      </c>
      <c r="H223" t="str">
        <f t="shared" si="10"/>
        <v>Pre-1950</v>
      </c>
      <c r="I223" t="s">
        <v>14</v>
      </c>
      <c r="J223" t="s">
        <v>15</v>
      </c>
      <c r="K223" t="s">
        <v>16</v>
      </c>
      <c r="L223" s="4">
        <v>728797</v>
      </c>
      <c r="M223" t="str">
        <f t="shared" si="11"/>
        <v>Premium</v>
      </c>
    </row>
    <row r="224" spans="1:13" x14ac:dyDescent="0.35">
      <c r="A224">
        <v>223</v>
      </c>
      <c r="B224">
        <v>3734</v>
      </c>
      <c r="C224" t="str">
        <f t="shared" si="9"/>
        <v>Large</v>
      </c>
      <c r="D224">
        <v>1</v>
      </c>
      <c r="E224">
        <v>3</v>
      </c>
      <c r="F224">
        <v>2</v>
      </c>
      <c r="G224">
        <v>2007</v>
      </c>
      <c r="H224" t="str">
        <f t="shared" si="10"/>
        <v>Post-2000</v>
      </c>
      <c r="I224" t="s">
        <v>17</v>
      </c>
      <c r="J224" t="s">
        <v>13</v>
      </c>
      <c r="K224" t="s">
        <v>12</v>
      </c>
      <c r="L224" s="4">
        <v>724945</v>
      </c>
      <c r="M224" t="str">
        <f t="shared" si="11"/>
        <v>Premium</v>
      </c>
    </row>
    <row r="225" spans="1:13" x14ac:dyDescent="0.35">
      <c r="A225">
        <v>224</v>
      </c>
      <c r="B225">
        <v>4291</v>
      </c>
      <c r="C225" t="str">
        <f t="shared" si="9"/>
        <v>Extra Large</v>
      </c>
      <c r="D225">
        <v>4</v>
      </c>
      <c r="E225">
        <v>1</v>
      </c>
      <c r="F225">
        <v>1</v>
      </c>
      <c r="G225">
        <v>1946</v>
      </c>
      <c r="H225" t="str">
        <f t="shared" si="10"/>
        <v>Pre-1950</v>
      </c>
      <c r="I225" t="s">
        <v>19</v>
      </c>
      <c r="J225" t="s">
        <v>18</v>
      </c>
      <c r="K225" t="s">
        <v>12</v>
      </c>
      <c r="L225" s="4">
        <v>190926</v>
      </c>
      <c r="M225" t="str">
        <f t="shared" si="11"/>
        <v>Low</v>
      </c>
    </row>
    <row r="226" spans="1:13" x14ac:dyDescent="0.35">
      <c r="A226">
        <v>225</v>
      </c>
      <c r="B226">
        <v>1456</v>
      </c>
      <c r="C226" t="str">
        <f t="shared" si="9"/>
        <v>Medium</v>
      </c>
      <c r="D226">
        <v>1</v>
      </c>
      <c r="E226">
        <v>3</v>
      </c>
      <c r="F226">
        <v>1</v>
      </c>
      <c r="G226">
        <v>1901</v>
      </c>
      <c r="H226" t="str">
        <f t="shared" si="10"/>
        <v>Pre-1950</v>
      </c>
      <c r="I226" t="s">
        <v>10</v>
      </c>
      <c r="J226" t="s">
        <v>13</v>
      </c>
      <c r="K226" t="s">
        <v>12</v>
      </c>
      <c r="L226" s="4">
        <v>233148</v>
      </c>
      <c r="M226" t="str">
        <f t="shared" si="11"/>
        <v>Medium</v>
      </c>
    </row>
    <row r="227" spans="1:13" x14ac:dyDescent="0.35">
      <c r="A227">
        <v>226</v>
      </c>
      <c r="B227">
        <v>4567</v>
      </c>
      <c r="C227" t="str">
        <f t="shared" si="9"/>
        <v>Extra Large</v>
      </c>
      <c r="D227">
        <v>4</v>
      </c>
      <c r="E227">
        <v>4</v>
      </c>
      <c r="F227">
        <v>1</v>
      </c>
      <c r="G227">
        <v>1995</v>
      </c>
      <c r="H227" t="str">
        <f t="shared" si="10"/>
        <v>1976-2000</v>
      </c>
      <c r="I227" t="s">
        <v>10</v>
      </c>
      <c r="J227" t="s">
        <v>15</v>
      </c>
      <c r="K227" t="s">
        <v>16</v>
      </c>
      <c r="L227" s="4">
        <v>893382</v>
      </c>
      <c r="M227" t="str">
        <f t="shared" si="11"/>
        <v>Premium</v>
      </c>
    </row>
    <row r="228" spans="1:13" x14ac:dyDescent="0.35">
      <c r="A228">
        <v>227</v>
      </c>
      <c r="B228">
        <v>660</v>
      </c>
      <c r="C228" t="str">
        <f t="shared" si="9"/>
        <v>Small</v>
      </c>
      <c r="D228">
        <v>5</v>
      </c>
      <c r="E228">
        <v>4</v>
      </c>
      <c r="F228">
        <v>2</v>
      </c>
      <c r="G228">
        <v>1981</v>
      </c>
      <c r="H228" t="str">
        <f t="shared" si="10"/>
        <v>1976-2000</v>
      </c>
      <c r="I228" t="s">
        <v>14</v>
      </c>
      <c r="J228" t="s">
        <v>11</v>
      </c>
      <c r="K228" t="s">
        <v>12</v>
      </c>
      <c r="L228" s="4">
        <v>722709</v>
      </c>
      <c r="M228" t="str">
        <f t="shared" si="11"/>
        <v>Premium</v>
      </c>
    </row>
    <row r="229" spans="1:13" x14ac:dyDescent="0.35">
      <c r="A229">
        <v>228</v>
      </c>
      <c r="B229">
        <v>4993</v>
      </c>
      <c r="C229" t="str">
        <f t="shared" si="9"/>
        <v>Extra Large</v>
      </c>
      <c r="D229">
        <v>4</v>
      </c>
      <c r="E229">
        <v>3</v>
      </c>
      <c r="F229">
        <v>1</v>
      </c>
      <c r="G229">
        <v>1976</v>
      </c>
      <c r="H229" t="str">
        <f t="shared" si="10"/>
        <v>1976-2000</v>
      </c>
      <c r="I229" t="s">
        <v>14</v>
      </c>
      <c r="J229" t="s">
        <v>18</v>
      </c>
      <c r="K229" t="s">
        <v>16</v>
      </c>
      <c r="L229" s="4">
        <v>801588</v>
      </c>
      <c r="M229" t="str">
        <f t="shared" si="11"/>
        <v>Premium</v>
      </c>
    </row>
    <row r="230" spans="1:13" x14ac:dyDescent="0.35">
      <c r="A230">
        <v>229</v>
      </c>
      <c r="B230">
        <v>1800</v>
      </c>
      <c r="C230" t="str">
        <f t="shared" si="9"/>
        <v>Medium</v>
      </c>
      <c r="D230">
        <v>2</v>
      </c>
      <c r="E230">
        <v>1</v>
      </c>
      <c r="F230">
        <v>2</v>
      </c>
      <c r="G230">
        <v>2009</v>
      </c>
      <c r="H230" t="str">
        <f t="shared" si="10"/>
        <v>Post-2000</v>
      </c>
      <c r="I230" t="s">
        <v>19</v>
      </c>
      <c r="J230" t="s">
        <v>11</v>
      </c>
      <c r="K230" t="s">
        <v>12</v>
      </c>
      <c r="L230" s="4">
        <v>726708</v>
      </c>
      <c r="M230" t="str">
        <f t="shared" si="11"/>
        <v>Premium</v>
      </c>
    </row>
    <row r="231" spans="1:13" x14ac:dyDescent="0.35">
      <c r="A231">
        <v>230</v>
      </c>
      <c r="B231">
        <v>4487</v>
      </c>
      <c r="C231" t="str">
        <f t="shared" si="9"/>
        <v>Extra Large</v>
      </c>
      <c r="D231">
        <v>4</v>
      </c>
      <c r="E231">
        <v>3</v>
      </c>
      <c r="F231">
        <v>2</v>
      </c>
      <c r="G231">
        <v>1968</v>
      </c>
      <c r="H231" t="str">
        <f t="shared" si="10"/>
        <v>1950-1975</v>
      </c>
      <c r="I231" t="s">
        <v>14</v>
      </c>
      <c r="J231" t="s">
        <v>13</v>
      </c>
      <c r="K231" t="s">
        <v>16</v>
      </c>
      <c r="L231" s="4">
        <v>215368</v>
      </c>
      <c r="M231" t="str">
        <f t="shared" si="11"/>
        <v>Medium</v>
      </c>
    </row>
    <row r="232" spans="1:13" x14ac:dyDescent="0.35">
      <c r="A232">
        <v>231</v>
      </c>
      <c r="B232">
        <v>2027</v>
      </c>
      <c r="C232" t="str">
        <f t="shared" si="9"/>
        <v>Medium</v>
      </c>
      <c r="D232">
        <v>3</v>
      </c>
      <c r="E232">
        <v>3</v>
      </c>
      <c r="F232">
        <v>1</v>
      </c>
      <c r="G232">
        <v>1957</v>
      </c>
      <c r="H232" t="str">
        <f t="shared" si="10"/>
        <v>1950-1975</v>
      </c>
      <c r="I232" t="s">
        <v>17</v>
      </c>
      <c r="J232" t="s">
        <v>13</v>
      </c>
      <c r="K232" t="s">
        <v>16</v>
      </c>
      <c r="L232" s="4">
        <v>544496</v>
      </c>
      <c r="M232" t="str">
        <f t="shared" si="11"/>
        <v>High</v>
      </c>
    </row>
    <row r="233" spans="1:13" x14ac:dyDescent="0.35">
      <c r="A233">
        <v>232</v>
      </c>
      <c r="B233">
        <v>1718</v>
      </c>
      <c r="C233" t="str">
        <f t="shared" si="9"/>
        <v>Medium</v>
      </c>
      <c r="D233">
        <v>4</v>
      </c>
      <c r="E233">
        <v>4</v>
      </c>
      <c r="F233">
        <v>3</v>
      </c>
      <c r="G233">
        <v>2005</v>
      </c>
      <c r="H233" t="str">
        <f t="shared" si="10"/>
        <v>Post-2000</v>
      </c>
      <c r="I233" t="s">
        <v>19</v>
      </c>
      <c r="J233" t="s">
        <v>11</v>
      </c>
      <c r="K233" t="s">
        <v>12</v>
      </c>
      <c r="L233" s="4">
        <v>69455</v>
      </c>
      <c r="M233" t="str">
        <f t="shared" si="11"/>
        <v>Low</v>
      </c>
    </row>
    <row r="234" spans="1:13" x14ac:dyDescent="0.35">
      <c r="A234">
        <v>233</v>
      </c>
      <c r="B234">
        <v>4996</v>
      </c>
      <c r="C234" t="str">
        <f t="shared" si="9"/>
        <v>Extra Large</v>
      </c>
      <c r="D234">
        <v>2</v>
      </c>
      <c r="E234">
        <v>1</v>
      </c>
      <c r="F234">
        <v>3</v>
      </c>
      <c r="G234">
        <v>1943</v>
      </c>
      <c r="H234" t="str">
        <f t="shared" si="10"/>
        <v>Pre-1950</v>
      </c>
      <c r="I234" t="s">
        <v>17</v>
      </c>
      <c r="J234" t="s">
        <v>15</v>
      </c>
      <c r="K234" t="s">
        <v>16</v>
      </c>
      <c r="L234" s="4">
        <v>784184</v>
      </c>
      <c r="M234" t="str">
        <f t="shared" si="11"/>
        <v>Premium</v>
      </c>
    </row>
    <row r="235" spans="1:13" x14ac:dyDescent="0.35">
      <c r="A235">
        <v>234</v>
      </c>
      <c r="B235">
        <v>3604</v>
      </c>
      <c r="C235" t="str">
        <f t="shared" si="9"/>
        <v>Large</v>
      </c>
      <c r="D235">
        <v>2</v>
      </c>
      <c r="E235">
        <v>2</v>
      </c>
      <c r="F235">
        <v>3</v>
      </c>
      <c r="G235">
        <v>1973</v>
      </c>
      <c r="H235" t="str">
        <f t="shared" si="10"/>
        <v>1950-1975</v>
      </c>
      <c r="I235" t="s">
        <v>10</v>
      </c>
      <c r="J235" t="s">
        <v>15</v>
      </c>
      <c r="K235" t="s">
        <v>16</v>
      </c>
      <c r="L235" s="4">
        <v>515139</v>
      </c>
      <c r="M235" t="str">
        <f t="shared" si="11"/>
        <v>High</v>
      </c>
    </row>
    <row r="236" spans="1:13" x14ac:dyDescent="0.35">
      <c r="A236">
        <v>235</v>
      </c>
      <c r="B236">
        <v>3235</v>
      </c>
      <c r="C236" t="str">
        <f t="shared" si="9"/>
        <v>Large</v>
      </c>
      <c r="D236">
        <v>1</v>
      </c>
      <c r="E236">
        <v>1</v>
      </c>
      <c r="F236">
        <v>2</v>
      </c>
      <c r="G236">
        <v>1955</v>
      </c>
      <c r="H236" t="str">
        <f t="shared" si="10"/>
        <v>1950-1975</v>
      </c>
      <c r="I236" t="s">
        <v>17</v>
      </c>
      <c r="J236" t="s">
        <v>18</v>
      </c>
      <c r="K236" t="s">
        <v>16</v>
      </c>
      <c r="L236" s="4">
        <v>281897</v>
      </c>
      <c r="M236" t="str">
        <f t="shared" si="11"/>
        <v>Medium</v>
      </c>
    </row>
    <row r="237" spans="1:13" x14ac:dyDescent="0.35">
      <c r="A237">
        <v>236</v>
      </c>
      <c r="B237">
        <v>1454</v>
      </c>
      <c r="C237" t="str">
        <f t="shared" si="9"/>
        <v>Medium</v>
      </c>
      <c r="D237">
        <v>5</v>
      </c>
      <c r="E237">
        <v>3</v>
      </c>
      <c r="F237">
        <v>2</v>
      </c>
      <c r="G237">
        <v>1942</v>
      </c>
      <c r="H237" t="str">
        <f t="shared" si="10"/>
        <v>Pre-1950</v>
      </c>
      <c r="I237" t="s">
        <v>10</v>
      </c>
      <c r="J237" t="s">
        <v>18</v>
      </c>
      <c r="K237" t="s">
        <v>16</v>
      </c>
      <c r="L237" s="4">
        <v>482509</v>
      </c>
      <c r="M237" t="str">
        <f t="shared" si="11"/>
        <v>High</v>
      </c>
    </row>
    <row r="238" spans="1:13" x14ac:dyDescent="0.35">
      <c r="A238">
        <v>237</v>
      </c>
      <c r="B238">
        <v>3946</v>
      </c>
      <c r="C238" t="str">
        <f t="shared" si="9"/>
        <v>Large</v>
      </c>
      <c r="D238">
        <v>4</v>
      </c>
      <c r="E238">
        <v>3</v>
      </c>
      <c r="F238">
        <v>2</v>
      </c>
      <c r="G238">
        <v>1988</v>
      </c>
      <c r="H238" t="str">
        <f t="shared" si="10"/>
        <v>1976-2000</v>
      </c>
      <c r="I238" t="s">
        <v>17</v>
      </c>
      <c r="J238" t="s">
        <v>15</v>
      </c>
      <c r="K238" t="s">
        <v>12</v>
      </c>
      <c r="L238" s="4">
        <v>542646</v>
      </c>
      <c r="M238" t="str">
        <f t="shared" si="11"/>
        <v>High</v>
      </c>
    </row>
    <row r="239" spans="1:13" x14ac:dyDescent="0.35">
      <c r="A239">
        <v>238</v>
      </c>
      <c r="B239">
        <v>1545</v>
      </c>
      <c r="C239" t="str">
        <f t="shared" si="9"/>
        <v>Medium</v>
      </c>
      <c r="D239">
        <v>1</v>
      </c>
      <c r="E239">
        <v>3</v>
      </c>
      <c r="F239">
        <v>1</v>
      </c>
      <c r="G239">
        <v>1933</v>
      </c>
      <c r="H239" t="str">
        <f t="shared" si="10"/>
        <v>Pre-1950</v>
      </c>
      <c r="I239" t="s">
        <v>10</v>
      </c>
      <c r="J239" t="s">
        <v>15</v>
      </c>
      <c r="K239" t="s">
        <v>12</v>
      </c>
      <c r="L239" s="4">
        <v>662840</v>
      </c>
      <c r="M239" t="str">
        <f t="shared" si="11"/>
        <v>Premium</v>
      </c>
    </row>
    <row r="240" spans="1:13" x14ac:dyDescent="0.35">
      <c r="A240">
        <v>239</v>
      </c>
      <c r="B240">
        <v>2193</v>
      </c>
      <c r="C240" t="str">
        <f t="shared" si="9"/>
        <v>Medium</v>
      </c>
      <c r="D240">
        <v>5</v>
      </c>
      <c r="E240">
        <v>1</v>
      </c>
      <c r="F240">
        <v>2</v>
      </c>
      <c r="G240">
        <v>2000</v>
      </c>
      <c r="H240" t="str">
        <f t="shared" si="10"/>
        <v>1976-2000</v>
      </c>
      <c r="I240" t="s">
        <v>14</v>
      </c>
      <c r="J240" t="s">
        <v>11</v>
      </c>
      <c r="K240" t="s">
        <v>12</v>
      </c>
      <c r="L240" s="4">
        <v>882548</v>
      </c>
      <c r="M240" t="str">
        <f t="shared" si="11"/>
        <v>Premium</v>
      </c>
    </row>
    <row r="241" spans="1:13" x14ac:dyDescent="0.35">
      <c r="A241">
        <v>240</v>
      </c>
      <c r="B241">
        <v>3936</v>
      </c>
      <c r="C241" t="str">
        <f t="shared" si="9"/>
        <v>Large</v>
      </c>
      <c r="D241">
        <v>4</v>
      </c>
      <c r="E241">
        <v>4</v>
      </c>
      <c r="F241">
        <v>1</v>
      </c>
      <c r="G241">
        <v>1929</v>
      </c>
      <c r="H241" t="str">
        <f t="shared" si="10"/>
        <v>Pre-1950</v>
      </c>
      <c r="I241" t="s">
        <v>17</v>
      </c>
      <c r="J241" t="s">
        <v>13</v>
      </c>
      <c r="K241" t="s">
        <v>12</v>
      </c>
      <c r="L241" s="4">
        <v>432605</v>
      </c>
      <c r="M241" t="str">
        <f t="shared" si="11"/>
        <v>High</v>
      </c>
    </row>
    <row r="242" spans="1:13" x14ac:dyDescent="0.35">
      <c r="A242">
        <v>241</v>
      </c>
      <c r="B242">
        <v>1062</v>
      </c>
      <c r="C242" t="str">
        <f t="shared" si="9"/>
        <v>Medium</v>
      </c>
      <c r="D242">
        <v>3</v>
      </c>
      <c r="E242">
        <v>3</v>
      </c>
      <c r="F242">
        <v>1</v>
      </c>
      <c r="G242">
        <v>1970</v>
      </c>
      <c r="H242" t="str">
        <f t="shared" si="10"/>
        <v>1950-1975</v>
      </c>
      <c r="I242" t="s">
        <v>10</v>
      </c>
      <c r="J242" t="s">
        <v>13</v>
      </c>
      <c r="K242" t="s">
        <v>12</v>
      </c>
      <c r="L242" s="4">
        <v>614772</v>
      </c>
      <c r="M242" t="str">
        <f t="shared" si="11"/>
        <v>Premium</v>
      </c>
    </row>
    <row r="243" spans="1:13" x14ac:dyDescent="0.35">
      <c r="A243">
        <v>242</v>
      </c>
      <c r="B243">
        <v>2985</v>
      </c>
      <c r="C243" t="str">
        <f t="shared" si="9"/>
        <v>Large</v>
      </c>
      <c r="D243">
        <v>4</v>
      </c>
      <c r="E243">
        <v>3</v>
      </c>
      <c r="F243">
        <v>3</v>
      </c>
      <c r="G243">
        <v>1969</v>
      </c>
      <c r="H243" t="str">
        <f t="shared" si="10"/>
        <v>1950-1975</v>
      </c>
      <c r="I243" t="s">
        <v>17</v>
      </c>
      <c r="J243" t="s">
        <v>18</v>
      </c>
      <c r="K243" t="s">
        <v>16</v>
      </c>
      <c r="L243" s="4">
        <v>997719</v>
      </c>
      <c r="M243" t="str">
        <f t="shared" si="11"/>
        <v>Premium</v>
      </c>
    </row>
    <row r="244" spans="1:13" x14ac:dyDescent="0.35">
      <c r="A244">
        <v>243</v>
      </c>
      <c r="B244">
        <v>3854</v>
      </c>
      <c r="C244" t="str">
        <f t="shared" si="9"/>
        <v>Large</v>
      </c>
      <c r="D244">
        <v>2</v>
      </c>
      <c r="E244">
        <v>1</v>
      </c>
      <c r="F244">
        <v>3</v>
      </c>
      <c r="G244">
        <v>2017</v>
      </c>
      <c r="H244" t="str">
        <f t="shared" si="10"/>
        <v>Post-2000</v>
      </c>
      <c r="I244" t="s">
        <v>19</v>
      </c>
      <c r="J244" t="s">
        <v>15</v>
      </c>
      <c r="K244" t="s">
        <v>16</v>
      </c>
      <c r="L244" s="4">
        <v>393782</v>
      </c>
      <c r="M244" t="str">
        <f t="shared" si="11"/>
        <v>Medium</v>
      </c>
    </row>
    <row r="245" spans="1:13" x14ac:dyDescent="0.35">
      <c r="A245">
        <v>244</v>
      </c>
      <c r="B245">
        <v>725</v>
      </c>
      <c r="C245" t="str">
        <f t="shared" si="9"/>
        <v>Small</v>
      </c>
      <c r="D245">
        <v>2</v>
      </c>
      <c r="E245">
        <v>2</v>
      </c>
      <c r="F245">
        <v>3</v>
      </c>
      <c r="G245">
        <v>1954</v>
      </c>
      <c r="H245" t="str">
        <f t="shared" si="10"/>
        <v>1950-1975</v>
      </c>
      <c r="I245" t="s">
        <v>14</v>
      </c>
      <c r="J245" t="s">
        <v>11</v>
      </c>
      <c r="K245" t="s">
        <v>16</v>
      </c>
      <c r="L245" s="4">
        <v>708764</v>
      </c>
      <c r="M245" t="str">
        <f t="shared" si="11"/>
        <v>Premium</v>
      </c>
    </row>
    <row r="246" spans="1:13" x14ac:dyDescent="0.35">
      <c r="A246">
        <v>245</v>
      </c>
      <c r="B246">
        <v>1459</v>
      </c>
      <c r="C246" t="str">
        <f t="shared" si="9"/>
        <v>Medium</v>
      </c>
      <c r="D246">
        <v>3</v>
      </c>
      <c r="E246">
        <v>2</v>
      </c>
      <c r="F246">
        <v>1</v>
      </c>
      <c r="G246">
        <v>1966</v>
      </c>
      <c r="H246" t="str">
        <f t="shared" si="10"/>
        <v>1950-1975</v>
      </c>
      <c r="I246" t="s">
        <v>10</v>
      </c>
      <c r="J246" t="s">
        <v>18</v>
      </c>
      <c r="K246" t="s">
        <v>16</v>
      </c>
      <c r="L246" s="4">
        <v>218332</v>
      </c>
      <c r="M246" t="str">
        <f t="shared" si="11"/>
        <v>Medium</v>
      </c>
    </row>
    <row r="247" spans="1:13" x14ac:dyDescent="0.35">
      <c r="A247">
        <v>246</v>
      </c>
      <c r="B247">
        <v>3567</v>
      </c>
      <c r="C247" t="str">
        <f t="shared" si="9"/>
        <v>Large</v>
      </c>
      <c r="D247">
        <v>1</v>
      </c>
      <c r="E247">
        <v>4</v>
      </c>
      <c r="F247">
        <v>1</v>
      </c>
      <c r="G247">
        <v>1912</v>
      </c>
      <c r="H247" t="str">
        <f t="shared" si="10"/>
        <v>Pre-1950</v>
      </c>
      <c r="I247" t="s">
        <v>19</v>
      </c>
      <c r="J247" t="s">
        <v>11</v>
      </c>
      <c r="K247" t="s">
        <v>12</v>
      </c>
      <c r="L247" s="4">
        <v>150647</v>
      </c>
      <c r="M247" t="str">
        <f t="shared" si="11"/>
        <v>Low</v>
      </c>
    </row>
    <row r="248" spans="1:13" x14ac:dyDescent="0.35">
      <c r="A248">
        <v>247</v>
      </c>
      <c r="B248">
        <v>1315</v>
      </c>
      <c r="C248" t="str">
        <f t="shared" si="9"/>
        <v>Medium</v>
      </c>
      <c r="D248">
        <v>5</v>
      </c>
      <c r="E248">
        <v>4</v>
      </c>
      <c r="F248">
        <v>1</v>
      </c>
      <c r="G248">
        <v>1902</v>
      </c>
      <c r="H248" t="str">
        <f t="shared" si="10"/>
        <v>Pre-1950</v>
      </c>
      <c r="I248" t="s">
        <v>17</v>
      </c>
      <c r="J248" t="s">
        <v>15</v>
      </c>
      <c r="K248" t="s">
        <v>12</v>
      </c>
      <c r="L248" s="4">
        <v>639930</v>
      </c>
      <c r="M248" t="str">
        <f t="shared" si="11"/>
        <v>Premium</v>
      </c>
    </row>
    <row r="249" spans="1:13" x14ac:dyDescent="0.35">
      <c r="A249">
        <v>248</v>
      </c>
      <c r="B249">
        <v>3620</v>
      </c>
      <c r="C249" t="str">
        <f t="shared" si="9"/>
        <v>Large</v>
      </c>
      <c r="D249">
        <v>4</v>
      </c>
      <c r="E249">
        <v>3</v>
      </c>
      <c r="F249">
        <v>2</v>
      </c>
      <c r="G249">
        <v>1925</v>
      </c>
      <c r="H249" t="str">
        <f t="shared" si="10"/>
        <v>Pre-1950</v>
      </c>
      <c r="I249" t="s">
        <v>19</v>
      </c>
      <c r="J249" t="s">
        <v>15</v>
      </c>
      <c r="K249" t="s">
        <v>16</v>
      </c>
      <c r="L249" s="4">
        <v>786091</v>
      </c>
      <c r="M249" t="str">
        <f t="shared" si="11"/>
        <v>Premium</v>
      </c>
    </row>
    <row r="250" spans="1:13" x14ac:dyDescent="0.35">
      <c r="A250">
        <v>249</v>
      </c>
      <c r="B250">
        <v>516</v>
      </c>
      <c r="C250" t="str">
        <f t="shared" si="9"/>
        <v>Small</v>
      </c>
      <c r="D250">
        <v>2</v>
      </c>
      <c r="E250">
        <v>1</v>
      </c>
      <c r="F250">
        <v>1</v>
      </c>
      <c r="G250">
        <v>1956</v>
      </c>
      <c r="H250" t="str">
        <f t="shared" si="10"/>
        <v>1950-1975</v>
      </c>
      <c r="I250" t="s">
        <v>17</v>
      </c>
      <c r="J250" t="s">
        <v>15</v>
      </c>
      <c r="K250" t="s">
        <v>12</v>
      </c>
      <c r="L250" s="4">
        <v>882441</v>
      </c>
      <c r="M250" t="str">
        <f t="shared" si="11"/>
        <v>Premium</v>
      </c>
    </row>
    <row r="251" spans="1:13" x14ac:dyDescent="0.35">
      <c r="A251">
        <v>250</v>
      </c>
      <c r="B251">
        <v>1743</v>
      </c>
      <c r="C251" t="str">
        <f t="shared" si="9"/>
        <v>Medium</v>
      </c>
      <c r="D251">
        <v>1</v>
      </c>
      <c r="E251">
        <v>3</v>
      </c>
      <c r="F251">
        <v>3</v>
      </c>
      <c r="G251">
        <v>1923</v>
      </c>
      <c r="H251" t="str">
        <f t="shared" si="10"/>
        <v>Pre-1950</v>
      </c>
      <c r="I251" t="s">
        <v>14</v>
      </c>
      <c r="J251" t="s">
        <v>13</v>
      </c>
      <c r="K251" t="s">
        <v>16</v>
      </c>
      <c r="L251" s="4">
        <v>178824</v>
      </c>
      <c r="M251" t="str">
        <f t="shared" si="11"/>
        <v>Low</v>
      </c>
    </row>
    <row r="252" spans="1:13" x14ac:dyDescent="0.35">
      <c r="A252">
        <v>251</v>
      </c>
      <c r="B252">
        <v>2705</v>
      </c>
      <c r="C252" t="str">
        <f t="shared" si="9"/>
        <v>Large</v>
      </c>
      <c r="D252">
        <v>3</v>
      </c>
      <c r="E252">
        <v>4</v>
      </c>
      <c r="F252">
        <v>3</v>
      </c>
      <c r="G252">
        <v>1952</v>
      </c>
      <c r="H252" t="str">
        <f t="shared" si="10"/>
        <v>1950-1975</v>
      </c>
      <c r="I252" t="s">
        <v>19</v>
      </c>
      <c r="J252" t="s">
        <v>15</v>
      </c>
      <c r="K252" t="s">
        <v>16</v>
      </c>
      <c r="L252" s="4">
        <v>823202</v>
      </c>
      <c r="M252" t="str">
        <f t="shared" si="11"/>
        <v>Premium</v>
      </c>
    </row>
    <row r="253" spans="1:13" x14ac:dyDescent="0.35">
      <c r="A253">
        <v>252</v>
      </c>
      <c r="B253">
        <v>3024</v>
      </c>
      <c r="C253" t="str">
        <f t="shared" si="9"/>
        <v>Large</v>
      </c>
      <c r="D253">
        <v>2</v>
      </c>
      <c r="E253">
        <v>1</v>
      </c>
      <c r="F253">
        <v>1</v>
      </c>
      <c r="G253">
        <v>1969</v>
      </c>
      <c r="H253" t="str">
        <f t="shared" si="10"/>
        <v>1950-1975</v>
      </c>
      <c r="I253" t="s">
        <v>14</v>
      </c>
      <c r="J253" t="s">
        <v>18</v>
      </c>
      <c r="K253" t="s">
        <v>12</v>
      </c>
      <c r="L253" s="4">
        <v>866037</v>
      </c>
      <c r="M253" t="str">
        <f t="shared" si="11"/>
        <v>Premium</v>
      </c>
    </row>
    <row r="254" spans="1:13" x14ac:dyDescent="0.35">
      <c r="A254">
        <v>253</v>
      </c>
      <c r="B254">
        <v>1569</v>
      </c>
      <c r="C254" t="str">
        <f t="shared" si="9"/>
        <v>Medium</v>
      </c>
      <c r="D254">
        <v>3</v>
      </c>
      <c r="E254">
        <v>1</v>
      </c>
      <c r="F254">
        <v>1</v>
      </c>
      <c r="G254">
        <v>1942</v>
      </c>
      <c r="H254" t="str">
        <f t="shared" si="10"/>
        <v>Pre-1950</v>
      </c>
      <c r="I254" t="s">
        <v>10</v>
      </c>
      <c r="J254" t="s">
        <v>13</v>
      </c>
      <c r="K254" t="s">
        <v>12</v>
      </c>
      <c r="L254" s="4">
        <v>685167</v>
      </c>
      <c r="M254" t="str">
        <f t="shared" si="11"/>
        <v>Premium</v>
      </c>
    </row>
    <row r="255" spans="1:13" x14ac:dyDescent="0.35">
      <c r="A255">
        <v>254</v>
      </c>
      <c r="B255">
        <v>3944</v>
      </c>
      <c r="C255" t="str">
        <f t="shared" si="9"/>
        <v>Large</v>
      </c>
      <c r="D255">
        <v>4</v>
      </c>
      <c r="E255">
        <v>4</v>
      </c>
      <c r="F255">
        <v>3</v>
      </c>
      <c r="G255">
        <v>1959</v>
      </c>
      <c r="H255" t="str">
        <f t="shared" si="10"/>
        <v>1950-1975</v>
      </c>
      <c r="I255" t="s">
        <v>17</v>
      </c>
      <c r="J255" t="s">
        <v>11</v>
      </c>
      <c r="K255" t="s">
        <v>12</v>
      </c>
      <c r="L255" s="4">
        <v>695115</v>
      </c>
      <c r="M255" t="str">
        <f t="shared" si="11"/>
        <v>Premium</v>
      </c>
    </row>
    <row r="256" spans="1:13" x14ac:dyDescent="0.35">
      <c r="A256">
        <v>255</v>
      </c>
      <c r="B256">
        <v>3065</v>
      </c>
      <c r="C256" t="str">
        <f t="shared" si="9"/>
        <v>Large</v>
      </c>
      <c r="D256">
        <v>5</v>
      </c>
      <c r="E256">
        <v>2</v>
      </c>
      <c r="F256">
        <v>1</v>
      </c>
      <c r="G256">
        <v>1957</v>
      </c>
      <c r="H256" t="str">
        <f t="shared" si="10"/>
        <v>1950-1975</v>
      </c>
      <c r="I256" t="s">
        <v>17</v>
      </c>
      <c r="J256" t="s">
        <v>18</v>
      </c>
      <c r="K256" t="s">
        <v>12</v>
      </c>
      <c r="L256" s="4">
        <v>317724</v>
      </c>
      <c r="M256" t="str">
        <f t="shared" si="11"/>
        <v>Medium</v>
      </c>
    </row>
    <row r="257" spans="1:13" x14ac:dyDescent="0.35">
      <c r="A257">
        <v>256</v>
      </c>
      <c r="B257">
        <v>1560</v>
      </c>
      <c r="C257" t="str">
        <f t="shared" si="9"/>
        <v>Medium</v>
      </c>
      <c r="D257">
        <v>2</v>
      </c>
      <c r="E257">
        <v>2</v>
      </c>
      <c r="F257">
        <v>3</v>
      </c>
      <c r="G257">
        <v>1948</v>
      </c>
      <c r="H257" t="str">
        <f t="shared" si="10"/>
        <v>Pre-1950</v>
      </c>
      <c r="I257" t="s">
        <v>14</v>
      </c>
      <c r="J257" t="s">
        <v>18</v>
      </c>
      <c r="K257" t="s">
        <v>12</v>
      </c>
      <c r="L257" s="4">
        <v>951334</v>
      </c>
      <c r="M257" t="str">
        <f t="shared" si="11"/>
        <v>Premium</v>
      </c>
    </row>
    <row r="258" spans="1:13" x14ac:dyDescent="0.35">
      <c r="A258">
        <v>257</v>
      </c>
      <c r="B258">
        <v>2827</v>
      </c>
      <c r="C258" t="str">
        <f t="shared" si="9"/>
        <v>Large</v>
      </c>
      <c r="D258">
        <v>2</v>
      </c>
      <c r="E258">
        <v>1</v>
      </c>
      <c r="F258">
        <v>2</v>
      </c>
      <c r="G258">
        <v>1941</v>
      </c>
      <c r="H258" t="str">
        <f t="shared" si="10"/>
        <v>Pre-1950</v>
      </c>
      <c r="I258" t="s">
        <v>14</v>
      </c>
      <c r="J258" t="s">
        <v>11</v>
      </c>
      <c r="K258" t="s">
        <v>12</v>
      </c>
      <c r="L258" s="4">
        <v>317544</v>
      </c>
      <c r="M258" t="str">
        <f t="shared" si="11"/>
        <v>Medium</v>
      </c>
    </row>
    <row r="259" spans="1:13" x14ac:dyDescent="0.35">
      <c r="A259">
        <v>258</v>
      </c>
      <c r="B259">
        <v>3920</v>
      </c>
      <c r="C259" t="str">
        <f t="shared" ref="C259:C322" si="12">IF(B259&lt;=1000,"Small",IF(B259&lt;=2500,"Medium",IF(B259&lt;=4000,"Large",IF(B259&gt;=4000,"Extra Large"))))</f>
        <v>Large</v>
      </c>
      <c r="D259">
        <v>4</v>
      </c>
      <c r="E259">
        <v>3</v>
      </c>
      <c r="F259">
        <v>3</v>
      </c>
      <c r="G259">
        <v>1975</v>
      </c>
      <c r="H259" t="str">
        <f t="shared" ref="H259:H322" si="13">IF(G259&lt;=1950,"Pre-1950",IF(G259&lt;=1975,"1950-1975",IF(G259&lt;=2000,"1976-2000",IF(G259&gt;=2000,"Post-2000"))))</f>
        <v>1950-1975</v>
      </c>
      <c r="I259" t="s">
        <v>10</v>
      </c>
      <c r="J259" t="s">
        <v>13</v>
      </c>
      <c r="K259" t="s">
        <v>12</v>
      </c>
      <c r="L259" s="4">
        <v>745003</v>
      </c>
      <c r="M259" t="str">
        <f t="shared" ref="M259:M322" si="14">IF(L259&lt;=200000,"Low",IF(L259&lt;=400000,"Medium",IF(L259&lt;=600000,"High",IF(L259&gt;=600000,"Premium",""))))</f>
        <v>Premium</v>
      </c>
    </row>
    <row r="260" spans="1:13" x14ac:dyDescent="0.35">
      <c r="A260">
        <v>259</v>
      </c>
      <c r="B260">
        <v>801</v>
      </c>
      <c r="C260" t="str">
        <f t="shared" si="12"/>
        <v>Small</v>
      </c>
      <c r="D260">
        <v>1</v>
      </c>
      <c r="E260">
        <v>2</v>
      </c>
      <c r="F260">
        <v>2</v>
      </c>
      <c r="G260">
        <v>2012</v>
      </c>
      <c r="H260" t="str">
        <f t="shared" si="13"/>
        <v>Post-2000</v>
      </c>
      <c r="I260" t="s">
        <v>19</v>
      </c>
      <c r="J260" t="s">
        <v>18</v>
      </c>
      <c r="K260" t="s">
        <v>16</v>
      </c>
      <c r="L260" s="4">
        <v>801545</v>
      </c>
      <c r="M260" t="str">
        <f t="shared" si="14"/>
        <v>Premium</v>
      </c>
    </row>
    <row r="261" spans="1:13" x14ac:dyDescent="0.35">
      <c r="A261">
        <v>260</v>
      </c>
      <c r="B261">
        <v>4776</v>
      </c>
      <c r="C261" t="str">
        <f t="shared" si="12"/>
        <v>Extra Large</v>
      </c>
      <c r="D261">
        <v>5</v>
      </c>
      <c r="E261">
        <v>3</v>
      </c>
      <c r="F261">
        <v>1</v>
      </c>
      <c r="G261">
        <v>1999</v>
      </c>
      <c r="H261" t="str">
        <f t="shared" si="13"/>
        <v>1976-2000</v>
      </c>
      <c r="I261" t="s">
        <v>17</v>
      </c>
      <c r="J261" t="s">
        <v>18</v>
      </c>
      <c r="K261" t="s">
        <v>12</v>
      </c>
      <c r="L261" s="4">
        <v>932464</v>
      </c>
      <c r="M261" t="str">
        <f t="shared" si="14"/>
        <v>Premium</v>
      </c>
    </row>
    <row r="262" spans="1:13" x14ac:dyDescent="0.35">
      <c r="A262">
        <v>261</v>
      </c>
      <c r="B262">
        <v>1106</v>
      </c>
      <c r="C262" t="str">
        <f t="shared" si="12"/>
        <v>Medium</v>
      </c>
      <c r="D262">
        <v>2</v>
      </c>
      <c r="E262">
        <v>2</v>
      </c>
      <c r="F262">
        <v>1</v>
      </c>
      <c r="G262">
        <v>1965</v>
      </c>
      <c r="H262" t="str">
        <f t="shared" si="13"/>
        <v>1950-1975</v>
      </c>
      <c r="I262" t="s">
        <v>17</v>
      </c>
      <c r="J262" t="s">
        <v>18</v>
      </c>
      <c r="K262" t="s">
        <v>16</v>
      </c>
      <c r="L262" s="4">
        <v>177319</v>
      </c>
      <c r="M262" t="str">
        <f t="shared" si="14"/>
        <v>Low</v>
      </c>
    </row>
    <row r="263" spans="1:13" x14ac:dyDescent="0.35">
      <c r="A263">
        <v>262</v>
      </c>
      <c r="B263">
        <v>3670</v>
      </c>
      <c r="C263" t="str">
        <f t="shared" si="12"/>
        <v>Large</v>
      </c>
      <c r="D263">
        <v>5</v>
      </c>
      <c r="E263">
        <v>2</v>
      </c>
      <c r="F263">
        <v>2</v>
      </c>
      <c r="G263">
        <v>1910</v>
      </c>
      <c r="H263" t="str">
        <f t="shared" si="13"/>
        <v>Pre-1950</v>
      </c>
      <c r="I263" t="s">
        <v>10</v>
      </c>
      <c r="J263" t="s">
        <v>13</v>
      </c>
      <c r="K263" t="s">
        <v>16</v>
      </c>
      <c r="L263" s="4">
        <v>562193</v>
      </c>
      <c r="M263" t="str">
        <f t="shared" si="14"/>
        <v>High</v>
      </c>
    </row>
    <row r="264" spans="1:13" x14ac:dyDescent="0.35">
      <c r="A264">
        <v>263</v>
      </c>
      <c r="B264">
        <v>1199</v>
      </c>
      <c r="C264" t="str">
        <f t="shared" si="12"/>
        <v>Medium</v>
      </c>
      <c r="D264">
        <v>2</v>
      </c>
      <c r="E264">
        <v>3</v>
      </c>
      <c r="F264">
        <v>1</v>
      </c>
      <c r="G264">
        <v>2002</v>
      </c>
      <c r="H264" t="str">
        <f t="shared" si="13"/>
        <v>Post-2000</v>
      </c>
      <c r="I264" t="s">
        <v>10</v>
      </c>
      <c r="J264" t="s">
        <v>13</v>
      </c>
      <c r="K264" t="s">
        <v>12</v>
      </c>
      <c r="L264" s="4">
        <v>529389</v>
      </c>
      <c r="M264" t="str">
        <f t="shared" si="14"/>
        <v>High</v>
      </c>
    </row>
    <row r="265" spans="1:13" x14ac:dyDescent="0.35">
      <c r="A265">
        <v>264</v>
      </c>
      <c r="B265">
        <v>1639</v>
      </c>
      <c r="C265" t="str">
        <f t="shared" si="12"/>
        <v>Medium</v>
      </c>
      <c r="D265">
        <v>5</v>
      </c>
      <c r="E265">
        <v>4</v>
      </c>
      <c r="F265">
        <v>2</v>
      </c>
      <c r="G265">
        <v>1997</v>
      </c>
      <c r="H265" t="str">
        <f t="shared" si="13"/>
        <v>1976-2000</v>
      </c>
      <c r="I265" t="s">
        <v>14</v>
      </c>
      <c r="J265" t="s">
        <v>13</v>
      </c>
      <c r="K265" t="s">
        <v>16</v>
      </c>
      <c r="L265" s="4">
        <v>156960</v>
      </c>
      <c r="M265" t="str">
        <f t="shared" si="14"/>
        <v>Low</v>
      </c>
    </row>
    <row r="266" spans="1:13" x14ac:dyDescent="0.35">
      <c r="A266">
        <v>265</v>
      </c>
      <c r="B266">
        <v>690</v>
      </c>
      <c r="C266" t="str">
        <f t="shared" si="12"/>
        <v>Small</v>
      </c>
      <c r="D266">
        <v>3</v>
      </c>
      <c r="E266">
        <v>2</v>
      </c>
      <c r="F266">
        <v>1</v>
      </c>
      <c r="G266">
        <v>1989</v>
      </c>
      <c r="H266" t="str">
        <f t="shared" si="13"/>
        <v>1976-2000</v>
      </c>
      <c r="I266" t="s">
        <v>14</v>
      </c>
      <c r="J266" t="s">
        <v>18</v>
      </c>
      <c r="K266" t="s">
        <v>12</v>
      </c>
      <c r="L266" s="4">
        <v>89015</v>
      </c>
      <c r="M266" t="str">
        <f t="shared" si="14"/>
        <v>Low</v>
      </c>
    </row>
    <row r="267" spans="1:13" x14ac:dyDescent="0.35">
      <c r="A267">
        <v>266</v>
      </c>
      <c r="B267">
        <v>2800</v>
      </c>
      <c r="C267" t="str">
        <f t="shared" si="12"/>
        <v>Large</v>
      </c>
      <c r="D267">
        <v>2</v>
      </c>
      <c r="E267">
        <v>2</v>
      </c>
      <c r="F267">
        <v>3</v>
      </c>
      <c r="G267">
        <v>1917</v>
      </c>
      <c r="H267" t="str">
        <f t="shared" si="13"/>
        <v>Pre-1950</v>
      </c>
      <c r="I267" t="s">
        <v>19</v>
      </c>
      <c r="J267" t="s">
        <v>15</v>
      </c>
      <c r="K267" t="s">
        <v>16</v>
      </c>
      <c r="L267" s="4">
        <v>383857</v>
      </c>
      <c r="M267" t="str">
        <f t="shared" si="14"/>
        <v>Medium</v>
      </c>
    </row>
    <row r="268" spans="1:13" x14ac:dyDescent="0.35">
      <c r="A268">
        <v>267</v>
      </c>
      <c r="B268">
        <v>1480</v>
      </c>
      <c r="C268" t="str">
        <f t="shared" si="12"/>
        <v>Medium</v>
      </c>
      <c r="D268">
        <v>5</v>
      </c>
      <c r="E268">
        <v>3</v>
      </c>
      <c r="F268">
        <v>1</v>
      </c>
      <c r="G268">
        <v>1984</v>
      </c>
      <c r="H268" t="str">
        <f t="shared" si="13"/>
        <v>1976-2000</v>
      </c>
      <c r="I268" t="s">
        <v>10</v>
      </c>
      <c r="J268" t="s">
        <v>11</v>
      </c>
      <c r="K268" t="s">
        <v>16</v>
      </c>
      <c r="L268" s="4">
        <v>778165</v>
      </c>
      <c r="M268" t="str">
        <f t="shared" si="14"/>
        <v>Premium</v>
      </c>
    </row>
    <row r="269" spans="1:13" x14ac:dyDescent="0.35">
      <c r="A269">
        <v>268</v>
      </c>
      <c r="B269">
        <v>3475</v>
      </c>
      <c r="C269" t="str">
        <f t="shared" si="12"/>
        <v>Large</v>
      </c>
      <c r="D269">
        <v>1</v>
      </c>
      <c r="E269">
        <v>4</v>
      </c>
      <c r="F269">
        <v>3</v>
      </c>
      <c r="G269">
        <v>1999</v>
      </c>
      <c r="H269" t="str">
        <f t="shared" si="13"/>
        <v>1976-2000</v>
      </c>
      <c r="I269" t="s">
        <v>19</v>
      </c>
      <c r="J269" t="s">
        <v>15</v>
      </c>
      <c r="K269" t="s">
        <v>16</v>
      </c>
      <c r="L269" s="4">
        <v>982478</v>
      </c>
      <c r="M269" t="str">
        <f t="shared" si="14"/>
        <v>Premium</v>
      </c>
    </row>
    <row r="270" spans="1:13" x14ac:dyDescent="0.35">
      <c r="A270">
        <v>269</v>
      </c>
      <c r="B270">
        <v>1684</v>
      </c>
      <c r="C270" t="str">
        <f t="shared" si="12"/>
        <v>Medium</v>
      </c>
      <c r="D270">
        <v>3</v>
      </c>
      <c r="E270">
        <v>2</v>
      </c>
      <c r="F270">
        <v>3</v>
      </c>
      <c r="G270">
        <v>2003</v>
      </c>
      <c r="H270" t="str">
        <f t="shared" si="13"/>
        <v>Post-2000</v>
      </c>
      <c r="I270" t="s">
        <v>10</v>
      </c>
      <c r="J270" t="s">
        <v>13</v>
      </c>
      <c r="K270" t="s">
        <v>12</v>
      </c>
      <c r="L270" s="4">
        <v>195109</v>
      </c>
      <c r="M270" t="str">
        <f t="shared" si="14"/>
        <v>Low</v>
      </c>
    </row>
    <row r="271" spans="1:13" x14ac:dyDescent="0.35">
      <c r="A271">
        <v>270</v>
      </c>
      <c r="B271">
        <v>3827</v>
      </c>
      <c r="C271" t="str">
        <f t="shared" si="12"/>
        <v>Large</v>
      </c>
      <c r="D271">
        <v>3</v>
      </c>
      <c r="E271">
        <v>2</v>
      </c>
      <c r="F271">
        <v>2</v>
      </c>
      <c r="G271">
        <v>1951</v>
      </c>
      <c r="H271" t="str">
        <f t="shared" si="13"/>
        <v>1950-1975</v>
      </c>
      <c r="I271" t="s">
        <v>17</v>
      </c>
      <c r="J271" t="s">
        <v>18</v>
      </c>
      <c r="K271" t="s">
        <v>16</v>
      </c>
      <c r="L271" s="4">
        <v>527508</v>
      </c>
      <c r="M271" t="str">
        <f t="shared" si="14"/>
        <v>High</v>
      </c>
    </row>
    <row r="272" spans="1:13" x14ac:dyDescent="0.35">
      <c r="A272">
        <v>271</v>
      </c>
      <c r="B272">
        <v>3894</v>
      </c>
      <c r="C272" t="str">
        <f t="shared" si="12"/>
        <v>Large</v>
      </c>
      <c r="D272">
        <v>1</v>
      </c>
      <c r="E272">
        <v>4</v>
      </c>
      <c r="F272">
        <v>1</v>
      </c>
      <c r="G272">
        <v>1945</v>
      </c>
      <c r="H272" t="str">
        <f t="shared" si="13"/>
        <v>Pre-1950</v>
      </c>
      <c r="I272" t="s">
        <v>10</v>
      </c>
      <c r="J272" t="s">
        <v>18</v>
      </c>
      <c r="K272" t="s">
        <v>16</v>
      </c>
      <c r="L272" s="4">
        <v>836351</v>
      </c>
      <c r="M272" t="str">
        <f t="shared" si="14"/>
        <v>Premium</v>
      </c>
    </row>
    <row r="273" spans="1:13" x14ac:dyDescent="0.35">
      <c r="A273">
        <v>272</v>
      </c>
      <c r="B273">
        <v>627</v>
      </c>
      <c r="C273" t="str">
        <f t="shared" si="12"/>
        <v>Small</v>
      </c>
      <c r="D273">
        <v>5</v>
      </c>
      <c r="E273">
        <v>2</v>
      </c>
      <c r="F273">
        <v>2</v>
      </c>
      <c r="G273">
        <v>1943</v>
      </c>
      <c r="H273" t="str">
        <f t="shared" si="13"/>
        <v>Pre-1950</v>
      </c>
      <c r="I273" t="s">
        <v>10</v>
      </c>
      <c r="J273" t="s">
        <v>15</v>
      </c>
      <c r="K273" t="s">
        <v>16</v>
      </c>
      <c r="L273" s="4">
        <v>983671</v>
      </c>
      <c r="M273" t="str">
        <f t="shared" si="14"/>
        <v>Premium</v>
      </c>
    </row>
    <row r="274" spans="1:13" x14ac:dyDescent="0.35">
      <c r="A274">
        <v>273</v>
      </c>
      <c r="B274">
        <v>2565</v>
      </c>
      <c r="C274" t="str">
        <f t="shared" si="12"/>
        <v>Large</v>
      </c>
      <c r="D274">
        <v>4</v>
      </c>
      <c r="E274">
        <v>4</v>
      </c>
      <c r="F274">
        <v>1</v>
      </c>
      <c r="G274">
        <v>1921</v>
      </c>
      <c r="H274" t="str">
        <f t="shared" si="13"/>
        <v>Pre-1950</v>
      </c>
      <c r="I274" t="s">
        <v>17</v>
      </c>
      <c r="J274" t="s">
        <v>15</v>
      </c>
      <c r="K274" t="s">
        <v>12</v>
      </c>
      <c r="L274" s="4">
        <v>138754</v>
      </c>
      <c r="M274" t="str">
        <f t="shared" si="14"/>
        <v>Low</v>
      </c>
    </row>
    <row r="275" spans="1:13" x14ac:dyDescent="0.35">
      <c r="A275">
        <v>274</v>
      </c>
      <c r="B275">
        <v>2316</v>
      </c>
      <c r="C275" t="str">
        <f t="shared" si="12"/>
        <v>Medium</v>
      </c>
      <c r="D275">
        <v>1</v>
      </c>
      <c r="E275">
        <v>4</v>
      </c>
      <c r="F275">
        <v>3</v>
      </c>
      <c r="G275">
        <v>1952</v>
      </c>
      <c r="H275" t="str">
        <f t="shared" si="13"/>
        <v>1950-1975</v>
      </c>
      <c r="I275" t="s">
        <v>10</v>
      </c>
      <c r="J275" t="s">
        <v>11</v>
      </c>
      <c r="K275" t="s">
        <v>16</v>
      </c>
      <c r="L275" s="4">
        <v>271775</v>
      </c>
      <c r="M275" t="str">
        <f t="shared" si="14"/>
        <v>Medium</v>
      </c>
    </row>
    <row r="276" spans="1:13" x14ac:dyDescent="0.35">
      <c r="A276">
        <v>275</v>
      </c>
      <c r="B276">
        <v>1069</v>
      </c>
      <c r="C276" t="str">
        <f t="shared" si="12"/>
        <v>Medium</v>
      </c>
      <c r="D276">
        <v>5</v>
      </c>
      <c r="E276">
        <v>3</v>
      </c>
      <c r="F276">
        <v>3</v>
      </c>
      <c r="G276">
        <v>1958</v>
      </c>
      <c r="H276" t="str">
        <f t="shared" si="13"/>
        <v>1950-1975</v>
      </c>
      <c r="I276" t="s">
        <v>19</v>
      </c>
      <c r="J276" t="s">
        <v>18</v>
      </c>
      <c r="K276" t="s">
        <v>12</v>
      </c>
      <c r="L276" s="4">
        <v>355292</v>
      </c>
      <c r="M276" t="str">
        <f t="shared" si="14"/>
        <v>Medium</v>
      </c>
    </row>
    <row r="277" spans="1:13" x14ac:dyDescent="0.35">
      <c r="A277">
        <v>276</v>
      </c>
      <c r="B277">
        <v>2395</v>
      </c>
      <c r="C277" t="str">
        <f t="shared" si="12"/>
        <v>Medium</v>
      </c>
      <c r="D277">
        <v>1</v>
      </c>
      <c r="E277">
        <v>1</v>
      </c>
      <c r="F277">
        <v>1</v>
      </c>
      <c r="G277">
        <v>1993</v>
      </c>
      <c r="H277" t="str">
        <f t="shared" si="13"/>
        <v>1976-2000</v>
      </c>
      <c r="I277" t="s">
        <v>14</v>
      </c>
      <c r="J277" t="s">
        <v>15</v>
      </c>
      <c r="K277" t="s">
        <v>16</v>
      </c>
      <c r="L277" s="4">
        <v>777513</v>
      </c>
      <c r="M277" t="str">
        <f t="shared" si="14"/>
        <v>Premium</v>
      </c>
    </row>
    <row r="278" spans="1:13" x14ac:dyDescent="0.35">
      <c r="A278">
        <v>277</v>
      </c>
      <c r="B278">
        <v>3233</v>
      </c>
      <c r="C278" t="str">
        <f t="shared" si="12"/>
        <v>Large</v>
      </c>
      <c r="D278">
        <v>1</v>
      </c>
      <c r="E278">
        <v>4</v>
      </c>
      <c r="F278">
        <v>1</v>
      </c>
      <c r="G278">
        <v>2013</v>
      </c>
      <c r="H278" t="str">
        <f t="shared" si="13"/>
        <v>Post-2000</v>
      </c>
      <c r="I278" t="s">
        <v>14</v>
      </c>
      <c r="J278" t="s">
        <v>11</v>
      </c>
      <c r="K278" t="s">
        <v>16</v>
      </c>
      <c r="L278" s="4">
        <v>726894</v>
      </c>
      <c r="M278" t="str">
        <f t="shared" si="14"/>
        <v>Premium</v>
      </c>
    </row>
    <row r="279" spans="1:13" x14ac:dyDescent="0.35">
      <c r="A279">
        <v>278</v>
      </c>
      <c r="B279">
        <v>4363</v>
      </c>
      <c r="C279" t="str">
        <f t="shared" si="12"/>
        <v>Extra Large</v>
      </c>
      <c r="D279">
        <v>2</v>
      </c>
      <c r="E279">
        <v>3</v>
      </c>
      <c r="F279">
        <v>2</v>
      </c>
      <c r="G279">
        <v>2006</v>
      </c>
      <c r="H279" t="str">
        <f t="shared" si="13"/>
        <v>Post-2000</v>
      </c>
      <c r="I279" t="s">
        <v>19</v>
      </c>
      <c r="J279" t="s">
        <v>13</v>
      </c>
      <c r="K279" t="s">
        <v>16</v>
      </c>
      <c r="L279" s="4">
        <v>796355</v>
      </c>
      <c r="M279" t="str">
        <f t="shared" si="14"/>
        <v>Premium</v>
      </c>
    </row>
    <row r="280" spans="1:13" x14ac:dyDescent="0.35">
      <c r="A280">
        <v>279</v>
      </c>
      <c r="B280">
        <v>4514</v>
      </c>
      <c r="C280" t="str">
        <f t="shared" si="12"/>
        <v>Extra Large</v>
      </c>
      <c r="D280">
        <v>5</v>
      </c>
      <c r="E280">
        <v>1</v>
      </c>
      <c r="F280">
        <v>1</v>
      </c>
      <c r="G280">
        <v>2023</v>
      </c>
      <c r="H280" t="str">
        <f t="shared" si="13"/>
        <v>Post-2000</v>
      </c>
      <c r="I280" t="s">
        <v>17</v>
      </c>
      <c r="J280" t="s">
        <v>15</v>
      </c>
      <c r="K280" t="s">
        <v>12</v>
      </c>
      <c r="L280" s="4">
        <v>959222</v>
      </c>
      <c r="M280" t="str">
        <f t="shared" si="14"/>
        <v>Premium</v>
      </c>
    </row>
    <row r="281" spans="1:13" x14ac:dyDescent="0.35">
      <c r="A281">
        <v>280</v>
      </c>
      <c r="B281">
        <v>3401</v>
      </c>
      <c r="C281" t="str">
        <f t="shared" si="12"/>
        <v>Large</v>
      </c>
      <c r="D281">
        <v>4</v>
      </c>
      <c r="E281">
        <v>2</v>
      </c>
      <c r="F281">
        <v>1</v>
      </c>
      <c r="G281">
        <v>1929</v>
      </c>
      <c r="H281" t="str">
        <f t="shared" si="13"/>
        <v>Pre-1950</v>
      </c>
      <c r="I281" t="s">
        <v>10</v>
      </c>
      <c r="J281" t="s">
        <v>13</v>
      </c>
      <c r="K281" t="s">
        <v>16</v>
      </c>
      <c r="L281" s="4">
        <v>922510</v>
      </c>
      <c r="M281" t="str">
        <f t="shared" si="14"/>
        <v>Premium</v>
      </c>
    </row>
    <row r="282" spans="1:13" x14ac:dyDescent="0.35">
      <c r="A282">
        <v>281</v>
      </c>
      <c r="B282">
        <v>2186</v>
      </c>
      <c r="C282" t="str">
        <f t="shared" si="12"/>
        <v>Medium</v>
      </c>
      <c r="D282">
        <v>2</v>
      </c>
      <c r="E282">
        <v>1</v>
      </c>
      <c r="F282">
        <v>1</v>
      </c>
      <c r="G282">
        <v>1907</v>
      </c>
      <c r="H282" t="str">
        <f t="shared" si="13"/>
        <v>Pre-1950</v>
      </c>
      <c r="I282" t="s">
        <v>19</v>
      </c>
      <c r="J282" t="s">
        <v>11</v>
      </c>
      <c r="K282" t="s">
        <v>16</v>
      </c>
      <c r="L282" s="4">
        <v>106879</v>
      </c>
      <c r="M282" t="str">
        <f t="shared" si="14"/>
        <v>Low</v>
      </c>
    </row>
    <row r="283" spans="1:13" x14ac:dyDescent="0.35">
      <c r="A283">
        <v>282</v>
      </c>
      <c r="B283">
        <v>3509</v>
      </c>
      <c r="C283" t="str">
        <f t="shared" si="12"/>
        <v>Large</v>
      </c>
      <c r="D283">
        <v>1</v>
      </c>
      <c r="E283">
        <v>4</v>
      </c>
      <c r="F283">
        <v>2</v>
      </c>
      <c r="G283">
        <v>1997</v>
      </c>
      <c r="H283" t="str">
        <f t="shared" si="13"/>
        <v>1976-2000</v>
      </c>
      <c r="I283" t="s">
        <v>14</v>
      </c>
      <c r="J283" t="s">
        <v>13</v>
      </c>
      <c r="K283" t="s">
        <v>16</v>
      </c>
      <c r="L283" s="4">
        <v>169894</v>
      </c>
      <c r="M283" t="str">
        <f t="shared" si="14"/>
        <v>Low</v>
      </c>
    </row>
    <row r="284" spans="1:13" x14ac:dyDescent="0.35">
      <c r="A284">
        <v>283</v>
      </c>
      <c r="B284">
        <v>654</v>
      </c>
      <c r="C284" t="str">
        <f t="shared" si="12"/>
        <v>Small</v>
      </c>
      <c r="D284">
        <v>1</v>
      </c>
      <c r="E284">
        <v>4</v>
      </c>
      <c r="F284">
        <v>1</v>
      </c>
      <c r="G284">
        <v>1956</v>
      </c>
      <c r="H284" t="str">
        <f t="shared" si="13"/>
        <v>1950-1975</v>
      </c>
      <c r="I284" t="s">
        <v>14</v>
      </c>
      <c r="J284" t="s">
        <v>18</v>
      </c>
      <c r="K284" t="s">
        <v>16</v>
      </c>
      <c r="L284" s="4">
        <v>640127</v>
      </c>
      <c r="M284" t="str">
        <f t="shared" si="14"/>
        <v>Premium</v>
      </c>
    </row>
    <row r="285" spans="1:13" x14ac:dyDescent="0.35">
      <c r="A285">
        <v>284</v>
      </c>
      <c r="B285">
        <v>3037</v>
      </c>
      <c r="C285" t="str">
        <f t="shared" si="12"/>
        <v>Large</v>
      </c>
      <c r="D285">
        <v>1</v>
      </c>
      <c r="E285">
        <v>4</v>
      </c>
      <c r="F285">
        <v>3</v>
      </c>
      <c r="G285">
        <v>2010</v>
      </c>
      <c r="H285" t="str">
        <f t="shared" si="13"/>
        <v>Post-2000</v>
      </c>
      <c r="I285" t="s">
        <v>19</v>
      </c>
      <c r="J285" t="s">
        <v>18</v>
      </c>
      <c r="K285" t="s">
        <v>12</v>
      </c>
      <c r="L285" s="4">
        <v>79756</v>
      </c>
      <c r="M285" t="str">
        <f t="shared" si="14"/>
        <v>Low</v>
      </c>
    </row>
    <row r="286" spans="1:13" x14ac:dyDescent="0.35">
      <c r="A286">
        <v>285</v>
      </c>
      <c r="B286">
        <v>1909</v>
      </c>
      <c r="C286" t="str">
        <f t="shared" si="12"/>
        <v>Medium</v>
      </c>
      <c r="D286">
        <v>5</v>
      </c>
      <c r="E286">
        <v>4</v>
      </c>
      <c r="F286">
        <v>2</v>
      </c>
      <c r="G286">
        <v>1972</v>
      </c>
      <c r="H286" t="str">
        <f t="shared" si="13"/>
        <v>1950-1975</v>
      </c>
      <c r="I286" t="s">
        <v>14</v>
      </c>
      <c r="J286" t="s">
        <v>13</v>
      </c>
      <c r="K286" t="s">
        <v>16</v>
      </c>
      <c r="L286" s="4">
        <v>718043</v>
      </c>
      <c r="M286" t="str">
        <f t="shared" si="14"/>
        <v>Premium</v>
      </c>
    </row>
    <row r="287" spans="1:13" x14ac:dyDescent="0.35">
      <c r="A287">
        <v>286</v>
      </c>
      <c r="B287">
        <v>4557</v>
      </c>
      <c r="C287" t="str">
        <f t="shared" si="12"/>
        <v>Extra Large</v>
      </c>
      <c r="D287">
        <v>5</v>
      </c>
      <c r="E287">
        <v>4</v>
      </c>
      <c r="F287">
        <v>2</v>
      </c>
      <c r="G287">
        <v>2014</v>
      </c>
      <c r="H287" t="str">
        <f t="shared" si="13"/>
        <v>Post-2000</v>
      </c>
      <c r="I287" t="s">
        <v>19</v>
      </c>
      <c r="J287" t="s">
        <v>18</v>
      </c>
      <c r="K287" t="s">
        <v>16</v>
      </c>
      <c r="L287" s="4">
        <v>230557</v>
      </c>
      <c r="M287" t="str">
        <f t="shared" si="14"/>
        <v>Medium</v>
      </c>
    </row>
    <row r="288" spans="1:13" x14ac:dyDescent="0.35">
      <c r="A288">
        <v>287</v>
      </c>
      <c r="B288">
        <v>1284</v>
      </c>
      <c r="C288" t="str">
        <f t="shared" si="12"/>
        <v>Medium</v>
      </c>
      <c r="D288">
        <v>2</v>
      </c>
      <c r="E288">
        <v>3</v>
      </c>
      <c r="F288">
        <v>3</v>
      </c>
      <c r="G288">
        <v>1919</v>
      </c>
      <c r="H288" t="str">
        <f t="shared" si="13"/>
        <v>Pre-1950</v>
      </c>
      <c r="I288" t="s">
        <v>14</v>
      </c>
      <c r="J288" t="s">
        <v>11</v>
      </c>
      <c r="K288" t="s">
        <v>16</v>
      </c>
      <c r="L288" s="4">
        <v>279303</v>
      </c>
      <c r="M288" t="str">
        <f t="shared" si="14"/>
        <v>Medium</v>
      </c>
    </row>
    <row r="289" spans="1:13" x14ac:dyDescent="0.35">
      <c r="A289">
        <v>288</v>
      </c>
      <c r="B289">
        <v>3675</v>
      </c>
      <c r="C289" t="str">
        <f t="shared" si="12"/>
        <v>Large</v>
      </c>
      <c r="D289">
        <v>4</v>
      </c>
      <c r="E289">
        <v>4</v>
      </c>
      <c r="F289">
        <v>3</v>
      </c>
      <c r="G289">
        <v>2003</v>
      </c>
      <c r="H289" t="str">
        <f t="shared" si="13"/>
        <v>Post-2000</v>
      </c>
      <c r="I289" t="s">
        <v>19</v>
      </c>
      <c r="J289" t="s">
        <v>18</v>
      </c>
      <c r="K289" t="s">
        <v>16</v>
      </c>
      <c r="L289" s="4">
        <v>454241</v>
      </c>
      <c r="M289" t="str">
        <f t="shared" si="14"/>
        <v>High</v>
      </c>
    </row>
    <row r="290" spans="1:13" x14ac:dyDescent="0.35">
      <c r="A290">
        <v>289</v>
      </c>
      <c r="B290">
        <v>4841</v>
      </c>
      <c r="C290" t="str">
        <f t="shared" si="12"/>
        <v>Extra Large</v>
      </c>
      <c r="D290">
        <v>2</v>
      </c>
      <c r="E290">
        <v>3</v>
      </c>
      <c r="F290">
        <v>3</v>
      </c>
      <c r="G290">
        <v>1924</v>
      </c>
      <c r="H290" t="str">
        <f t="shared" si="13"/>
        <v>Pre-1950</v>
      </c>
      <c r="I290" t="s">
        <v>10</v>
      </c>
      <c r="J290" t="s">
        <v>13</v>
      </c>
      <c r="K290" t="s">
        <v>12</v>
      </c>
      <c r="L290" s="4">
        <v>724075</v>
      </c>
      <c r="M290" t="str">
        <f t="shared" si="14"/>
        <v>Premium</v>
      </c>
    </row>
    <row r="291" spans="1:13" x14ac:dyDescent="0.35">
      <c r="A291">
        <v>290</v>
      </c>
      <c r="B291">
        <v>3306</v>
      </c>
      <c r="C291" t="str">
        <f t="shared" si="12"/>
        <v>Large</v>
      </c>
      <c r="D291">
        <v>3</v>
      </c>
      <c r="E291">
        <v>2</v>
      </c>
      <c r="F291">
        <v>1</v>
      </c>
      <c r="G291">
        <v>1918</v>
      </c>
      <c r="H291" t="str">
        <f t="shared" si="13"/>
        <v>Pre-1950</v>
      </c>
      <c r="I291" t="s">
        <v>10</v>
      </c>
      <c r="J291" t="s">
        <v>13</v>
      </c>
      <c r="K291" t="s">
        <v>16</v>
      </c>
      <c r="L291" s="4">
        <v>541599</v>
      </c>
      <c r="M291" t="str">
        <f t="shared" si="14"/>
        <v>High</v>
      </c>
    </row>
    <row r="292" spans="1:13" x14ac:dyDescent="0.35">
      <c r="A292">
        <v>291</v>
      </c>
      <c r="B292">
        <v>1037</v>
      </c>
      <c r="C292" t="str">
        <f t="shared" si="12"/>
        <v>Medium</v>
      </c>
      <c r="D292">
        <v>1</v>
      </c>
      <c r="E292">
        <v>4</v>
      </c>
      <c r="F292">
        <v>3</v>
      </c>
      <c r="G292">
        <v>1904</v>
      </c>
      <c r="H292" t="str">
        <f t="shared" si="13"/>
        <v>Pre-1950</v>
      </c>
      <c r="I292" t="s">
        <v>10</v>
      </c>
      <c r="J292" t="s">
        <v>13</v>
      </c>
      <c r="K292" t="s">
        <v>16</v>
      </c>
      <c r="L292" s="4">
        <v>545283</v>
      </c>
      <c r="M292" t="str">
        <f t="shared" si="14"/>
        <v>High</v>
      </c>
    </row>
    <row r="293" spans="1:13" x14ac:dyDescent="0.35">
      <c r="A293">
        <v>292</v>
      </c>
      <c r="B293">
        <v>2341</v>
      </c>
      <c r="C293" t="str">
        <f t="shared" si="12"/>
        <v>Medium</v>
      </c>
      <c r="D293">
        <v>1</v>
      </c>
      <c r="E293">
        <v>4</v>
      </c>
      <c r="F293">
        <v>1</v>
      </c>
      <c r="G293">
        <v>1974</v>
      </c>
      <c r="H293" t="str">
        <f t="shared" si="13"/>
        <v>1950-1975</v>
      </c>
      <c r="I293" t="s">
        <v>10</v>
      </c>
      <c r="J293" t="s">
        <v>15</v>
      </c>
      <c r="K293" t="s">
        <v>12</v>
      </c>
      <c r="L293" s="4">
        <v>667231</v>
      </c>
      <c r="M293" t="str">
        <f t="shared" si="14"/>
        <v>Premium</v>
      </c>
    </row>
    <row r="294" spans="1:13" x14ac:dyDescent="0.35">
      <c r="A294">
        <v>293</v>
      </c>
      <c r="B294">
        <v>2955</v>
      </c>
      <c r="C294" t="str">
        <f t="shared" si="12"/>
        <v>Large</v>
      </c>
      <c r="D294">
        <v>1</v>
      </c>
      <c r="E294">
        <v>1</v>
      </c>
      <c r="F294">
        <v>2</v>
      </c>
      <c r="G294">
        <v>1978</v>
      </c>
      <c r="H294" t="str">
        <f t="shared" si="13"/>
        <v>1976-2000</v>
      </c>
      <c r="I294" t="s">
        <v>14</v>
      </c>
      <c r="J294" t="s">
        <v>13</v>
      </c>
      <c r="K294" t="s">
        <v>16</v>
      </c>
      <c r="L294" s="4">
        <v>792476</v>
      </c>
      <c r="M294" t="str">
        <f t="shared" si="14"/>
        <v>Premium</v>
      </c>
    </row>
    <row r="295" spans="1:13" x14ac:dyDescent="0.35">
      <c r="A295">
        <v>294</v>
      </c>
      <c r="B295">
        <v>1024</v>
      </c>
      <c r="C295" t="str">
        <f t="shared" si="12"/>
        <v>Medium</v>
      </c>
      <c r="D295">
        <v>2</v>
      </c>
      <c r="E295">
        <v>2</v>
      </c>
      <c r="F295">
        <v>2</v>
      </c>
      <c r="G295">
        <v>1971</v>
      </c>
      <c r="H295" t="str">
        <f t="shared" si="13"/>
        <v>1950-1975</v>
      </c>
      <c r="I295" t="s">
        <v>17</v>
      </c>
      <c r="J295" t="s">
        <v>11</v>
      </c>
      <c r="K295" t="s">
        <v>16</v>
      </c>
      <c r="L295" s="4">
        <v>198188</v>
      </c>
      <c r="M295" t="str">
        <f t="shared" si="14"/>
        <v>Low</v>
      </c>
    </row>
    <row r="296" spans="1:13" x14ac:dyDescent="0.35">
      <c r="A296">
        <v>295</v>
      </c>
      <c r="B296">
        <v>3450</v>
      </c>
      <c r="C296" t="str">
        <f t="shared" si="12"/>
        <v>Large</v>
      </c>
      <c r="D296">
        <v>2</v>
      </c>
      <c r="E296">
        <v>4</v>
      </c>
      <c r="F296">
        <v>3</v>
      </c>
      <c r="G296">
        <v>1982</v>
      </c>
      <c r="H296" t="str">
        <f t="shared" si="13"/>
        <v>1976-2000</v>
      </c>
      <c r="I296" t="s">
        <v>19</v>
      </c>
      <c r="J296" t="s">
        <v>18</v>
      </c>
      <c r="K296" t="s">
        <v>16</v>
      </c>
      <c r="L296" s="4">
        <v>611032</v>
      </c>
      <c r="M296" t="str">
        <f t="shared" si="14"/>
        <v>Premium</v>
      </c>
    </row>
    <row r="297" spans="1:13" x14ac:dyDescent="0.35">
      <c r="A297">
        <v>296</v>
      </c>
      <c r="B297">
        <v>4631</v>
      </c>
      <c r="C297" t="str">
        <f t="shared" si="12"/>
        <v>Extra Large</v>
      </c>
      <c r="D297">
        <v>1</v>
      </c>
      <c r="E297">
        <v>4</v>
      </c>
      <c r="F297">
        <v>1</v>
      </c>
      <c r="G297">
        <v>1986</v>
      </c>
      <c r="H297" t="str">
        <f t="shared" si="13"/>
        <v>1976-2000</v>
      </c>
      <c r="I297" t="s">
        <v>17</v>
      </c>
      <c r="J297" t="s">
        <v>18</v>
      </c>
      <c r="K297" t="s">
        <v>12</v>
      </c>
      <c r="L297" s="4">
        <v>174697</v>
      </c>
      <c r="M297" t="str">
        <f t="shared" si="14"/>
        <v>Low</v>
      </c>
    </row>
    <row r="298" spans="1:13" x14ac:dyDescent="0.35">
      <c r="A298">
        <v>297</v>
      </c>
      <c r="B298">
        <v>4615</v>
      </c>
      <c r="C298" t="str">
        <f t="shared" si="12"/>
        <v>Extra Large</v>
      </c>
      <c r="D298">
        <v>2</v>
      </c>
      <c r="E298">
        <v>2</v>
      </c>
      <c r="F298">
        <v>3</v>
      </c>
      <c r="G298">
        <v>1926</v>
      </c>
      <c r="H298" t="str">
        <f t="shared" si="13"/>
        <v>Pre-1950</v>
      </c>
      <c r="I298" t="s">
        <v>14</v>
      </c>
      <c r="J298" t="s">
        <v>15</v>
      </c>
      <c r="K298" t="s">
        <v>16</v>
      </c>
      <c r="L298" s="4">
        <v>530795</v>
      </c>
      <c r="M298" t="str">
        <f t="shared" si="14"/>
        <v>High</v>
      </c>
    </row>
    <row r="299" spans="1:13" x14ac:dyDescent="0.35">
      <c r="A299">
        <v>298</v>
      </c>
      <c r="B299">
        <v>2868</v>
      </c>
      <c r="C299" t="str">
        <f t="shared" si="12"/>
        <v>Large</v>
      </c>
      <c r="D299">
        <v>5</v>
      </c>
      <c r="E299">
        <v>3</v>
      </c>
      <c r="F299">
        <v>3</v>
      </c>
      <c r="G299">
        <v>1939</v>
      </c>
      <c r="H299" t="str">
        <f t="shared" si="13"/>
        <v>Pre-1950</v>
      </c>
      <c r="I299" t="s">
        <v>14</v>
      </c>
      <c r="J299" t="s">
        <v>15</v>
      </c>
      <c r="K299" t="s">
        <v>12</v>
      </c>
      <c r="L299" s="4">
        <v>690360</v>
      </c>
      <c r="M299" t="str">
        <f t="shared" si="14"/>
        <v>Premium</v>
      </c>
    </row>
    <row r="300" spans="1:13" x14ac:dyDescent="0.35">
      <c r="A300">
        <v>299</v>
      </c>
      <c r="B300">
        <v>4347</v>
      </c>
      <c r="C300" t="str">
        <f t="shared" si="12"/>
        <v>Extra Large</v>
      </c>
      <c r="D300">
        <v>5</v>
      </c>
      <c r="E300">
        <v>4</v>
      </c>
      <c r="F300">
        <v>1</v>
      </c>
      <c r="G300">
        <v>1995</v>
      </c>
      <c r="H300" t="str">
        <f t="shared" si="13"/>
        <v>1976-2000</v>
      </c>
      <c r="I300" t="s">
        <v>17</v>
      </c>
      <c r="J300" t="s">
        <v>11</v>
      </c>
      <c r="K300" t="s">
        <v>12</v>
      </c>
      <c r="L300" s="4">
        <v>445340</v>
      </c>
      <c r="M300" t="str">
        <f t="shared" si="14"/>
        <v>High</v>
      </c>
    </row>
    <row r="301" spans="1:13" x14ac:dyDescent="0.35">
      <c r="A301">
        <v>300</v>
      </c>
      <c r="B301">
        <v>4995</v>
      </c>
      <c r="C301" t="str">
        <f t="shared" si="12"/>
        <v>Extra Large</v>
      </c>
      <c r="D301">
        <v>2</v>
      </c>
      <c r="E301">
        <v>1</v>
      </c>
      <c r="F301">
        <v>3</v>
      </c>
      <c r="G301">
        <v>1925</v>
      </c>
      <c r="H301" t="str">
        <f t="shared" si="13"/>
        <v>Pre-1950</v>
      </c>
      <c r="I301" t="s">
        <v>17</v>
      </c>
      <c r="J301" t="s">
        <v>13</v>
      </c>
      <c r="K301" t="s">
        <v>12</v>
      </c>
      <c r="L301" s="4">
        <v>286028</v>
      </c>
      <c r="M301" t="str">
        <f t="shared" si="14"/>
        <v>Medium</v>
      </c>
    </row>
    <row r="302" spans="1:13" x14ac:dyDescent="0.35">
      <c r="A302">
        <v>301</v>
      </c>
      <c r="B302">
        <v>3201</v>
      </c>
      <c r="C302" t="str">
        <f t="shared" si="12"/>
        <v>Large</v>
      </c>
      <c r="D302">
        <v>1</v>
      </c>
      <c r="E302">
        <v>4</v>
      </c>
      <c r="F302">
        <v>2</v>
      </c>
      <c r="G302">
        <v>1926</v>
      </c>
      <c r="H302" t="str">
        <f t="shared" si="13"/>
        <v>Pre-1950</v>
      </c>
      <c r="I302" t="s">
        <v>14</v>
      </c>
      <c r="J302" t="s">
        <v>15</v>
      </c>
      <c r="K302" t="s">
        <v>12</v>
      </c>
      <c r="L302" s="4">
        <v>743411</v>
      </c>
      <c r="M302" t="str">
        <f t="shared" si="14"/>
        <v>Premium</v>
      </c>
    </row>
    <row r="303" spans="1:13" x14ac:dyDescent="0.35">
      <c r="A303">
        <v>302</v>
      </c>
      <c r="B303">
        <v>1471</v>
      </c>
      <c r="C303" t="str">
        <f t="shared" si="12"/>
        <v>Medium</v>
      </c>
      <c r="D303">
        <v>2</v>
      </c>
      <c r="E303">
        <v>1</v>
      </c>
      <c r="F303">
        <v>3</v>
      </c>
      <c r="G303">
        <v>1961</v>
      </c>
      <c r="H303" t="str">
        <f t="shared" si="13"/>
        <v>1950-1975</v>
      </c>
      <c r="I303" t="s">
        <v>14</v>
      </c>
      <c r="J303" t="s">
        <v>18</v>
      </c>
      <c r="K303" t="s">
        <v>12</v>
      </c>
      <c r="L303" s="4">
        <v>57176</v>
      </c>
      <c r="M303" t="str">
        <f t="shared" si="14"/>
        <v>Low</v>
      </c>
    </row>
    <row r="304" spans="1:13" x14ac:dyDescent="0.35">
      <c r="A304">
        <v>303</v>
      </c>
      <c r="B304">
        <v>1666</v>
      </c>
      <c r="C304" t="str">
        <f t="shared" si="12"/>
        <v>Medium</v>
      </c>
      <c r="D304">
        <v>2</v>
      </c>
      <c r="E304">
        <v>1</v>
      </c>
      <c r="F304">
        <v>1</v>
      </c>
      <c r="G304">
        <v>1982</v>
      </c>
      <c r="H304" t="str">
        <f t="shared" si="13"/>
        <v>1976-2000</v>
      </c>
      <c r="I304" t="s">
        <v>19</v>
      </c>
      <c r="J304" t="s">
        <v>15</v>
      </c>
      <c r="K304" t="s">
        <v>12</v>
      </c>
      <c r="L304" s="4">
        <v>927742</v>
      </c>
      <c r="M304" t="str">
        <f t="shared" si="14"/>
        <v>Premium</v>
      </c>
    </row>
    <row r="305" spans="1:13" x14ac:dyDescent="0.35">
      <c r="A305">
        <v>304</v>
      </c>
      <c r="B305">
        <v>3274</v>
      </c>
      <c r="C305" t="str">
        <f t="shared" si="12"/>
        <v>Large</v>
      </c>
      <c r="D305">
        <v>2</v>
      </c>
      <c r="E305">
        <v>4</v>
      </c>
      <c r="F305">
        <v>1</v>
      </c>
      <c r="G305">
        <v>1949</v>
      </c>
      <c r="H305" t="str">
        <f t="shared" si="13"/>
        <v>Pre-1950</v>
      </c>
      <c r="I305" t="s">
        <v>10</v>
      </c>
      <c r="J305" t="s">
        <v>15</v>
      </c>
      <c r="K305" t="s">
        <v>12</v>
      </c>
      <c r="L305" s="4">
        <v>826653</v>
      </c>
      <c r="M305" t="str">
        <f t="shared" si="14"/>
        <v>Premium</v>
      </c>
    </row>
    <row r="306" spans="1:13" x14ac:dyDescent="0.35">
      <c r="A306">
        <v>305</v>
      </c>
      <c r="B306">
        <v>2482</v>
      </c>
      <c r="C306" t="str">
        <f t="shared" si="12"/>
        <v>Medium</v>
      </c>
      <c r="D306">
        <v>3</v>
      </c>
      <c r="E306">
        <v>4</v>
      </c>
      <c r="F306">
        <v>2</v>
      </c>
      <c r="G306">
        <v>1941</v>
      </c>
      <c r="H306" t="str">
        <f t="shared" si="13"/>
        <v>Pre-1950</v>
      </c>
      <c r="I306" t="s">
        <v>10</v>
      </c>
      <c r="J306" t="s">
        <v>13</v>
      </c>
      <c r="K306" t="s">
        <v>16</v>
      </c>
      <c r="L306" s="4">
        <v>508034</v>
      </c>
      <c r="M306" t="str">
        <f t="shared" si="14"/>
        <v>High</v>
      </c>
    </row>
    <row r="307" spans="1:13" x14ac:dyDescent="0.35">
      <c r="A307">
        <v>306</v>
      </c>
      <c r="B307">
        <v>1353</v>
      </c>
      <c r="C307" t="str">
        <f t="shared" si="12"/>
        <v>Medium</v>
      </c>
      <c r="D307">
        <v>5</v>
      </c>
      <c r="E307">
        <v>1</v>
      </c>
      <c r="F307">
        <v>1</v>
      </c>
      <c r="G307">
        <v>1928</v>
      </c>
      <c r="H307" t="str">
        <f t="shared" si="13"/>
        <v>Pre-1950</v>
      </c>
      <c r="I307" t="s">
        <v>19</v>
      </c>
      <c r="J307" t="s">
        <v>15</v>
      </c>
      <c r="K307" t="s">
        <v>16</v>
      </c>
      <c r="L307" s="4">
        <v>563611</v>
      </c>
      <c r="M307" t="str">
        <f t="shared" si="14"/>
        <v>High</v>
      </c>
    </row>
    <row r="308" spans="1:13" x14ac:dyDescent="0.35">
      <c r="A308">
        <v>307</v>
      </c>
      <c r="B308">
        <v>4646</v>
      </c>
      <c r="C308" t="str">
        <f t="shared" si="12"/>
        <v>Extra Large</v>
      </c>
      <c r="D308">
        <v>4</v>
      </c>
      <c r="E308">
        <v>2</v>
      </c>
      <c r="F308">
        <v>1</v>
      </c>
      <c r="G308">
        <v>1938</v>
      </c>
      <c r="H308" t="str">
        <f t="shared" si="13"/>
        <v>Pre-1950</v>
      </c>
      <c r="I308" t="s">
        <v>17</v>
      </c>
      <c r="J308" t="s">
        <v>11</v>
      </c>
      <c r="K308" t="s">
        <v>12</v>
      </c>
      <c r="L308" s="4">
        <v>199748</v>
      </c>
      <c r="M308" t="str">
        <f t="shared" si="14"/>
        <v>Low</v>
      </c>
    </row>
    <row r="309" spans="1:13" x14ac:dyDescent="0.35">
      <c r="A309">
        <v>308</v>
      </c>
      <c r="B309">
        <v>4236</v>
      </c>
      <c r="C309" t="str">
        <f t="shared" si="12"/>
        <v>Extra Large</v>
      </c>
      <c r="D309">
        <v>4</v>
      </c>
      <c r="E309">
        <v>2</v>
      </c>
      <c r="F309">
        <v>2</v>
      </c>
      <c r="G309">
        <v>1959</v>
      </c>
      <c r="H309" t="str">
        <f t="shared" si="13"/>
        <v>1950-1975</v>
      </c>
      <c r="I309" t="s">
        <v>14</v>
      </c>
      <c r="J309" t="s">
        <v>18</v>
      </c>
      <c r="K309" t="s">
        <v>12</v>
      </c>
      <c r="L309" s="4">
        <v>95177</v>
      </c>
      <c r="M309" t="str">
        <f t="shared" si="14"/>
        <v>Low</v>
      </c>
    </row>
    <row r="310" spans="1:13" x14ac:dyDescent="0.35">
      <c r="A310">
        <v>309</v>
      </c>
      <c r="B310">
        <v>4269</v>
      </c>
      <c r="C310" t="str">
        <f t="shared" si="12"/>
        <v>Extra Large</v>
      </c>
      <c r="D310">
        <v>3</v>
      </c>
      <c r="E310">
        <v>4</v>
      </c>
      <c r="F310">
        <v>3</v>
      </c>
      <c r="G310">
        <v>1940</v>
      </c>
      <c r="H310" t="str">
        <f t="shared" si="13"/>
        <v>Pre-1950</v>
      </c>
      <c r="I310" t="s">
        <v>17</v>
      </c>
      <c r="J310" t="s">
        <v>13</v>
      </c>
      <c r="K310" t="s">
        <v>12</v>
      </c>
      <c r="L310" s="4">
        <v>533512</v>
      </c>
      <c r="M310" t="str">
        <f t="shared" si="14"/>
        <v>High</v>
      </c>
    </row>
    <row r="311" spans="1:13" x14ac:dyDescent="0.35">
      <c r="A311">
        <v>310</v>
      </c>
      <c r="B311">
        <v>1074</v>
      </c>
      <c r="C311" t="str">
        <f t="shared" si="12"/>
        <v>Medium</v>
      </c>
      <c r="D311">
        <v>2</v>
      </c>
      <c r="E311">
        <v>3</v>
      </c>
      <c r="F311">
        <v>2</v>
      </c>
      <c r="G311">
        <v>1932</v>
      </c>
      <c r="H311" t="str">
        <f t="shared" si="13"/>
        <v>Pre-1950</v>
      </c>
      <c r="I311" t="s">
        <v>10</v>
      </c>
      <c r="J311" t="s">
        <v>18</v>
      </c>
      <c r="K311" t="s">
        <v>12</v>
      </c>
      <c r="L311" s="4">
        <v>160623</v>
      </c>
      <c r="M311" t="str">
        <f t="shared" si="14"/>
        <v>Low</v>
      </c>
    </row>
    <row r="312" spans="1:13" x14ac:dyDescent="0.35">
      <c r="A312">
        <v>311</v>
      </c>
      <c r="B312">
        <v>3761</v>
      </c>
      <c r="C312" t="str">
        <f t="shared" si="12"/>
        <v>Large</v>
      </c>
      <c r="D312">
        <v>3</v>
      </c>
      <c r="E312">
        <v>2</v>
      </c>
      <c r="F312">
        <v>3</v>
      </c>
      <c r="G312">
        <v>1982</v>
      </c>
      <c r="H312" t="str">
        <f t="shared" si="13"/>
        <v>1976-2000</v>
      </c>
      <c r="I312" t="s">
        <v>10</v>
      </c>
      <c r="J312" t="s">
        <v>11</v>
      </c>
      <c r="K312" t="s">
        <v>12</v>
      </c>
      <c r="L312" s="4">
        <v>575285</v>
      </c>
      <c r="M312" t="str">
        <f t="shared" si="14"/>
        <v>High</v>
      </c>
    </row>
    <row r="313" spans="1:13" x14ac:dyDescent="0.35">
      <c r="A313">
        <v>312</v>
      </c>
      <c r="B313">
        <v>1648</v>
      </c>
      <c r="C313" t="str">
        <f t="shared" si="12"/>
        <v>Medium</v>
      </c>
      <c r="D313">
        <v>3</v>
      </c>
      <c r="E313">
        <v>4</v>
      </c>
      <c r="F313">
        <v>2</v>
      </c>
      <c r="G313">
        <v>2000</v>
      </c>
      <c r="H313" t="str">
        <f t="shared" si="13"/>
        <v>1976-2000</v>
      </c>
      <c r="I313" t="s">
        <v>17</v>
      </c>
      <c r="J313" t="s">
        <v>11</v>
      </c>
      <c r="K313" t="s">
        <v>12</v>
      </c>
      <c r="L313" s="4">
        <v>502546</v>
      </c>
      <c r="M313" t="str">
        <f t="shared" si="14"/>
        <v>High</v>
      </c>
    </row>
    <row r="314" spans="1:13" x14ac:dyDescent="0.35">
      <c r="A314">
        <v>313</v>
      </c>
      <c r="B314">
        <v>2215</v>
      </c>
      <c r="C314" t="str">
        <f t="shared" si="12"/>
        <v>Medium</v>
      </c>
      <c r="D314">
        <v>1</v>
      </c>
      <c r="E314">
        <v>2</v>
      </c>
      <c r="F314">
        <v>3</v>
      </c>
      <c r="G314">
        <v>1982</v>
      </c>
      <c r="H314" t="str">
        <f t="shared" si="13"/>
        <v>1976-2000</v>
      </c>
      <c r="I314" t="s">
        <v>10</v>
      </c>
      <c r="J314" t="s">
        <v>15</v>
      </c>
      <c r="K314" t="s">
        <v>16</v>
      </c>
      <c r="L314" s="4">
        <v>546184</v>
      </c>
      <c r="M314" t="str">
        <f t="shared" si="14"/>
        <v>High</v>
      </c>
    </row>
    <row r="315" spans="1:13" x14ac:dyDescent="0.35">
      <c r="A315">
        <v>314</v>
      </c>
      <c r="B315">
        <v>4354</v>
      </c>
      <c r="C315" t="str">
        <f t="shared" si="12"/>
        <v>Extra Large</v>
      </c>
      <c r="D315">
        <v>5</v>
      </c>
      <c r="E315">
        <v>3</v>
      </c>
      <c r="F315">
        <v>2</v>
      </c>
      <c r="G315">
        <v>1996</v>
      </c>
      <c r="H315" t="str">
        <f t="shared" si="13"/>
        <v>1976-2000</v>
      </c>
      <c r="I315" t="s">
        <v>14</v>
      </c>
      <c r="J315" t="s">
        <v>15</v>
      </c>
      <c r="K315" t="s">
        <v>16</v>
      </c>
      <c r="L315" s="4">
        <v>694467</v>
      </c>
      <c r="M315" t="str">
        <f t="shared" si="14"/>
        <v>Premium</v>
      </c>
    </row>
    <row r="316" spans="1:13" x14ac:dyDescent="0.35">
      <c r="A316">
        <v>315</v>
      </c>
      <c r="B316">
        <v>2991</v>
      </c>
      <c r="C316" t="str">
        <f t="shared" si="12"/>
        <v>Large</v>
      </c>
      <c r="D316">
        <v>4</v>
      </c>
      <c r="E316">
        <v>4</v>
      </c>
      <c r="F316">
        <v>3</v>
      </c>
      <c r="G316">
        <v>2010</v>
      </c>
      <c r="H316" t="str">
        <f t="shared" si="13"/>
        <v>Post-2000</v>
      </c>
      <c r="I316" t="s">
        <v>19</v>
      </c>
      <c r="J316" t="s">
        <v>15</v>
      </c>
      <c r="K316" t="s">
        <v>12</v>
      </c>
      <c r="L316" s="4">
        <v>297439</v>
      </c>
      <c r="M316" t="str">
        <f t="shared" si="14"/>
        <v>Medium</v>
      </c>
    </row>
    <row r="317" spans="1:13" x14ac:dyDescent="0.35">
      <c r="A317">
        <v>316</v>
      </c>
      <c r="B317">
        <v>3160</v>
      </c>
      <c r="C317" t="str">
        <f t="shared" si="12"/>
        <v>Large</v>
      </c>
      <c r="D317">
        <v>2</v>
      </c>
      <c r="E317">
        <v>3</v>
      </c>
      <c r="F317">
        <v>2</v>
      </c>
      <c r="G317">
        <v>1915</v>
      </c>
      <c r="H317" t="str">
        <f t="shared" si="13"/>
        <v>Pre-1950</v>
      </c>
      <c r="I317" t="s">
        <v>17</v>
      </c>
      <c r="J317" t="s">
        <v>18</v>
      </c>
      <c r="K317" t="s">
        <v>12</v>
      </c>
      <c r="L317" s="4">
        <v>694691</v>
      </c>
      <c r="M317" t="str">
        <f t="shared" si="14"/>
        <v>Premium</v>
      </c>
    </row>
    <row r="318" spans="1:13" x14ac:dyDescent="0.35">
      <c r="A318">
        <v>317</v>
      </c>
      <c r="B318">
        <v>3624</v>
      </c>
      <c r="C318" t="str">
        <f t="shared" si="12"/>
        <v>Large</v>
      </c>
      <c r="D318">
        <v>4</v>
      </c>
      <c r="E318">
        <v>4</v>
      </c>
      <c r="F318">
        <v>3</v>
      </c>
      <c r="G318">
        <v>1922</v>
      </c>
      <c r="H318" t="str">
        <f t="shared" si="13"/>
        <v>Pre-1950</v>
      </c>
      <c r="I318" t="s">
        <v>14</v>
      </c>
      <c r="J318" t="s">
        <v>11</v>
      </c>
      <c r="K318" t="s">
        <v>12</v>
      </c>
      <c r="L318" s="4">
        <v>978735</v>
      </c>
      <c r="M318" t="str">
        <f t="shared" si="14"/>
        <v>Premium</v>
      </c>
    </row>
    <row r="319" spans="1:13" x14ac:dyDescent="0.35">
      <c r="A319">
        <v>318</v>
      </c>
      <c r="B319">
        <v>3551</v>
      </c>
      <c r="C319" t="str">
        <f t="shared" si="12"/>
        <v>Large</v>
      </c>
      <c r="D319">
        <v>4</v>
      </c>
      <c r="E319">
        <v>3</v>
      </c>
      <c r="F319">
        <v>2</v>
      </c>
      <c r="G319">
        <v>1906</v>
      </c>
      <c r="H319" t="str">
        <f t="shared" si="13"/>
        <v>Pre-1950</v>
      </c>
      <c r="I319" t="s">
        <v>14</v>
      </c>
      <c r="J319" t="s">
        <v>13</v>
      </c>
      <c r="K319" t="s">
        <v>16</v>
      </c>
      <c r="L319" s="4">
        <v>145287</v>
      </c>
      <c r="M319" t="str">
        <f t="shared" si="14"/>
        <v>Low</v>
      </c>
    </row>
    <row r="320" spans="1:13" x14ac:dyDescent="0.35">
      <c r="A320">
        <v>319</v>
      </c>
      <c r="B320">
        <v>504</v>
      </c>
      <c r="C320" t="str">
        <f t="shared" si="12"/>
        <v>Small</v>
      </c>
      <c r="D320">
        <v>5</v>
      </c>
      <c r="E320">
        <v>2</v>
      </c>
      <c r="F320">
        <v>1</v>
      </c>
      <c r="G320">
        <v>1925</v>
      </c>
      <c r="H320" t="str">
        <f t="shared" si="13"/>
        <v>Pre-1950</v>
      </c>
      <c r="I320" t="s">
        <v>10</v>
      </c>
      <c r="J320" t="s">
        <v>15</v>
      </c>
      <c r="K320" t="s">
        <v>12</v>
      </c>
      <c r="L320" s="4">
        <v>169574</v>
      </c>
      <c r="M320" t="str">
        <f t="shared" si="14"/>
        <v>Low</v>
      </c>
    </row>
    <row r="321" spans="1:13" x14ac:dyDescent="0.35">
      <c r="A321">
        <v>320</v>
      </c>
      <c r="B321">
        <v>1376</v>
      </c>
      <c r="C321" t="str">
        <f t="shared" si="12"/>
        <v>Medium</v>
      </c>
      <c r="D321">
        <v>4</v>
      </c>
      <c r="E321">
        <v>2</v>
      </c>
      <c r="F321">
        <v>3</v>
      </c>
      <c r="G321">
        <v>1995</v>
      </c>
      <c r="H321" t="str">
        <f t="shared" si="13"/>
        <v>1976-2000</v>
      </c>
      <c r="I321" t="s">
        <v>14</v>
      </c>
      <c r="J321" t="s">
        <v>18</v>
      </c>
      <c r="K321" t="s">
        <v>16</v>
      </c>
      <c r="L321" s="4">
        <v>830751</v>
      </c>
      <c r="M321" t="str">
        <f t="shared" si="14"/>
        <v>Premium</v>
      </c>
    </row>
    <row r="322" spans="1:13" x14ac:dyDescent="0.35">
      <c r="A322">
        <v>321</v>
      </c>
      <c r="B322">
        <v>1491</v>
      </c>
      <c r="C322" t="str">
        <f t="shared" si="12"/>
        <v>Medium</v>
      </c>
      <c r="D322">
        <v>4</v>
      </c>
      <c r="E322">
        <v>3</v>
      </c>
      <c r="F322">
        <v>2</v>
      </c>
      <c r="G322">
        <v>1911</v>
      </c>
      <c r="H322" t="str">
        <f t="shared" si="13"/>
        <v>Pre-1950</v>
      </c>
      <c r="I322" t="s">
        <v>17</v>
      </c>
      <c r="J322" t="s">
        <v>15</v>
      </c>
      <c r="K322" t="s">
        <v>16</v>
      </c>
      <c r="L322" s="4">
        <v>171509</v>
      </c>
      <c r="M322" t="str">
        <f t="shared" si="14"/>
        <v>Low</v>
      </c>
    </row>
    <row r="323" spans="1:13" x14ac:dyDescent="0.35">
      <c r="A323">
        <v>322</v>
      </c>
      <c r="B323">
        <v>4642</v>
      </c>
      <c r="C323" t="str">
        <f t="shared" ref="C323:C386" si="15">IF(B323&lt;=1000,"Small",IF(B323&lt;=2500,"Medium",IF(B323&lt;=4000,"Large",IF(B323&gt;=4000,"Extra Large"))))</f>
        <v>Extra Large</v>
      </c>
      <c r="D323">
        <v>3</v>
      </c>
      <c r="E323">
        <v>3</v>
      </c>
      <c r="F323">
        <v>3</v>
      </c>
      <c r="G323">
        <v>1971</v>
      </c>
      <c r="H323" t="str">
        <f t="shared" ref="H323:H386" si="16">IF(G323&lt;=1950,"Pre-1950",IF(G323&lt;=1975,"1950-1975",IF(G323&lt;=2000,"1976-2000",IF(G323&gt;=2000,"Post-2000"))))</f>
        <v>1950-1975</v>
      </c>
      <c r="I323" t="s">
        <v>14</v>
      </c>
      <c r="J323" t="s">
        <v>11</v>
      </c>
      <c r="K323" t="s">
        <v>16</v>
      </c>
      <c r="L323" s="4">
        <v>397591</v>
      </c>
      <c r="M323" t="str">
        <f t="shared" ref="M323:M386" si="17">IF(L323&lt;=200000,"Low",IF(L323&lt;=400000,"Medium",IF(L323&lt;=600000,"High",IF(L323&gt;=600000,"Premium",""))))</f>
        <v>Medium</v>
      </c>
    </row>
    <row r="324" spans="1:13" x14ac:dyDescent="0.35">
      <c r="A324">
        <v>323</v>
      </c>
      <c r="B324">
        <v>4864</v>
      </c>
      <c r="C324" t="str">
        <f t="shared" si="15"/>
        <v>Extra Large</v>
      </c>
      <c r="D324">
        <v>5</v>
      </c>
      <c r="E324">
        <v>3</v>
      </c>
      <c r="F324">
        <v>3</v>
      </c>
      <c r="G324">
        <v>1904</v>
      </c>
      <c r="H324" t="str">
        <f t="shared" si="16"/>
        <v>Pre-1950</v>
      </c>
      <c r="I324" t="s">
        <v>19</v>
      </c>
      <c r="J324" t="s">
        <v>13</v>
      </c>
      <c r="K324" t="s">
        <v>12</v>
      </c>
      <c r="L324" s="4">
        <v>945954</v>
      </c>
      <c r="M324" t="str">
        <f t="shared" si="17"/>
        <v>Premium</v>
      </c>
    </row>
    <row r="325" spans="1:13" x14ac:dyDescent="0.35">
      <c r="A325">
        <v>324</v>
      </c>
      <c r="B325">
        <v>4965</v>
      </c>
      <c r="C325" t="str">
        <f t="shared" si="15"/>
        <v>Extra Large</v>
      </c>
      <c r="D325">
        <v>1</v>
      </c>
      <c r="E325">
        <v>4</v>
      </c>
      <c r="F325">
        <v>2</v>
      </c>
      <c r="G325">
        <v>2005</v>
      </c>
      <c r="H325" t="str">
        <f t="shared" si="16"/>
        <v>Post-2000</v>
      </c>
      <c r="I325" t="s">
        <v>14</v>
      </c>
      <c r="J325" t="s">
        <v>11</v>
      </c>
      <c r="K325" t="s">
        <v>12</v>
      </c>
      <c r="L325" s="4">
        <v>499181</v>
      </c>
      <c r="M325" t="str">
        <f t="shared" si="17"/>
        <v>High</v>
      </c>
    </row>
    <row r="326" spans="1:13" x14ac:dyDescent="0.35">
      <c r="A326">
        <v>325</v>
      </c>
      <c r="B326">
        <v>1135</v>
      </c>
      <c r="C326" t="str">
        <f t="shared" si="15"/>
        <v>Medium</v>
      </c>
      <c r="D326">
        <v>2</v>
      </c>
      <c r="E326">
        <v>2</v>
      </c>
      <c r="F326">
        <v>3</v>
      </c>
      <c r="G326">
        <v>1991</v>
      </c>
      <c r="H326" t="str">
        <f t="shared" si="16"/>
        <v>1976-2000</v>
      </c>
      <c r="I326" t="s">
        <v>14</v>
      </c>
      <c r="J326" t="s">
        <v>18</v>
      </c>
      <c r="K326" t="s">
        <v>16</v>
      </c>
      <c r="L326" s="4">
        <v>393288</v>
      </c>
      <c r="M326" t="str">
        <f t="shared" si="17"/>
        <v>Medium</v>
      </c>
    </row>
    <row r="327" spans="1:13" x14ac:dyDescent="0.35">
      <c r="A327">
        <v>326</v>
      </c>
      <c r="B327">
        <v>2193</v>
      </c>
      <c r="C327" t="str">
        <f t="shared" si="15"/>
        <v>Medium</v>
      </c>
      <c r="D327">
        <v>4</v>
      </c>
      <c r="E327">
        <v>4</v>
      </c>
      <c r="F327">
        <v>2</v>
      </c>
      <c r="G327">
        <v>2016</v>
      </c>
      <c r="H327" t="str">
        <f t="shared" si="16"/>
        <v>Post-2000</v>
      </c>
      <c r="I327" t="s">
        <v>19</v>
      </c>
      <c r="J327" t="s">
        <v>15</v>
      </c>
      <c r="K327" t="s">
        <v>16</v>
      </c>
      <c r="L327" s="4">
        <v>822793</v>
      </c>
      <c r="M327" t="str">
        <f t="shared" si="17"/>
        <v>Premium</v>
      </c>
    </row>
    <row r="328" spans="1:13" x14ac:dyDescent="0.35">
      <c r="A328">
        <v>327</v>
      </c>
      <c r="B328">
        <v>2182</v>
      </c>
      <c r="C328" t="str">
        <f t="shared" si="15"/>
        <v>Medium</v>
      </c>
      <c r="D328">
        <v>2</v>
      </c>
      <c r="E328">
        <v>2</v>
      </c>
      <c r="F328">
        <v>1</v>
      </c>
      <c r="G328">
        <v>1968</v>
      </c>
      <c r="H328" t="str">
        <f t="shared" si="16"/>
        <v>1950-1975</v>
      </c>
      <c r="I328" t="s">
        <v>14</v>
      </c>
      <c r="J328" t="s">
        <v>11</v>
      </c>
      <c r="K328" t="s">
        <v>16</v>
      </c>
      <c r="L328" s="4">
        <v>242589</v>
      </c>
      <c r="M328" t="str">
        <f t="shared" si="17"/>
        <v>Medium</v>
      </c>
    </row>
    <row r="329" spans="1:13" x14ac:dyDescent="0.35">
      <c r="A329">
        <v>328</v>
      </c>
      <c r="B329">
        <v>619</v>
      </c>
      <c r="C329" t="str">
        <f t="shared" si="15"/>
        <v>Small</v>
      </c>
      <c r="D329">
        <v>1</v>
      </c>
      <c r="E329">
        <v>1</v>
      </c>
      <c r="F329">
        <v>3</v>
      </c>
      <c r="G329">
        <v>1948</v>
      </c>
      <c r="H329" t="str">
        <f t="shared" si="16"/>
        <v>Pre-1950</v>
      </c>
      <c r="I329" t="s">
        <v>14</v>
      </c>
      <c r="J329" t="s">
        <v>18</v>
      </c>
      <c r="K329" t="s">
        <v>16</v>
      </c>
      <c r="L329" s="4">
        <v>929125</v>
      </c>
      <c r="M329" t="str">
        <f t="shared" si="17"/>
        <v>Premium</v>
      </c>
    </row>
    <row r="330" spans="1:13" x14ac:dyDescent="0.35">
      <c r="A330">
        <v>329</v>
      </c>
      <c r="B330">
        <v>1330</v>
      </c>
      <c r="C330" t="str">
        <f t="shared" si="15"/>
        <v>Medium</v>
      </c>
      <c r="D330">
        <v>2</v>
      </c>
      <c r="E330">
        <v>4</v>
      </c>
      <c r="F330">
        <v>1</v>
      </c>
      <c r="G330">
        <v>1925</v>
      </c>
      <c r="H330" t="str">
        <f t="shared" si="16"/>
        <v>Pre-1950</v>
      </c>
      <c r="I330" t="s">
        <v>10</v>
      </c>
      <c r="J330" t="s">
        <v>15</v>
      </c>
      <c r="K330" t="s">
        <v>12</v>
      </c>
      <c r="L330" s="4">
        <v>406459</v>
      </c>
      <c r="M330" t="str">
        <f t="shared" si="17"/>
        <v>High</v>
      </c>
    </row>
    <row r="331" spans="1:13" x14ac:dyDescent="0.35">
      <c r="A331">
        <v>330</v>
      </c>
      <c r="B331">
        <v>4175</v>
      </c>
      <c r="C331" t="str">
        <f t="shared" si="15"/>
        <v>Extra Large</v>
      </c>
      <c r="D331">
        <v>1</v>
      </c>
      <c r="E331">
        <v>2</v>
      </c>
      <c r="F331">
        <v>3</v>
      </c>
      <c r="G331">
        <v>1904</v>
      </c>
      <c r="H331" t="str">
        <f t="shared" si="16"/>
        <v>Pre-1950</v>
      </c>
      <c r="I331" t="s">
        <v>17</v>
      </c>
      <c r="J331" t="s">
        <v>13</v>
      </c>
      <c r="K331" t="s">
        <v>16</v>
      </c>
      <c r="L331" s="4">
        <v>538720</v>
      </c>
      <c r="M331" t="str">
        <f t="shared" si="17"/>
        <v>High</v>
      </c>
    </row>
    <row r="332" spans="1:13" x14ac:dyDescent="0.35">
      <c r="A332">
        <v>331</v>
      </c>
      <c r="B332">
        <v>1869</v>
      </c>
      <c r="C332" t="str">
        <f t="shared" si="15"/>
        <v>Medium</v>
      </c>
      <c r="D332">
        <v>3</v>
      </c>
      <c r="E332">
        <v>2</v>
      </c>
      <c r="F332">
        <v>3</v>
      </c>
      <c r="G332">
        <v>1921</v>
      </c>
      <c r="H332" t="str">
        <f t="shared" si="16"/>
        <v>Pre-1950</v>
      </c>
      <c r="I332" t="s">
        <v>10</v>
      </c>
      <c r="J332" t="s">
        <v>11</v>
      </c>
      <c r="K332" t="s">
        <v>12</v>
      </c>
      <c r="L332" s="4">
        <v>863819</v>
      </c>
      <c r="M332" t="str">
        <f t="shared" si="17"/>
        <v>Premium</v>
      </c>
    </row>
    <row r="333" spans="1:13" x14ac:dyDescent="0.35">
      <c r="A333">
        <v>332</v>
      </c>
      <c r="B333">
        <v>1240</v>
      </c>
      <c r="C333" t="str">
        <f t="shared" si="15"/>
        <v>Medium</v>
      </c>
      <c r="D333">
        <v>4</v>
      </c>
      <c r="E333">
        <v>4</v>
      </c>
      <c r="F333">
        <v>3</v>
      </c>
      <c r="G333">
        <v>1978</v>
      </c>
      <c r="H333" t="str">
        <f t="shared" si="16"/>
        <v>1976-2000</v>
      </c>
      <c r="I333" t="s">
        <v>17</v>
      </c>
      <c r="J333" t="s">
        <v>15</v>
      </c>
      <c r="K333" t="s">
        <v>16</v>
      </c>
      <c r="L333" s="4">
        <v>54090</v>
      </c>
      <c r="M333" t="str">
        <f t="shared" si="17"/>
        <v>Low</v>
      </c>
    </row>
    <row r="334" spans="1:13" x14ac:dyDescent="0.35">
      <c r="A334">
        <v>333</v>
      </c>
      <c r="B334">
        <v>616</v>
      </c>
      <c r="C334" t="str">
        <f t="shared" si="15"/>
        <v>Small</v>
      </c>
      <c r="D334">
        <v>1</v>
      </c>
      <c r="E334">
        <v>4</v>
      </c>
      <c r="F334">
        <v>2</v>
      </c>
      <c r="G334">
        <v>1912</v>
      </c>
      <c r="H334" t="str">
        <f t="shared" si="16"/>
        <v>Pre-1950</v>
      </c>
      <c r="I334" t="s">
        <v>19</v>
      </c>
      <c r="J334" t="s">
        <v>15</v>
      </c>
      <c r="K334" t="s">
        <v>12</v>
      </c>
      <c r="L334" s="4">
        <v>957278</v>
      </c>
      <c r="M334" t="str">
        <f t="shared" si="17"/>
        <v>Premium</v>
      </c>
    </row>
    <row r="335" spans="1:13" x14ac:dyDescent="0.35">
      <c r="A335">
        <v>334</v>
      </c>
      <c r="B335">
        <v>3338</v>
      </c>
      <c r="C335" t="str">
        <f t="shared" si="15"/>
        <v>Large</v>
      </c>
      <c r="D335">
        <v>2</v>
      </c>
      <c r="E335">
        <v>2</v>
      </c>
      <c r="F335">
        <v>1</v>
      </c>
      <c r="G335">
        <v>1927</v>
      </c>
      <c r="H335" t="str">
        <f t="shared" si="16"/>
        <v>Pre-1950</v>
      </c>
      <c r="I335" t="s">
        <v>19</v>
      </c>
      <c r="J335" t="s">
        <v>15</v>
      </c>
      <c r="K335" t="s">
        <v>16</v>
      </c>
      <c r="L335" s="4">
        <v>468161</v>
      </c>
      <c r="M335" t="str">
        <f t="shared" si="17"/>
        <v>High</v>
      </c>
    </row>
    <row r="336" spans="1:13" x14ac:dyDescent="0.35">
      <c r="A336">
        <v>335</v>
      </c>
      <c r="B336">
        <v>1650</v>
      </c>
      <c r="C336" t="str">
        <f t="shared" si="15"/>
        <v>Medium</v>
      </c>
      <c r="D336">
        <v>4</v>
      </c>
      <c r="E336">
        <v>4</v>
      </c>
      <c r="F336">
        <v>3</v>
      </c>
      <c r="G336">
        <v>1932</v>
      </c>
      <c r="H336" t="str">
        <f t="shared" si="16"/>
        <v>Pre-1950</v>
      </c>
      <c r="I336" t="s">
        <v>19</v>
      </c>
      <c r="J336" t="s">
        <v>15</v>
      </c>
      <c r="K336" t="s">
        <v>12</v>
      </c>
      <c r="L336" s="4">
        <v>876671</v>
      </c>
      <c r="M336" t="str">
        <f t="shared" si="17"/>
        <v>Premium</v>
      </c>
    </row>
    <row r="337" spans="1:13" x14ac:dyDescent="0.35">
      <c r="A337">
        <v>336</v>
      </c>
      <c r="B337">
        <v>2431</v>
      </c>
      <c r="C337" t="str">
        <f t="shared" si="15"/>
        <v>Medium</v>
      </c>
      <c r="D337">
        <v>3</v>
      </c>
      <c r="E337">
        <v>3</v>
      </c>
      <c r="F337">
        <v>2</v>
      </c>
      <c r="G337">
        <v>2006</v>
      </c>
      <c r="H337" t="str">
        <f t="shared" si="16"/>
        <v>Post-2000</v>
      </c>
      <c r="I337" t="s">
        <v>17</v>
      </c>
      <c r="J337" t="s">
        <v>11</v>
      </c>
      <c r="K337" t="s">
        <v>12</v>
      </c>
      <c r="L337" s="4">
        <v>53743</v>
      </c>
      <c r="M337" t="str">
        <f t="shared" si="17"/>
        <v>Low</v>
      </c>
    </row>
    <row r="338" spans="1:13" x14ac:dyDescent="0.35">
      <c r="A338">
        <v>337</v>
      </c>
      <c r="B338">
        <v>1512</v>
      </c>
      <c r="C338" t="str">
        <f t="shared" si="15"/>
        <v>Medium</v>
      </c>
      <c r="D338">
        <v>4</v>
      </c>
      <c r="E338">
        <v>4</v>
      </c>
      <c r="F338">
        <v>3</v>
      </c>
      <c r="G338">
        <v>1922</v>
      </c>
      <c r="H338" t="str">
        <f t="shared" si="16"/>
        <v>Pre-1950</v>
      </c>
      <c r="I338" t="s">
        <v>17</v>
      </c>
      <c r="J338" t="s">
        <v>15</v>
      </c>
      <c r="K338" t="s">
        <v>12</v>
      </c>
      <c r="L338" s="4">
        <v>80924</v>
      </c>
      <c r="M338" t="str">
        <f t="shared" si="17"/>
        <v>Low</v>
      </c>
    </row>
    <row r="339" spans="1:13" x14ac:dyDescent="0.35">
      <c r="A339">
        <v>338</v>
      </c>
      <c r="B339">
        <v>2164</v>
      </c>
      <c r="C339" t="str">
        <f t="shared" si="15"/>
        <v>Medium</v>
      </c>
      <c r="D339">
        <v>1</v>
      </c>
      <c r="E339">
        <v>4</v>
      </c>
      <c r="F339">
        <v>2</v>
      </c>
      <c r="G339">
        <v>1996</v>
      </c>
      <c r="H339" t="str">
        <f t="shared" si="16"/>
        <v>1976-2000</v>
      </c>
      <c r="I339" t="s">
        <v>17</v>
      </c>
      <c r="J339" t="s">
        <v>18</v>
      </c>
      <c r="K339" t="s">
        <v>16</v>
      </c>
      <c r="L339" s="4">
        <v>191268</v>
      </c>
      <c r="M339" t="str">
        <f t="shared" si="17"/>
        <v>Low</v>
      </c>
    </row>
    <row r="340" spans="1:13" x14ac:dyDescent="0.35">
      <c r="A340">
        <v>339</v>
      </c>
      <c r="B340">
        <v>1581</v>
      </c>
      <c r="C340" t="str">
        <f t="shared" si="15"/>
        <v>Medium</v>
      </c>
      <c r="D340">
        <v>3</v>
      </c>
      <c r="E340">
        <v>4</v>
      </c>
      <c r="F340">
        <v>3</v>
      </c>
      <c r="G340">
        <v>2006</v>
      </c>
      <c r="H340" t="str">
        <f t="shared" si="16"/>
        <v>Post-2000</v>
      </c>
      <c r="I340" t="s">
        <v>19</v>
      </c>
      <c r="J340" t="s">
        <v>11</v>
      </c>
      <c r="K340" t="s">
        <v>12</v>
      </c>
      <c r="L340" s="4">
        <v>966592</v>
      </c>
      <c r="M340" t="str">
        <f t="shared" si="17"/>
        <v>Premium</v>
      </c>
    </row>
    <row r="341" spans="1:13" x14ac:dyDescent="0.35">
      <c r="A341">
        <v>340</v>
      </c>
      <c r="B341">
        <v>1012</v>
      </c>
      <c r="C341" t="str">
        <f t="shared" si="15"/>
        <v>Medium</v>
      </c>
      <c r="D341">
        <v>2</v>
      </c>
      <c r="E341">
        <v>2</v>
      </c>
      <c r="F341">
        <v>1</v>
      </c>
      <c r="G341">
        <v>1917</v>
      </c>
      <c r="H341" t="str">
        <f t="shared" si="16"/>
        <v>Pre-1950</v>
      </c>
      <c r="I341" t="s">
        <v>17</v>
      </c>
      <c r="J341" t="s">
        <v>15</v>
      </c>
      <c r="K341" t="s">
        <v>16</v>
      </c>
      <c r="L341" s="4">
        <v>928247</v>
      </c>
      <c r="M341" t="str">
        <f t="shared" si="17"/>
        <v>Premium</v>
      </c>
    </row>
    <row r="342" spans="1:13" x14ac:dyDescent="0.35">
      <c r="A342">
        <v>341</v>
      </c>
      <c r="B342">
        <v>3349</v>
      </c>
      <c r="C342" t="str">
        <f t="shared" si="15"/>
        <v>Large</v>
      </c>
      <c r="D342">
        <v>3</v>
      </c>
      <c r="E342">
        <v>3</v>
      </c>
      <c r="F342">
        <v>1</v>
      </c>
      <c r="G342">
        <v>2013</v>
      </c>
      <c r="H342" t="str">
        <f t="shared" si="16"/>
        <v>Post-2000</v>
      </c>
      <c r="I342" t="s">
        <v>14</v>
      </c>
      <c r="J342" t="s">
        <v>11</v>
      </c>
      <c r="K342" t="s">
        <v>12</v>
      </c>
      <c r="L342" s="4">
        <v>679600</v>
      </c>
      <c r="M342" t="str">
        <f t="shared" si="17"/>
        <v>Premium</v>
      </c>
    </row>
    <row r="343" spans="1:13" x14ac:dyDescent="0.35">
      <c r="A343">
        <v>342</v>
      </c>
      <c r="B343">
        <v>1059</v>
      </c>
      <c r="C343" t="str">
        <f t="shared" si="15"/>
        <v>Medium</v>
      </c>
      <c r="D343">
        <v>3</v>
      </c>
      <c r="E343">
        <v>1</v>
      </c>
      <c r="F343">
        <v>3</v>
      </c>
      <c r="G343">
        <v>2016</v>
      </c>
      <c r="H343" t="str">
        <f t="shared" si="16"/>
        <v>Post-2000</v>
      </c>
      <c r="I343" t="s">
        <v>10</v>
      </c>
      <c r="J343" t="s">
        <v>18</v>
      </c>
      <c r="K343" t="s">
        <v>12</v>
      </c>
      <c r="L343" s="4">
        <v>381004</v>
      </c>
      <c r="M343" t="str">
        <f t="shared" si="17"/>
        <v>Medium</v>
      </c>
    </row>
    <row r="344" spans="1:13" x14ac:dyDescent="0.35">
      <c r="A344">
        <v>343</v>
      </c>
      <c r="B344">
        <v>4172</v>
      </c>
      <c r="C344" t="str">
        <f t="shared" si="15"/>
        <v>Extra Large</v>
      </c>
      <c r="D344">
        <v>5</v>
      </c>
      <c r="E344">
        <v>1</v>
      </c>
      <c r="F344">
        <v>2</v>
      </c>
      <c r="G344">
        <v>1929</v>
      </c>
      <c r="H344" t="str">
        <f t="shared" si="16"/>
        <v>Pre-1950</v>
      </c>
      <c r="I344" t="s">
        <v>19</v>
      </c>
      <c r="J344" t="s">
        <v>18</v>
      </c>
      <c r="K344" t="s">
        <v>16</v>
      </c>
      <c r="L344" s="4">
        <v>790537</v>
      </c>
      <c r="M344" t="str">
        <f t="shared" si="17"/>
        <v>Premium</v>
      </c>
    </row>
    <row r="345" spans="1:13" x14ac:dyDescent="0.35">
      <c r="A345">
        <v>344</v>
      </c>
      <c r="B345">
        <v>3843</v>
      </c>
      <c r="C345" t="str">
        <f t="shared" si="15"/>
        <v>Large</v>
      </c>
      <c r="D345">
        <v>3</v>
      </c>
      <c r="E345">
        <v>3</v>
      </c>
      <c r="F345">
        <v>3</v>
      </c>
      <c r="G345">
        <v>1925</v>
      </c>
      <c r="H345" t="str">
        <f t="shared" si="16"/>
        <v>Pre-1950</v>
      </c>
      <c r="I345" t="s">
        <v>10</v>
      </c>
      <c r="J345" t="s">
        <v>11</v>
      </c>
      <c r="K345" t="s">
        <v>12</v>
      </c>
      <c r="L345" s="4">
        <v>798378</v>
      </c>
      <c r="M345" t="str">
        <f t="shared" si="17"/>
        <v>Premium</v>
      </c>
    </row>
    <row r="346" spans="1:13" x14ac:dyDescent="0.35">
      <c r="A346">
        <v>345</v>
      </c>
      <c r="B346">
        <v>4570</v>
      </c>
      <c r="C346" t="str">
        <f t="shared" si="15"/>
        <v>Extra Large</v>
      </c>
      <c r="D346">
        <v>3</v>
      </c>
      <c r="E346">
        <v>3</v>
      </c>
      <c r="F346">
        <v>2</v>
      </c>
      <c r="G346">
        <v>1915</v>
      </c>
      <c r="H346" t="str">
        <f t="shared" si="16"/>
        <v>Pre-1950</v>
      </c>
      <c r="I346" t="s">
        <v>14</v>
      </c>
      <c r="J346" t="s">
        <v>15</v>
      </c>
      <c r="K346" t="s">
        <v>12</v>
      </c>
      <c r="L346" s="4">
        <v>279602</v>
      </c>
      <c r="M346" t="str">
        <f t="shared" si="17"/>
        <v>Medium</v>
      </c>
    </row>
    <row r="347" spans="1:13" x14ac:dyDescent="0.35">
      <c r="A347">
        <v>346</v>
      </c>
      <c r="B347">
        <v>1970</v>
      </c>
      <c r="C347" t="str">
        <f t="shared" si="15"/>
        <v>Medium</v>
      </c>
      <c r="D347">
        <v>4</v>
      </c>
      <c r="E347">
        <v>3</v>
      </c>
      <c r="F347">
        <v>3</v>
      </c>
      <c r="G347">
        <v>1976</v>
      </c>
      <c r="H347" t="str">
        <f t="shared" si="16"/>
        <v>1976-2000</v>
      </c>
      <c r="I347" t="s">
        <v>17</v>
      </c>
      <c r="J347" t="s">
        <v>15</v>
      </c>
      <c r="K347" t="s">
        <v>16</v>
      </c>
      <c r="L347" s="4">
        <v>392543</v>
      </c>
      <c r="M347" t="str">
        <f t="shared" si="17"/>
        <v>Medium</v>
      </c>
    </row>
    <row r="348" spans="1:13" x14ac:dyDescent="0.35">
      <c r="A348">
        <v>347</v>
      </c>
      <c r="B348">
        <v>1080</v>
      </c>
      <c r="C348" t="str">
        <f t="shared" si="15"/>
        <v>Medium</v>
      </c>
      <c r="D348">
        <v>2</v>
      </c>
      <c r="E348">
        <v>2</v>
      </c>
      <c r="F348">
        <v>2</v>
      </c>
      <c r="G348">
        <v>1938</v>
      </c>
      <c r="H348" t="str">
        <f t="shared" si="16"/>
        <v>Pre-1950</v>
      </c>
      <c r="I348" t="s">
        <v>10</v>
      </c>
      <c r="J348" t="s">
        <v>18</v>
      </c>
      <c r="K348" t="s">
        <v>12</v>
      </c>
      <c r="L348" s="4">
        <v>885227</v>
      </c>
      <c r="M348" t="str">
        <f t="shared" si="17"/>
        <v>Premium</v>
      </c>
    </row>
    <row r="349" spans="1:13" x14ac:dyDescent="0.35">
      <c r="A349">
        <v>348</v>
      </c>
      <c r="B349">
        <v>2794</v>
      </c>
      <c r="C349" t="str">
        <f t="shared" si="15"/>
        <v>Large</v>
      </c>
      <c r="D349">
        <v>4</v>
      </c>
      <c r="E349">
        <v>1</v>
      </c>
      <c r="F349">
        <v>1</v>
      </c>
      <c r="G349">
        <v>1932</v>
      </c>
      <c r="H349" t="str">
        <f t="shared" si="16"/>
        <v>Pre-1950</v>
      </c>
      <c r="I349" t="s">
        <v>14</v>
      </c>
      <c r="J349" t="s">
        <v>15</v>
      </c>
      <c r="K349" t="s">
        <v>12</v>
      </c>
      <c r="L349" s="4">
        <v>887985</v>
      </c>
      <c r="M349" t="str">
        <f t="shared" si="17"/>
        <v>Premium</v>
      </c>
    </row>
    <row r="350" spans="1:13" x14ac:dyDescent="0.35">
      <c r="A350">
        <v>349</v>
      </c>
      <c r="B350">
        <v>3647</v>
      </c>
      <c r="C350" t="str">
        <f t="shared" si="15"/>
        <v>Large</v>
      </c>
      <c r="D350">
        <v>4</v>
      </c>
      <c r="E350">
        <v>3</v>
      </c>
      <c r="F350">
        <v>3</v>
      </c>
      <c r="G350">
        <v>1925</v>
      </c>
      <c r="H350" t="str">
        <f t="shared" si="16"/>
        <v>Pre-1950</v>
      </c>
      <c r="I350" t="s">
        <v>14</v>
      </c>
      <c r="J350" t="s">
        <v>18</v>
      </c>
      <c r="K350" t="s">
        <v>12</v>
      </c>
      <c r="L350" s="4">
        <v>558928</v>
      </c>
      <c r="M350" t="str">
        <f t="shared" si="17"/>
        <v>High</v>
      </c>
    </row>
    <row r="351" spans="1:13" x14ac:dyDescent="0.35">
      <c r="A351">
        <v>350</v>
      </c>
      <c r="B351">
        <v>4749</v>
      </c>
      <c r="C351" t="str">
        <f t="shared" si="15"/>
        <v>Extra Large</v>
      </c>
      <c r="D351">
        <v>1</v>
      </c>
      <c r="E351">
        <v>2</v>
      </c>
      <c r="F351">
        <v>1</v>
      </c>
      <c r="G351">
        <v>1947</v>
      </c>
      <c r="H351" t="str">
        <f t="shared" si="16"/>
        <v>Pre-1950</v>
      </c>
      <c r="I351" t="s">
        <v>10</v>
      </c>
      <c r="J351" t="s">
        <v>15</v>
      </c>
      <c r="K351" t="s">
        <v>12</v>
      </c>
      <c r="L351" s="4">
        <v>153976</v>
      </c>
      <c r="M351" t="str">
        <f t="shared" si="17"/>
        <v>Low</v>
      </c>
    </row>
    <row r="352" spans="1:13" x14ac:dyDescent="0.35">
      <c r="A352">
        <v>351</v>
      </c>
      <c r="B352">
        <v>2179</v>
      </c>
      <c r="C352" t="str">
        <f t="shared" si="15"/>
        <v>Medium</v>
      </c>
      <c r="D352">
        <v>4</v>
      </c>
      <c r="E352">
        <v>1</v>
      </c>
      <c r="F352">
        <v>1</v>
      </c>
      <c r="G352">
        <v>1964</v>
      </c>
      <c r="H352" t="str">
        <f t="shared" si="16"/>
        <v>1950-1975</v>
      </c>
      <c r="I352" t="s">
        <v>19</v>
      </c>
      <c r="J352" t="s">
        <v>18</v>
      </c>
      <c r="K352" t="s">
        <v>16</v>
      </c>
      <c r="L352" s="4">
        <v>205183</v>
      </c>
      <c r="M352" t="str">
        <f t="shared" si="17"/>
        <v>Medium</v>
      </c>
    </row>
    <row r="353" spans="1:13" x14ac:dyDescent="0.35">
      <c r="A353">
        <v>352</v>
      </c>
      <c r="B353">
        <v>4006</v>
      </c>
      <c r="C353" t="str">
        <f t="shared" si="15"/>
        <v>Extra Large</v>
      </c>
      <c r="D353">
        <v>5</v>
      </c>
      <c r="E353">
        <v>4</v>
      </c>
      <c r="F353">
        <v>3</v>
      </c>
      <c r="G353">
        <v>2012</v>
      </c>
      <c r="H353" t="str">
        <f t="shared" si="16"/>
        <v>Post-2000</v>
      </c>
      <c r="I353" t="s">
        <v>10</v>
      </c>
      <c r="J353" t="s">
        <v>13</v>
      </c>
      <c r="K353" t="s">
        <v>12</v>
      </c>
      <c r="L353" s="4">
        <v>687854</v>
      </c>
      <c r="M353" t="str">
        <f t="shared" si="17"/>
        <v>Premium</v>
      </c>
    </row>
    <row r="354" spans="1:13" x14ac:dyDescent="0.35">
      <c r="A354">
        <v>353</v>
      </c>
      <c r="B354">
        <v>3244</v>
      </c>
      <c r="C354" t="str">
        <f t="shared" si="15"/>
        <v>Large</v>
      </c>
      <c r="D354">
        <v>5</v>
      </c>
      <c r="E354">
        <v>2</v>
      </c>
      <c r="F354">
        <v>3</v>
      </c>
      <c r="G354">
        <v>1937</v>
      </c>
      <c r="H354" t="str">
        <f t="shared" si="16"/>
        <v>Pre-1950</v>
      </c>
      <c r="I354" t="s">
        <v>19</v>
      </c>
      <c r="J354" t="s">
        <v>15</v>
      </c>
      <c r="K354" t="s">
        <v>12</v>
      </c>
      <c r="L354" s="4">
        <v>307443</v>
      </c>
      <c r="M354" t="str">
        <f t="shared" si="17"/>
        <v>Medium</v>
      </c>
    </row>
    <row r="355" spans="1:13" x14ac:dyDescent="0.35">
      <c r="A355">
        <v>354</v>
      </c>
      <c r="B355">
        <v>3856</v>
      </c>
      <c r="C355" t="str">
        <f t="shared" si="15"/>
        <v>Large</v>
      </c>
      <c r="D355">
        <v>1</v>
      </c>
      <c r="E355">
        <v>1</v>
      </c>
      <c r="F355">
        <v>2</v>
      </c>
      <c r="G355">
        <v>1901</v>
      </c>
      <c r="H355" t="str">
        <f t="shared" si="16"/>
        <v>Pre-1950</v>
      </c>
      <c r="I355" t="s">
        <v>17</v>
      </c>
      <c r="J355" t="s">
        <v>15</v>
      </c>
      <c r="K355" t="s">
        <v>12</v>
      </c>
      <c r="L355" s="4">
        <v>694256</v>
      </c>
      <c r="M355" t="str">
        <f t="shared" si="17"/>
        <v>Premium</v>
      </c>
    </row>
    <row r="356" spans="1:13" x14ac:dyDescent="0.35">
      <c r="A356">
        <v>355</v>
      </c>
      <c r="B356">
        <v>4545</v>
      </c>
      <c r="C356" t="str">
        <f t="shared" si="15"/>
        <v>Extra Large</v>
      </c>
      <c r="D356">
        <v>2</v>
      </c>
      <c r="E356">
        <v>2</v>
      </c>
      <c r="F356">
        <v>2</v>
      </c>
      <c r="G356">
        <v>2012</v>
      </c>
      <c r="H356" t="str">
        <f t="shared" si="16"/>
        <v>Post-2000</v>
      </c>
      <c r="I356" t="s">
        <v>19</v>
      </c>
      <c r="J356" t="s">
        <v>15</v>
      </c>
      <c r="K356" t="s">
        <v>12</v>
      </c>
      <c r="L356" s="4">
        <v>111600</v>
      </c>
      <c r="M356" t="str">
        <f t="shared" si="17"/>
        <v>Low</v>
      </c>
    </row>
    <row r="357" spans="1:13" x14ac:dyDescent="0.35">
      <c r="A357">
        <v>356</v>
      </c>
      <c r="B357">
        <v>1743</v>
      </c>
      <c r="C357" t="str">
        <f t="shared" si="15"/>
        <v>Medium</v>
      </c>
      <c r="D357">
        <v>2</v>
      </c>
      <c r="E357">
        <v>1</v>
      </c>
      <c r="F357">
        <v>1</v>
      </c>
      <c r="G357">
        <v>1905</v>
      </c>
      <c r="H357" t="str">
        <f t="shared" si="16"/>
        <v>Pre-1950</v>
      </c>
      <c r="I357" t="s">
        <v>17</v>
      </c>
      <c r="J357" t="s">
        <v>11</v>
      </c>
      <c r="K357" t="s">
        <v>12</v>
      </c>
      <c r="L357" s="4">
        <v>624310</v>
      </c>
      <c r="M357" t="str">
        <f t="shared" si="17"/>
        <v>Premium</v>
      </c>
    </row>
    <row r="358" spans="1:13" x14ac:dyDescent="0.35">
      <c r="A358">
        <v>357</v>
      </c>
      <c r="B358">
        <v>3618</v>
      </c>
      <c r="C358" t="str">
        <f t="shared" si="15"/>
        <v>Large</v>
      </c>
      <c r="D358">
        <v>4</v>
      </c>
      <c r="E358">
        <v>1</v>
      </c>
      <c r="F358">
        <v>2</v>
      </c>
      <c r="G358">
        <v>1945</v>
      </c>
      <c r="H358" t="str">
        <f t="shared" si="16"/>
        <v>Pre-1950</v>
      </c>
      <c r="I358" t="s">
        <v>10</v>
      </c>
      <c r="J358" t="s">
        <v>15</v>
      </c>
      <c r="K358" t="s">
        <v>12</v>
      </c>
      <c r="L358" s="4">
        <v>708559</v>
      </c>
      <c r="M358" t="str">
        <f t="shared" si="17"/>
        <v>Premium</v>
      </c>
    </row>
    <row r="359" spans="1:13" x14ac:dyDescent="0.35">
      <c r="A359">
        <v>358</v>
      </c>
      <c r="B359">
        <v>2641</v>
      </c>
      <c r="C359" t="str">
        <f t="shared" si="15"/>
        <v>Large</v>
      </c>
      <c r="D359">
        <v>4</v>
      </c>
      <c r="E359">
        <v>4</v>
      </c>
      <c r="F359">
        <v>2</v>
      </c>
      <c r="G359">
        <v>1949</v>
      </c>
      <c r="H359" t="str">
        <f t="shared" si="16"/>
        <v>Pre-1950</v>
      </c>
      <c r="I359" t="s">
        <v>17</v>
      </c>
      <c r="J359" t="s">
        <v>11</v>
      </c>
      <c r="K359" t="s">
        <v>12</v>
      </c>
      <c r="L359" s="4">
        <v>887329</v>
      </c>
      <c r="M359" t="str">
        <f t="shared" si="17"/>
        <v>Premium</v>
      </c>
    </row>
    <row r="360" spans="1:13" x14ac:dyDescent="0.35">
      <c r="A360">
        <v>359</v>
      </c>
      <c r="B360">
        <v>3559</v>
      </c>
      <c r="C360" t="str">
        <f t="shared" si="15"/>
        <v>Large</v>
      </c>
      <c r="D360">
        <v>4</v>
      </c>
      <c r="E360">
        <v>2</v>
      </c>
      <c r="F360">
        <v>3</v>
      </c>
      <c r="G360">
        <v>1937</v>
      </c>
      <c r="H360" t="str">
        <f t="shared" si="16"/>
        <v>Pre-1950</v>
      </c>
      <c r="I360" t="s">
        <v>14</v>
      </c>
      <c r="J360" t="s">
        <v>11</v>
      </c>
      <c r="K360" t="s">
        <v>12</v>
      </c>
      <c r="L360" s="4">
        <v>874470</v>
      </c>
      <c r="M360" t="str">
        <f t="shared" si="17"/>
        <v>Premium</v>
      </c>
    </row>
    <row r="361" spans="1:13" x14ac:dyDescent="0.35">
      <c r="A361">
        <v>360</v>
      </c>
      <c r="B361">
        <v>3459</v>
      </c>
      <c r="C361" t="str">
        <f t="shared" si="15"/>
        <v>Large</v>
      </c>
      <c r="D361">
        <v>2</v>
      </c>
      <c r="E361">
        <v>3</v>
      </c>
      <c r="F361">
        <v>2</v>
      </c>
      <c r="G361">
        <v>2005</v>
      </c>
      <c r="H361" t="str">
        <f t="shared" si="16"/>
        <v>Post-2000</v>
      </c>
      <c r="I361" t="s">
        <v>17</v>
      </c>
      <c r="J361" t="s">
        <v>18</v>
      </c>
      <c r="K361" t="s">
        <v>16</v>
      </c>
      <c r="L361" s="4">
        <v>173323</v>
      </c>
      <c r="M361" t="str">
        <f t="shared" si="17"/>
        <v>Low</v>
      </c>
    </row>
    <row r="362" spans="1:13" x14ac:dyDescent="0.35">
      <c r="A362">
        <v>361</v>
      </c>
      <c r="B362">
        <v>2765</v>
      </c>
      <c r="C362" t="str">
        <f t="shared" si="15"/>
        <v>Large</v>
      </c>
      <c r="D362">
        <v>3</v>
      </c>
      <c r="E362">
        <v>4</v>
      </c>
      <c r="F362">
        <v>1</v>
      </c>
      <c r="G362">
        <v>1987</v>
      </c>
      <c r="H362" t="str">
        <f t="shared" si="16"/>
        <v>1976-2000</v>
      </c>
      <c r="I362" t="s">
        <v>19</v>
      </c>
      <c r="J362" t="s">
        <v>11</v>
      </c>
      <c r="K362" t="s">
        <v>16</v>
      </c>
      <c r="L362" s="4">
        <v>236110</v>
      </c>
      <c r="M362" t="str">
        <f t="shared" si="17"/>
        <v>Medium</v>
      </c>
    </row>
    <row r="363" spans="1:13" x14ac:dyDescent="0.35">
      <c r="A363">
        <v>362</v>
      </c>
      <c r="B363">
        <v>2979</v>
      </c>
      <c r="C363" t="str">
        <f t="shared" si="15"/>
        <v>Large</v>
      </c>
      <c r="D363">
        <v>5</v>
      </c>
      <c r="E363">
        <v>4</v>
      </c>
      <c r="F363">
        <v>2</v>
      </c>
      <c r="G363">
        <v>1917</v>
      </c>
      <c r="H363" t="str">
        <f t="shared" si="16"/>
        <v>Pre-1950</v>
      </c>
      <c r="I363" t="s">
        <v>19</v>
      </c>
      <c r="J363" t="s">
        <v>11</v>
      </c>
      <c r="K363" t="s">
        <v>16</v>
      </c>
      <c r="L363" s="4">
        <v>694566</v>
      </c>
      <c r="M363" t="str">
        <f t="shared" si="17"/>
        <v>Premium</v>
      </c>
    </row>
    <row r="364" spans="1:13" x14ac:dyDescent="0.35">
      <c r="A364">
        <v>363</v>
      </c>
      <c r="B364">
        <v>2135</v>
      </c>
      <c r="C364" t="str">
        <f t="shared" si="15"/>
        <v>Medium</v>
      </c>
      <c r="D364">
        <v>3</v>
      </c>
      <c r="E364">
        <v>1</v>
      </c>
      <c r="F364">
        <v>1</v>
      </c>
      <c r="G364">
        <v>1926</v>
      </c>
      <c r="H364" t="str">
        <f t="shared" si="16"/>
        <v>Pre-1950</v>
      </c>
      <c r="I364" t="s">
        <v>19</v>
      </c>
      <c r="J364" t="s">
        <v>13</v>
      </c>
      <c r="K364" t="s">
        <v>16</v>
      </c>
      <c r="L364" s="4">
        <v>947486</v>
      </c>
      <c r="M364" t="str">
        <f t="shared" si="17"/>
        <v>Premium</v>
      </c>
    </row>
    <row r="365" spans="1:13" x14ac:dyDescent="0.35">
      <c r="A365">
        <v>364</v>
      </c>
      <c r="B365">
        <v>2257</v>
      </c>
      <c r="C365" t="str">
        <f t="shared" si="15"/>
        <v>Medium</v>
      </c>
      <c r="D365">
        <v>3</v>
      </c>
      <c r="E365">
        <v>3</v>
      </c>
      <c r="F365">
        <v>3</v>
      </c>
      <c r="G365">
        <v>1940</v>
      </c>
      <c r="H365" t="str">
        <f t="shared" si="16"/>
        <v>Pre-1950</v>
      </c>
      <c r="I365" t="s">
        <v>17</v>
      </c>
      <c r="J365" t="s">
        <v>15</v>
      </c>
      <c r="K365" t="s">
        <v>12</v>
      </c>
      <c r="L365" s="4">
        <v>320041</v>
      </c>
      <c r="M365" t="str">
        <f t="shared" si="17"/>
        <v>Medium</v>
      </c>
    </row>
    <row r="366" spans="1:13" x14ac:dyDescent="0.35">
      <c r="A366">
        <v>365</v>
      </c>
      <c r="B366">
        <v>4952</v>
      </c>
      <c r="C366" t="str">
        <f t="shared" si="15"/>
        <v>Extra Large</v>
      </c>
      <c r="D366">
        <v>2</v>
      </c>
      <c r="E366">
        <v>2</v>
      </c>
      <c r="F366">
        <v>1</v>
      </c>
      <c r="G366">
        <v>1971</v>
      </c>
      <c r="H366" t="str">
        <f t="shared" si="16"/>
        <v>1950-1975</v>
      </c>
      <c r="I366" t="s">
        <v>19</v>
      </c>
      <c r="J366" t="s">
        <v>11</v>
      </c>
      <c r="K366" t="s">
        <v>12</v>
      </c>
      <c r="L366" s="4">
        <v>638829</v>
      </c>
      <c r="M366" t="str">
        <f t="shared" si="17"/>
        <v>Premium</v>
      </c>
    </row>
    <row r="367" spans="1:13" x14ac:dyDescent="0.35">
      <c r="A367">
        <v>366</v>
      </c>
      <c r="B367">
        <v>2570</v>
      </c>
      <c r="C367" t="str">
        <f t="shared" si="15"/>
        <v>Large</v>
      </c>
      <c r="D367">
        <v>3</v>
      </c>
      <c r="E367">
        <v>3</v>
      </c>
      <c r="F367">
        <v>2</v>
      </c>
      <c r="G367">
        <v>1991</v>
      </c>
      <c r="H367" t="str">
        <f t="shared" si="16"/>
        <v>1976-2000</v>
      </c>
      <c r="I367" t="s">
        <v>19</v>
      </c>
      <c r="J367" t="s">
        <v>15</v>
      </c>
      <c r="K367" t="s">
        <v>16</v>
      </c>
      <c r="L367" s="4">
        <v>156968</v>
      </c>
      <c r="M367" t="str">
        <f t="shared" si="17"/>
        <v>Low</v>
      </c>
    </row>
    <row r="368" spans="1:13" x14ac:dyDescent="0.35">
      <c r="A368">
        <v>367</v>
      </c>
      <c r="B368">
        <v>3349</v>
      </c>
      <c r="C368" t="str">
        <f t="shared" si="15"/>
        <v>Large</v>
      </c>
      <c r="D368">
        <v>1</v>
      </c>
      <c r="E368">
        <v>3</v>
      </c>
      <c r="F368">
        <v>3</v>
      </c>
      <c r="G368">
        <v>1973</v>
      </c>
      <c r="H368" t="str">
        <f t="shared" si="16"/>
        <v>1950-1975</v>
      </c>
      <c r="I368" t="s">
        <v>14</v>
      </c>
      <c r="J368" t="s">
        <v>11</v>
      </c>
      <c r="K368" t="s">
        <v>16</v>
      </c>
      <c r="L368" s="4">
        <v>589180</v>
      </c>
      <c r="M368" t="str">
        <f t="shared" si="17"/>
        <v>High</v>
      </c>
    </row>
    <row r="369" spans="1:13" x14ac:dyDescent="0.35">
      <c r="A369">
        <v>368</v>
      </c>
      <c r="B369">
        <v>3751</v>
      </c>
      <c r="C369" t="str">
        <f t="shared" si="15"/>
        <v>Large</v>
      </c>
      <c r="D369">
        <v>4</v>
      </c>
      <c r="E369">
        <v>3</v>
      </c>
      <c r="F369">
        <v>2</v>
      </c>
      <c r="G369">
        <v>1916</v>
      </c>
      <c r="H369" t="str">
        <f t="shared" si="16"/>
        <v>Pre-1950</v>
      </c>
      <c r="I369" t="s">
        <v>17</v>
      </c>
      <c r="J369" t="s">
        <v>18</v>
      </c>
      <c r="K369" t="s">
        <v>16</v>
      </c>
      <c r="L369" s="4">
        <v>975775</v>
      </c>
      <c r="M369" t="str">
        <f t="shared" si="17"/>
        <v>Premium</v>
      </c>
    </row>
    <row r="370" spans="1:13" x14ac:dyDescent="0.35">
      <c r="A370">
        <v>369</v>
      </c>
      <c r="B370">
        <v>4230</v>
      </c>
      <c r="C370" t="str">
        <f t="shared" si="15"/>
        <v>Extra Large</v>
      </c>
      <c r="D370">
        <v>1</v>
      </c>
      <c r="E370">
        <v>3</v>
      </c>
      <c r="F370">
        <v>3</v>
      </c>
      <c r="G370">
        <v>2018</v>
      </c>
      <c r="H370" t="str">
        <f t="shared" si="16"/>
        <v>Post-2000</v>
      </c>
      <c r="I370" t="s">
        <v>14</v>
      </c>
      <c r="J370" t="s">
        <v>13</v>
      </c>
      <c r="K370" t="s">
        <v>12</v>
      </c>
      <c r="L370" s="4">
        <v>74815</v>
      </c>
      <c r="M370" t="str">
        <f t="shared" si="17"/>
        <v>Low</v>
      </c>
    </row>
    <row r="371" spans="1:13" x14ac:dyDescent="0.35">
      <c r="A371">
        <v>370</v>
      </c>
      <c r="B371">
        <v>2989</v>
      </c>
      <c r="C371" t="str">
        <f t="shared" si="15"/>
        <v>Large</v>
      </c>
      <c r="D371">
        <v>5</v>
      </c>
      <c r="E371">
        <v>3</v>
      </c>
      <c r="F371">
        <v>3</v>
      </c>
      <c r="G371">
        <v>1961</v>
      </c>
      <c r="H371" t="str">
        <f t="shared" si="16"/>
        <v>1950-1975</v>
      </c>
      <c r="I371" t="s">
        <v>19</v>
      </c>
      <c r="J371" t="s">
        <v>11</v>
      </c>
      <c r="K371" t="s">
        <v>12</v>
      </c>
      <c r="L371" s="4">
        <v>882044</v>
      </c>
      <c r="M371" t="str">
        <f t="shared" si="17"/>
        <v>Premium</v>
      </c>
    </row>
    <row r="372" spans="1:13" x14ac:dyDescent="0.35">
      <c r="A372">
        <v>371</v>
      </c>
      <c r="B372">
        <v>2131</v>
      </c>
      <c r="C372" t="str">
        <f t="shared" si="15"/>
        <v>Medium</v>
      </c>
      <c r="D372">
        <v>4</v>
      </c>
      <c r="E372">
        <v>1</v>
      </c>
      <c r="F372">
        <v>2</v>
      </c>
      <c r="G372">
        <v>1928</v>
      </c>
      <c r="H372" t="str">
        <f t="shared" si="16"/>
        <v>Pre-1950</v>
      </c>
      <c r="I372" t="s">
        <v>19</v>
      </c>
      <c r="J372" t="s">
        <v>15</v>
      </c>
      <c r="K372" t="s">
        <v>16</v>
      </c>
      <c r="L372" s="4">
        <v>476573</v>
      </c>
      <c r="M372" t="str">
        <f t="shared" si="17"/>
        <v>High</v>
      </c>
    </row>
    <row r="373" spans="1:13" x14ac:dyDescent="0.35">
      <c r="A373">
        <v>372</v>
      </c>
      <c r="B373">
        <v>3316</v>
      </c>
      <c r="C373" t="str">
        <f t="shared" si="15"/>
        <v>Large</v>
      </c>
      <c r="D373">
        <v>3</v>
      </c>
      <c r="E373">
        <v>1</v>
      </c>
      <c r="F373">
        <v>2</v>
      </c>
      <c r="G373">
        <v>1957</v>
      </c>
      <c r="H373" t="str">
        <f t="shared" si="16"/>
        <v>1950-1975</v>
      </c>
      <c r="I373" t="s">
        <v>19</v>
      </c>
      <c r="J373" t="s">
        <v>18</v>
      </c>
      <c r="K373" t="s">
        <v>16</v>
      </c>
      <c r="L373" s="4">
        <v>518304</v>
      </c>
      <c r="M373" t="str">
        <f t="shared" si="17"/>
        <v>High</v>
      </c>
    </row>
    <row r="374" spans="1:13" x14ac:dyDescent="0.35">
      <c r="A374">
        <v>373</v>
      </c>
      <c r="B374">
        <v>1515</v>
      </c>
      <c r="C374" t="str">
        <f t="shared" si="15"/>
        <v>Medium</v>
      </c>
      <c r="D374">
        <v>5</v>
      </c>
      <c r="E374">
        <v>4</v>
      </c>
      <c r="F374">
        <v>3</v>
      </c>
      <c r="G374">
        <v>1969</v>
      </c>
      <c r="H374" t="str">
        <f t="shared" si="16"/>
        <v>1950-1975</v>
      </c>
      <c r="I374" t="s">
        <v>17</v>
      </c>
      <c r="J374" t="s">
        <v>15</v>
      </c>
      <c r="K374" t="s">
        <v>16</v>
      </c>
      <c r="L374" s="4">
        <v>852699</v>
      </c>
      <c r="M374" t="str">
        <f t="shared" si="17"/>
        <v>Premium</v>
      </c>
    </row>
    <row r="375" spans="1:13" x14ac:dyDescent="0.35">
      <c r="A375">
        <v>374</v>
      </c>
      <c r="B375">
        <v>1848</v>
      </c>
      <c r="C375" t="str">
        <f t="shared" si="15"/>
        <v>Medium</v>
      </c>
      <c r="D375">
        <v>4</v>
      </c>
      <c r="E375">
        <v>1</v>
      </c>
      <c r="F375">
        <v>3</v>
      </c>
      <c r="G375">
        <v>1977</v>
      </c>
      <c r="H375" t="str">
        <f t="shared" si="16"/>
        <v>1976-2000</v>
      </c>
      <c r="I375" t="s">
        <v>10</v>
      </c>
      <c r="J375" t="s">
        <v>18</v>
      </c>
      <c r="K375" t="s">
        <v>16</v>
      </c>
      <c r="L375" s="4">
        <v>854700</v>
      </c>
      <c r="M375" t="str">
        <f t="shared" si="17"/>
        <v>Premium</v>
      </c>
    </row>
    <row r="376" spans="1:13" x14ac:dyDescent="0.35">
      <c r="A376">
        <v>375</v>
      </c>
      <c r="B376">
        <v>3587</v>
      </c>
      <c r="C376" t="str">
        <f t="shared" si="15"/>
        <v>Large</v>
      </c>
      <c r="D376">
        <v>3</v>
      </c>
      <c r="E376">
        <v>4</v>
      </c>
      <c r="F376">
        <v>2</v>
      </c>
      <c r="G376">
        <v>1921</v>
      </c>
      <c r="H376" t="str">
        <f t="shared" si="16"/>
        <v>Pre-1950</v>
      </c>
      <c r="I376" t="s">
        <v>19</v>
      </c>
      <c r="J376" t="s">
        <v>13</v>
      </c>
      <c r="K376" t="s">
        <v>16</v>
      </c>
      <c r="L376" s="4">
        <v>688751</v>
      </c>
      <c r="M376" t="str">
        <f t="shared" si="17"/>
        <v>Premium</v>
      </c>
    </row>
    <row r="377" spans="1:13" x14ac:dyDescent="0.35">
      <c r="A377">
        <v>376</v>
      </c>
      <c r="B377">
        <v>3339</v>
      </c>
      <c r="C377" t="str">
        <f t="shared" si="15"/>
        <v>Large</v>
      </c>
      <c r="D377">
        <v>1</v>
      </c>
      <c r="E377">
        <v>4</v>
      </c>
      <c r="F377">
        <v>1</v>
      </c>
      <c r="G377">
        <v>2017</v>
      </c>
      <c r="H377" t="str">
        <f t="shared" si="16"/>
        <v>Post-2000</v>
      </c>
      <c r="I377" t="s">
        <v>19</v>
      </c>
      <c r="J377" t="s">
        <v>18</v>
      </c>
      <c r="K377" t="s">
        <v>12</v>
      </c>
      <c r="L377" s="4">
        <v>981767</v>
      </c>
      <c r="M377" t="str">
        <f t="shared" si="17"/>
        <v>Premium</v>
      </c>
    </row>
    <row r="378" spans="1:13" x14ac:dyDescent="0.35">
      <c r="A378">
        <v>377</v>
      </c>
      <c r="B378">
        <v>835</v>
      </c>
      <c r="C378" t="str">
        <f t="shared" si="15"/>
        <v>Small</v>
      </c>
      <c r="D378">
        <v>4</v>
      </c>
      <c r="E378">
        <v>2</v>
      </c>
      <c r="F378">
        <v>2</v>
      </c>
      <c r="G378">
        <v>1905</v>
      </c>
      <c r="H378" t="str">
        <f t="shared" si="16"/>
        <v>Pre-1950</v>
      </c>
      <c r="I378" t="s">
        <v>19</v>
      </c>
      <c r="J378" t="s">
        <v>15</v>
      </c>
      <c r="K378" t="s">
        <v>16</v>
      </c>
      <c r="L378" s="4">
        <v>514151</v>
      </c>
      <c r="M378" t="str">
        <f t="shared" si="17"/>
        <v>High</v>
      </c>
    </row>
    <row r="379" spans="1:13" x14ac:dyDescent="0.35">
      <c r="A379">
        <v>378</v>
      </c>
      <c r="B379">
        <v>1395</v>
      </c>
      <c r="C379" t="str">
        <f t="shared" si="15"/>
        <v>Medium</v>
      </c>
      <c r="D379">
        <v>3</v>
      </c>
      <c r="E379">
        <v>3</v>
      </c>
      <c r="F379">
        <v>3</v>
      </c>
      <c r="G379">
        <v>1925</v>
      </c>
      <c r="H379" t="str">
        <f t="shared" si="16"/>
        <v>Pre-1950</v>
      </c>
      <c r="I379" t="s">
        <v>19</v>
      </c>
      <c r="J379" t="s">
        <v>15</v>
      </c>
      <c r="K379" t="s">
        <v>12</v>
      </c>
      <c r="L379" s="4">
        <v>931779</v>
      </c>
      <c r="M379" t="str">
        <f t="shared" si="17"/>
        <v>Premium</v>
      </c>
    </row>
    <row r="380" spans="1:13" x14ac:dyDescent="0.35">
      <c r="A380">
        <v>379</v>
      </c>
      <c r="B380">
        <v>4046</v>
      </c>
      <c r="C380" t="str">
        <f t="shared" si="15"/>
        <v>Extra Large</v>
      </c>
      <c r="D380">
        <v>1</v>
      </c>
      <c r="E380">
        <v>1</v>
      </c>
      <c r="F380">
        <v>2</v>
      </c>
      <c r="G380">
        <v>1938</v>
      </c>
      <c r="H380" t="str">
        <f t="shared" si="16"/>
        <v>Pre-1950</v>
      </c>
      <c r="I380" t="s">
        <v>17</v>
      </c>
      <c r="J380" t="s">
        <v>11</v>
      </c>
      <c r="K380" t="s">
        <v>16</v>
      </c>
      <c r="L380" s="4">
        <v>240732</v>
      </c>
      <c r="M380" t="str">
        <f t="shared" si="17"/>
        <v>Medium</v>
      </c>
    </row>
    <row r="381" spans="1:13" x14ac:dyDescent="0.35">
      <c r="A381">
        <v>380</v>
      </c>
      <c r="B381">
        <v>1351</v>
      </c>
      <c r="C381" t="str">
        <f t="shared" si="15"/>
        <v>Medium</v>
      </c>
      <c r="D381">
        <v>5</v>
      </c>
      <c r="E381">
        <v>2</v>
      </c>
      <c r="F381">
        <v>1</v>
      </c>
      <c r="G381">
        <v>1911</v>
      </c>
      <c r="H381" t="str">
        <f t="shared" si="16"/>
        <v>Pre-1950</v>
      </c>
      <c r="I381" t="s">
        <v>10</v>
      </c>
      <c r="J381" t="s">
        <v>18</v>
      </c>
      <c r="K381" t="s">
        <v>16</v>
      </c>
      <c r="L381" s="4">
        <v>246599</v>
      </c>
      <c r="M381" t="str">
        <f t="shared" si="17"/>
        <v>Medium</v>
      </c>
    </row>
    <row r="382" spans="1:13" x14ac:dyDescent="0.35">
      <c r="A382">
        <v>381</v>
      </c>
      <c r="B382">
        <v>2187</v>
      </c>
      <c r="C382" t="str">
        <f t="shared" si="15"/>
        <v>Medium</v>
      </c>
      <c r="D382">
        <v>5</v>
      </c>
      <c r="E382">
        <v>1</v>
      </c>
      <c r="F382">
        <v>2</v>
      </c>
      <c r="G382">
        <v>1998</v>
      </c>
      <c r="H382" t="str">
        <f t="shared" si="16"/>
        <v>1976-2000</v>
      </c>
      <c r="I382" t="s">
        <v>10</v>
      </c>
      <c r="J382" t="s">
        <v>15</v>
      </c>
      <c r="K382" t="s">
        <v>12</v>
      </c>
      <c r="L382" s="4">
        <v>244451</v>
      </c>
      <c r="M382" t="str">
        <f t="shared" si="17"/>
        <v>Medium</v>
      </c>
    </row>
    <row r="383" spans="1:13" x14ac:dyDescent="0.35">
      <c r="A383">
        <v>382</v>
      </c>
      <c r="B383">
        <v>2431</v>
      </c>
      <c r="C383" t="str">
        <f t="shared" si="15"/>
        <v>Medium</v>
      </c>
      <c r="D383">
        <v>5</v>
      </c>
      <c r="E383">
        <v>4</v>
      </c>
      <c r="F383">
        <v>3</v>
      </c>
      <c r="G383">
        <v>1913</v>
      </c>
      <c r="H383" t="str">
        <f t="shared" si="16"/>
        <v>Pre-1950</v>
      </c>
      <c r="I383" t="s">
        <v>10</v>
      </c>
      <c r="J383" t="s">
        <v>11</v>
      </c>
      <c r="K383" t="s">
        <v>16</v>
      </c>
      <c r="L383" s="4">
        <v>406686</v>
      </c>
      <c r="M383" t="str">
        <f t="shared" si="17"/>
        <v>High</v>
      </c>
    </row>
    <row r="384" spans="1:13" x14ac:dyDescent="0.35">
      <c r="A384">
        <v>383</v>
      </c>
      <c r="B384">
        <v>4246</v>
      </c>
      <c r="C384" t="str">
        <f t="shared" si="15"/>
        <v>Extra Large</v>
      </c>
      <c r="D384">
        <v>5</v>
      </c>
      <c r="E384">
        <v>1</v>
      </c>
      <c r="F384">
        <v>2</v>
      </c>
      <c r="G384">
        <v>1921</v>
      </c>
      <c r="H384" t="str">
        <f t="shared" si="16"/>
        <v>Pre-1950</v>
      </c>
      <c r="I384" t="s">
        <v>19</v>
      </c>
      <c r="J384" t="s">
        <v>13</v>
      </c>
      <c r="K384" t="s">
        <v>12</v>
      </c>
      <c r="L384" s="4">
        <v>746631</v>
      </c>
      <c r="M384" t="str">
        <f t="shared" si="17"/>
        <v>Premium</v>
      </c>
    </row>
    <row r="385" spans="1:13" x14ac:dyDescent="0.35">
      <c r="A385">
        <v>384</v>
      </c>
      <c r="B385">
        <v>2927</v>
      </c>
      <c r="C385" t="str">
        <f t="shared" si="15"/>
        <v>Large</v>
      </c>
      <c r="D385">
        <v>2</v>
      </c>
      <c r="E385">
        <v>3</v>
      </c>
      <c r="F385">
        <v>3</v>
      </c>
      <c r="G385">
        <v>1950</v>
      </c>
      <c r="H385" t="str">
        <f t="shared" si="16"/>
        <v>Pre-1950</v>
      </c>
      <c r="I385" t="s">
        <v>19</v>
      </c>
      <c r="J385" t="s">
        <v>15</v>
      </c>
      <c r="K385" t="s">
        <v>12</v>
      </c>
      <c r="L385" s="4">
        <v>378756</v>
      </c>
      <c r="M385" t="str">
        <f t="shared" si="17"/>
        <v>Medium</v>
      </c>
    </row>
    <row r="386" spans="1:13" x14ac:dyDescent="0.35">
      <c r="A386">
        <v>385</v>
      </c>
      <c r="B386">
        <v>2068</v>
      </c>
      <c r="C386" t="str">
        <f t="shared" si="15"/>
        <v>Medium</v>
      </c>
      <c r="D386">
        <v>4</v>
      </c>
      <c r="E386">
        <v>4</v>
      </c>
      <c r="F386">
        <v>3</v>
      </c>
      <c r="G386">
        <v>1922</v>
      </c>
      <c r="H386" t="str">
        <f t="shared" si="16"/>
        <v>Pre-1950</v>
      </c>
      <c r="I386" t="s">
        <v>10</v>
      </c>
      <c r="J386" t="s">
        <v>11</v>
      </c>
      <c r="K386" t="s">
        <v>16</v>
      </c>
      <c r="L386" s="4">
        <v>188307</v>
      </c>
      <c r="M386" t="str">
        <f t="shared" si="17"/>
        <v>Low</v>
      </c>
    </row>
    <row r="387" spans="1:13" x14ac:dyDescent="0.35">
      <c r="A387">
        <v>386</v>
      </c>
      <c r="B387">
        <v>4500</v>
      </c>
      <c r="C387" t="str">
        <f t="shared" ref="C387:C450" si="18">IF(B387&lt;=1000,"Small",IF(B387&lt;=2500,"Medium",IF(B387&lt;=4000,"Large",IF(B387&gt;=4000,"Extra Large"))))</f>
        <v>Extra Large</v>
      </c>
      <c r="D387">
        <v>4</v>
      </c>
      <c r="E387">
        <v>4</v>
      </c>
      <c r="F387">
        <v>2</v>
      </c>
      <c r="G387">
        <v>1947</v>
      </c>
      <c r="H387" t="str">
        <f t="shared" ref="H387:H450" si="19">IF(G387&lt;=1950,"Pre-1950",IF(G387&lt;=1975,"1950-1975",IF(G387&lt;=2000,"1976-2000",IF(G387&gt;=2000,"Post-2000"))))</f>
        <v>Pre-1950</v>
      </c>
      <c r="I387" t="s">
        <v>10</v>
      </c>
      <c r="J387" t="s">
        <v>15</v>
      </c>
      <c r="K387" t="s">
        <v>16</v>
      </c>
      <c r="L387" s="4">
        <v>138757</v>
      </c>
      <c r="M387" t="str">
        <f t="shared" ref="M387:M450" si="20">IF(L387&lt;=200000,"Low",IF(L387&lt;=400000,"Medium",IF(L387&lt;=600000,"High",IF(L387&gt;=600000,"Premium",""))))</f>
        <v>Low</v>
      </c>
    </row>
    <row r="388" spans="1:13" x14ac:dyDescent="0.35">
      <c r="A388">
        <v>387</v>
      </c>
      <c r="B388">
        <v>3238</v>
      </c>
      <c r="C388" t="str">
        <f t="shared" si="18"/>
        <v>Large</v>
      </c>
      <c r="D388">
        <v>2</v>
      </c>
      <c r="E388">
        <v>2</v>
      </c>
      <c r="F388">
        <v>3</v>
      </c>
      <c r="G388">
        <v>1970</v>
      </c>
      <c r="H388" t="str">
        <f t="shared" si="19"/>
        <v>1950-1975</v>
      </c>
      <c r="I388" t="s">
        <v>19</v>
      </c>
      <c r="J388" t="s">
        <v>18</v>
      </c>
      <c r="K388" t="s">
        <v>12</v>
      </c>
      <c r="L388" s="4">
        <v>459633</v>
      </c>
      <c r="M388" t="str">
        <f t="shared" si="20"/>
        <v>High</v>
      </c>
    </row>
    <row r="389" spans="1:13" x14ac:dyDescent="0.35">
      <c r="A389">
        <v>388</v>
      </c>
      <c r="B389">
        <v>3998</v>
      </c>
      <c r="C389" t="str">
        <f t="shared" si="18"/>
        <v>Large</v>
      </c>
      <c r="D389">
        <v>3</v>
      </c>
      <c r="E389">
        <v>3</v>
      </c>
      <c r="F389">
        <v>3</v>
      </c>
      <c r="G389">
        <v>2003</v>
      </c>
      <c r="H389" t="str">
        <f t="shared" si="19"/>
        <v>Post-2000</v>
      </c>
      <c r="I389" t="s">
        <v>19</v>
      </c>
      <c r="J389" t="s">
        <v>11</v>
      </c>
      <c r="K389" t="s">
        <v>12</v>
      </c>
      <c r="L389" s="4">
        <v>934507</v>
      </c>
      <c r="M389" t="str">
        <f t="shared" si="20"/>
        <v>Premium</v>
      </c>
    </row>
    <row r="390" spans="1:13" x14ac:dyDescent="0.35">
      <c r="A390">
        <v>389</v>
      </c>
      <c r="B390">
        <v>4413</v>
      </c>
      <c r="C390" t="str">
        <f t="shared" si="18"/>
        <v>Extra Large</v>
      </c>
      <c r="D390">
        <v>3</v>
      </c>
      <c r="E390">
        <v>4</v>
      </c>
      <c r="F390">
        <v>1</v>
      </c>
      <c r="G390">
        <v>1949</v>
      </c>
      <c r="H390" t="str">
        <f t="shared" si="19"/>
        <v>Pre-1950</v>
      </c>
      <c r="I390" t="s">
        <v>14</v>
      </c>
      <c r="J390" t="s">
        <v>18</v>
      </c>
      <c r="K390" t="s">
        <v>16</v>
      </c>
      <c r="L390" s="4">
        <v>346753</v>
      </c>
      <c r="M390" t="str">
        <f t="shared" si="20"/>
        <v>Medium</v>
      </c>
    </row>
    <row r="391" spans="1:13" x14ac:dyDescent="0.35">
      <c r="A391">
        <v>390</v>
      </c>
      <c r="B391">
        <v>1566</v>
      </c>
      <c r="C391" t="str">
        <f t="shared" si="18"/>
        <v>Medium</v>
      </c>
      <c r="D391">
        <v>5</v>
      </c>
      <c r="E391">
        <v>3</v>
      </c>
      <c r="F391">
        <v>1</v>
      </c>
      <c r="G391">
        <v>1988</v>
      </c>
      <c r="H391" t="str">
        <f t="shared" si="19"/>
        <v>1976-2000</v>
      </c>
      <c r="I391" t="s">
        <v>14</v>
      </c>
      <c r="J391" t="s">
        <v>13</v>
      </c>
      <c r="K391" t="s">
        <v>12</v>
      </c>
      <c r="L391" s="4">
        <v>939217</v>
      </c>
      <c r="M391" t="str">
        <f t="shared" si="20"/>
        <v>Premium</v>
      </c>
    </row>
    <row r="392" spans="1:13" x14ac:dyDescent="0.35">
      <c r="A392">
        <v>391</v>
      </c>
      <c r="B392">
        <v>4880</v>
      </c>
      <c r="C392" t="str">
        <f t="shared" si="18"/>
        <v>Extra Large</v>
      </c>
      <c r="D392">
        <v>1</v>
      </c>
      <c r="E392">
        <v>1</v>
      </c>
      <c r="F392">
        <v>1</v>
      </c>
      <c r="G392">
        <v>1912</v>
      </c>
      <c r="H392" t="str">
        <f t="shared" si="19"/>
        <v>Pre-1950</v>
      </c>
      <c r="I392" t="s">
        <v>14</v>
      </c>
      <c r="J392" t="s">
        <v>18</v>
      </c>
      <c r="K392" t="s">
        <v>16</v>
      </c>
      <c r="L392" s="4">
        <v>304200</v>
      </c>
      <c r="M392" t="str">
        <f t="shared" si="20"/>
        <v>Medium</v>
      </c>
    </row>
    <row r="393" spans="1:13" x14ac:dyDescent="0.35">
      <c r="A393">
        <v>392</v>
      </c>
      <c r="B393">
        <v>2944</v>
      </c>
      <c r="C393" t="str">
        <f t="shared" si="18"/>
        <v>Large</v>
      </c>
      <c r="D393">
        <v>3</v>
      </c>
      <c r="E393">
        <v>3</v>
      </c>
      <c r="F393">
        <v>1</v>
      </c>
      <c r="G393">
        <v>1984</v>
      </c>
      <c r="H393" t="str">
        <f t="shared" si="19"/>
        <v>1976-2000</v>
      </c>
      <c r="I393" t="s">
        <v>10</v>
      </c>
      <c r="J393" t="s">
        <v>11</v>
      </c>
      <c r="K393" t="s">
        <v>12</v>
      </c>
      <c r="L393" s="4">
        <v>597933</v>
      </c>
      <c r="M393" t="str">
        <f t="shared" si="20"/>
        <v>High</v>
      </c>
    </row>
    <row r="394" spans="1:13" x14ac:dyDescent="0.35">
      <c r="A394">
        <v>393</v>
      </c>
      <c r="B394">
        <v>4607</v>
      </c>
      <c r="C394" t="str">
        <f t="shared" si="18"/>
        <v>Extra Large</v>
      </c>
      <c r="D394">
        <v>1</v>
      </c>
      <c r="E394">
        <v>4</v>
      </c>
      <c r="F394">
        <v>3</v>
      </c>
      <c r="G394">
        <v>2004</v>
      </c>
      <c r="H394" t="str">
        <f t="shared" si="19"/>
        <v>Post-2000</v>
      </c>
      <c r="I394" t="s">
        <v>17</v>
      </c>
      <c r="J394" t="s">
        <v>15</v>
      </c>
      <c r="K394" t="s">
        <v>16</v>
      </c>
      <c r="L394" s="4">
        <v>506089</v>
      </c>
      <c r="M394" t="str">
        <f t="shared" si="20"/>
        <v>High</v>
      </c>
    </row>
    <row r="395" spans="1:13" x14ac:dyDescent="0.35">
      <c r="A395">
        <v>394</v>
      </c>
      <c r="B395">
        <v>3873</v>
      </c>
      <c r="C395" t="str">
        <f t="shared" si="18"/>
        <v>Large</v>
      </c>
      <c r="D395">
        <v>4</v>
      </c>
      <c r="E395">
        <v>2</v>
      </c>
      <c r="F395">
        <v>2</v>
      </c>
      <c r="G395">
        <v>1909</v>
      </c>
      <c r="H395" t="str">
        <f t="shared" si="19"/>
        <v>Pre-1950</v>
      </c>
      <c r="I395" t="s">
        <v>19</v>
      </c>
      <c r="J395" t="s">
        <v>11</v>
      </c>
      <c r="K395" t="s">
        <v>12</v>
      </c>
      <c r="L395" s="4">
        <v>769918</v>
      </c>
      <c r="M395" t="str">
        <f t="shared" si="20"/>
        <v>Premium</v>
      </c>
    </row>
    <row r="396" spans="1:13" x14ac:dyDescent="0.35">
      <c r="A396">
        <v>395</v>
      </c>
      <c r="B396">
        <v>4469</v>
      </c>
      <c r="C396" t="str">
        <f t="shared" si="18"/>
        <v>Extra Large</v>
      </c>
      <c r="D396">
        <v>1</v>
      </c>
      <c r="E396">
        <v>4</v>
      </c>
      <c r="F396">
        <v>3</v>
      </c>
      <c r="G396">
        <v>2016</v>
      </c>
      <c r="H396" t="str">
        <f t="shared" si="19"/>
        <v>Post-2000</v>
      </c>
      <c r="I396" t="s">
        <v>14</v>
      </c>
      <c r="J396" t="s">
        <v>18</v>
      </c>
      <c r="K396" t="s">
        <v>12</v>
      </c>
      <c r="L396" s="4">
        <v>374377</v>
      </c>
      <c r="M396" t="str">
        <f t="shared" si="20"/>
        <v>Medium</v>
      </c>
    </row>
    <row r="397" spans="1:13" x14ac:dyDescent="0.35">
      <c r="A397">
        <v>396</v>
      </c>
      <c r="B397">
        <v>3046</v>
      </c>
      <c r="C397" t="str">
        <f t="shared" si="18"/>
        <v>Large</v>
      </c>
      <c r="D397">
        <v>4</v>
      </c>
      <c r="E397">
        <v>3</v>
      </c>
      <c r="F397">
        <v>3</v>
      </c>
      <c r="G397">
        <v>1954</v>
      </c>
      <c r="H397" t="str">
        <f t="shared" si="19"/>
        <v>1950-1975</v>
      </c>
      <c r="I397" t="s">
        <v>17</v>
      </c>
      <c r="J397" t="s">
        <v>18</v>
      </c>
      <c r="K397" t="s">
        <v>16</v>
      </c>
      <c r="L397" s="4">
        <v>423587</v>
      </c>
      <c r="M397" t="str">
        <f t="shared" si="20"/>
        <v>High</v>
      </c>
    </row>
    <row r="398" spans="1:13" x14ac:dyDescent="0.35">
      <c r="A398">
        <v>397</v>
      </c>
      <c r="B398">
        <v>1253</v>
      </c>
      <c r="C398" t="str">
        <f t="shared" si="18"/>
        <v>Medium</v>
      </c>
      <c r="D398">
        <v>2</v>
      </c>
      <c r="E398">
        <v>3</v>
      </c>
      <c r="F398">
        <v>3</v>
      </c>
      <c r="G398">
        <v>2022</v>
      </c>
      <c r="H398" t="str">
        <f t="shared" si="19"/>
        <v>Post-2000</v>
      </c>
      <c r="I398" t="s">
        <v>19</v>
      </c>
      <c r="J398" t="s">
        <v>15</v>
      </c>
      <c r="K398" t="s">
        <v>12</v>
      </c>
      <c r="L398" s="4">
        <v>204473</v>
      </c>
      <c r="M398" t="str">
        <f t="shared" si="20"/>
        <v>Medium</v>
      </c>
    </row>
    <row r="399" spans="1:13" x14ac:dyDescent="0.35">
      <c r="A399">
        <v>398</v>
      </c>
      <c r="B399">
        <v>2582</v>
      </c>
      <c r="C399" t="str">
        <f t="shared" si="18"/>
        <v>Large</v>
      </c>
      <c r="D399">
        <v>2</v>
      </c>
      <c r="E399">
        <v>4</v>
      </c>
      <c r="F399">
        <v>2</v>
      </c>
      <c r="G399">
        <v>1908</v>
      </c>
      <c r="H399" t="str">
        <f t="shared" si="19"/>
        <v>Pre-1950</v>
      </c>
      <c r="I399" t="s">
        <v>17</v>
      </c>
      <c r="J399" t="s">
        <v>13</v>
      </c>
      <c r="K399" t="s">
        <v>12</v>
      </c>
      <c r="L399" s="4">
        <v>844203</v>
      </c>
      <c r="M399" t="str">
        <f t="shared" si="20"/>
        <v>Premium</v>
      </c>
    </row>
    <row r="400" spans="1:13" x14ac:dyDescent="0.35">
      <c r="A400">
        <v>399</v>
      </c>
      <c r="B400">
        <v>3274</v>
      </c>
      <c r="C400" t="str">
        <f t="shared" si="18"/>
        <v>Large</v>
      </c>
      <c r="D400">
        <v>5</v>
      </c>
      <c r="E400">
        <v>3</v>
      </c>
      <c r="F400">
        <v>1</v>
      </c>
      <c r="G400">
        <v>1978</v>
      </c>
      <c r="H400" t="str">
        <f t="shared" si="19"/>
        <v>1976-2000</v>
      </c>
      <c r="I400" t="s">
        <v>10</v>
      </c>
      <c r="J400" t="s">
        <v>11</v>
      </c>
      <c r="K400" t="s">
        <v>12</v>
      </c>
      <c r="L400" s="4">
        <v>517667</v>
      </c>
      <c r="M400" t="str">
        <f t="shared" si="20"/>
        <v>High</v>
      </c>
    </row>
    <row r="401" spans="1:13" x14ac:dyDescent="0.35">
      <c r="A401">
        <v>400</v>
      </c>
      <c r="B401">
        <v>3396</v>
      </c>
      <c r="C401" t="str">
        <f t="shared" si="18"/>
        <v>Large</v>
      </c>
      <c r="D401">
        <v>3</v>
      </c>
      <c r="E401">
        <v>1</v>
      </c>
      <c r="F401">
        <v>3</v>
      </c>
      <c r="G401">
        <v>1951</v>
      </c>
      <c r="H401" t="str">
        <f t="shared" si="19"/>
        <v>1950-1975</v>
      </c>
      <c r="I401" t="s">
        <v>10</v>
      </c>
      <c r="J401" t="s">
        <v>15</v>
      </c>
      <c r="K401" t="s">
        <v>12</v>
      </c>
      <c r="L401" s="4">
        <v>522650</v>
      </c>
      <c r="M401" t="str">
        <f t="shared" si="20"/>
        <v>High</v>
      </c>
    </row>
    <row r="402" spans="1:13" x14ac:dyDescent="0.35">
      <c r="A402">
        <v>401</v>
      </c>
      <c r="B402">
        <v>4685</v>
      </c>
      <c r="C402" t="str">
        <f t="shared" si="18"/>
        <v>Extra Large</v>
      </c>
      <c r="D402">
        <v>5</v>
      </c>
      <c r="E402">
        <v>4</v>
      </c>
      <c r="F402">
        <v>3</v>
      </c>
      <c r="G402">
        <v>1901</v>
      </c>
      <c r="H402" t="str">
        <f t="shared" si="19"/>
        <v>Pre-1950</v>
      </c>
      <c r="I402" t="s">
        <v>10</v>
      </c>
      <c r="J402" t="s">
        <v>15</v>
      </c>
      <c r="K402" t="s">
        <v>12</v>
      </c>
      <c r="L402" s="4">
        <v>510665</v>
      </c>
      <c r="M402" t="str">
        <f t="shared" si="20"/>
        <v>High</v>
      </c>
    </row>
    <row r="403" spans="1:13" x14ac:dyDescent="0.35">
      <c r="A403">
        <v>402</v>
      </c>
      <c r="B403">
        <v>1275</v>
      </c>
      <c r="C403" t="str">
        <f t="shared" si="18"/>
        <v>Medium</v>
      </c>
      <c r="D403">
        <v>4</v>
      </c>
      <c r="E403">
        <v>2</v>
      </c>
      <c r="F403">
        <v>1</v>
      </c>
      <c r="G403">
        <v>1924</v>
      </c>
      <c r="H403" t="str">
        <f t="shared" si="19"/>
        <v>Pre-1950</v>
      </c>
      <c r="I403" t="s">
        <v>14</v>
      </c>
      <c r="J403" t="s">
        <v>15</v>
      </c>
      <c r="K403" t="s">
        <v>12</v>
      </c>
      <c r="L403" s="4">
        <v>414745</v>
      </c>
      <c r="M403" t="str">
        <f t="shared" si="20"/>
        <v>High</v>
      </c>
    </row>
    <row r="404" spans="1:13" x14ac:dyDescent="0.35">
      <c r="A404">
        <v>403</v>
      </c>
      <c r="B404">
        <v>2125</v>
      </c>
      <c r="C404" t="str">
        <f t="shared" si="18"/>
        <v>Medium</v>
      </c>
      <c r="D404">
        <v>5</v>
      </c>
      <c r="E404">
        <v>4</v>
      </c>
      <c r="F404">
        <v>3</v>
      </c>
      <c r="G404">
        <v>1912</v>
      </c>
      <c r="H404" t="str">
        <f t="shared" si="19"/>
        <v>Pre-1950</v>
      </c>
      <c r="I404" t="s">
        <v>19</v>
      </c>
      <c r="J404" t="s">
        <v>11</v>
      </c>
      <c r="K404" t="s">
        <v>12</v>
      </c>
      <c r="L404" s="4">
        <v>535820</v>
      </c>
      <c r="M404" t="str">
        <f t="shared" si="20"/>
        <v>High</v>
      </c>
    </row>
    <row r="405" spans="1:13" x14ac:dyDescent="0.35">
      <c r="A405">
        <v>404</v>
      </c>
      <c r="B405">
        <v>3569</v>
      </c>
      <c r="C405" t="str">
        <f t="shared" si="18"/>
        <v>Large</v>
      </c>
      <c r="D405">
        <v>1</v>
      </c>
      <c r="E405">
        <v>1</v>
      </c>
      <c r="F405">
        <v>2</v>
      </c>
      <c r="G405">
        <v>1997</v>
      </c>
      <c r="H405" t="str">
        <f t="shared" si="19"/>
        <v>1976-2000</v>
      </c>
      <c r="I405" t="s">
        <v>10</v>
      </c>
      <c r="J405" t="s">
        <v>11</v>
      </c>
      <c r="K405" t="s">
        <v>16</v>
      </c>
      <c r="L405" s="4">
        <v>445158</v>
      </c>
      <c r="M405" t="str">
        <f t="shared" si="20"/>
        <v>High</v>
      </c>
    </row>
    <row r="406" spans="1:13" x14ac:dyDescent="0.35">
      <c r="A406">
        <v>405</v>
      </c>
      <c r="B406">
        <v>917</v>
      </c>
      <c r="C406" t="str">
        <f t="shared" si="18"/>
        <v>Small</v>
      </c>
      <c r="D406">
        <v>4</v>
      </c>
      <c r="E406">
        <v>1</v>
      </c>
      <c r="F406">
        <v>3</v>
      </c>
      <c r="G406">
        <v>1950</v>
      </c>
      <c r="H406" t="str">
        <f t="shared" si="19"/>
        <v>Pre-1950</v>
      </c>
      <c r="I406" t="s">
        <v>14</v>
      </c>
      <c r="J406" t="s">
        <v>11</v>
      </c>
      <c r="K406" t="s">
        <v>12</v>
      </c>
      <c r="L406" s="4">
        <v>725748</v>
      </c>
      <c r="M406" t="str">
        <f t="shared" si="20"/>
        <v>Premium</v>
      </c>
    </row>
    <row r="407" spans="1:13" x14ac:dyDescent="0.35">
      <c r="A407">
        <v>406</v>
      </c>
      <c r="B407">
        <v>614</v>
      </c>
      <c r="C407" t="str">
        <f t="shared" si="18"/>
        <v>Small</v>
      </c>
      <c r="D407">
        <v>2</v>
      </c>
      <c r="E407">
        <v>1</v>
      </c>
      <c r="F407">
        <v>3</v>
      </c>
      <c r="G407">
        <v>1957</v>
      </c>
      <c r="H407" t="str">
        <f t="shared" si="19"/>
        <v>1950-1975</v>
      </c>
      <c r="I407" t="s">
        <v>14</v>
      </c>
      <c r="J407" t="s">
        <v>13</v>
      </c>
      <c r="K407" t="s">
        <v>12</v>
      </c>
      <c r="L407" s="4">
        <v>961656</v>
      </c>
      <c r="M407" t="str">
        <f t="shared" si="20"/>
        <v>Premium</v>
      </c>
    </row>
    <row r="408" spans="1:13" x14ac:dyDescent="0.35">
      <c r="A408">
        <v>407</v>
      </c>
      <c r="B408">
        <v>1116</v>
      </c>
      <c r="C408" t="str">
        <f t="shared" si="18"/>
        <v>Medium</v>
      </c>
      <c r="D408">
        <v>3</v>
      </c>
      <c r="E408">
        <v>1</v>
      </c>
      <c r="F408">
        <v>1</v>
      </c>
      <c r="G408">
        <v>1933</v>
      </c>
      <c r="H408" t="str">
        <f t="shared" si="19"/>
        <v>Pre-1950</v>
      </c>
      <c r="I408" t="s">
        <v>14</v>
      </c>
      <c r="J408" t="s">
        <v>15</v>
      </c>
      <c r="K408" t="s">
        <v>16</v>
      </c>
      <c r="L408" s="4">
        <v>657539</v>
      </c>
      <c r="M408" t="str">
        <f t="shared" si="20"/>
        <v>Premium</v>
      </c>
    </row>
    <row r="409" spans="1:13" x14ac:dyDescent="0.35">
      <c r="A409">
        <v>408</v>
      </c>
      <c r="B409">
        <v>4474</v>
      </c>
      <c r="C409" t="str">
        <f t="shared" si="18"/>
        <v>Extra Large</v>
      </c>
      <c r="D409">
        <v>4</v>
      </c>
      <c r="E409">
        <v>1</v>
      </c>
      <c r="F409">
        <v>3</v>
      </c>
      <c r="G409">
        <v>1934</v>
      </c>
      <c r="H409" t="str">
        <f t="shared" si="19"/>
        <v>Pre-1950</v>
      </c>
      <c r="I409" t="s">
        <v>14</v>
      </c>
      <c r="J409" t="s">
        <v>18</v>
      </c>
      <c r="K409" t="s">
        <v>12</v>
      </c>
      <c r="L409" s="4">
        <v>631330</v>
      </c>
      <c r="M409" t="str">
        <f t="shared" si="20"/>
        <v>Premium</v>
      </c>
    </row>
    <row r="410" spans="1:13" x14ac:dyDescent="0.35">
      <c r="A410">
        <v>409</v>
      </c>
      <c r="B410">
        <v>3767</v>
      </c>
      <c r="C410" t="str">
        <f t="shared" si="18"/>
        <v>Large</v>
      </c>
      <c r="D410">
        <v>4</v>
      </c>
      <c r="E410">
        <v>2</v>
      </c>
      <c r="F410">
        <v>3</v>
      </c>
      <c r="G410">
        <v>2001</v>
      </c>
      <c r="H410" t="str">
        <f t="shared" si="19"/>
        <v>Post-2000</v>
      </c>
      <c r="I410" t="s">
        <v>10</v>
      </c>
      <c r="J410" t="s">
        <v>18</v>
      </c>
      <c r="K410" t="s">
        <v>12</v>
      </c>
      <c r="L410" s="4">
        <v>890172</v>
      </c>
      <c r="M410" t="str">
        <f t="shared" si="20"/>
        <v>Premium</v>
      </c>
    </row>
    <row r="411" spans="1:13" x14ac:dyDescent="0.35">
      <c r="A411">
        <v>410</v>
      </c>
      <c r="B411">
        <v>1325</v>
      </c>
      <c r="C411" t="str">
        <f t="shared" si="18"/>
        <v>Medium</v>
      </c>
      <c r="D411">
        <v>1</v>
      </c>
      <c r="E411">
        <v>3</v>
      </c>
      <c r="F411">
        <v>2</v>
      </c>
      <c r="G411">
        <v>1902</v>
      </c>
      <c r="H411" t="str">
        <f t="shared" si="19"/>
        <v>Pre-1950</v>
      </c>
      <c r="I411" t="s">
        <v>14</v>
      </c>
      <c r="J411" t="s">
        <v>15</v>
      </c>
      <c r="K411" t="s">
        <v>16</v>
      </c>
      <c r="L411" s="4">
        <v>246945</v>
      </c>
      <c r="M411" t="str">
        <f t="shared" si="20"/>
        <v>Medium</v>
      </c>
    </row>
    <row r="412" spans="1:13" x14ac:dyDescent="0.35">
      <c r="A412">
        <v>411</v>
      </c>
      <c r="B412">
        <v>2016</v>
      </c>
      <c r="C412" t="str">
        <f t="shared" si="18"/>
        <v>Medium</v>
      </c>
      <c r="D412">
        <v>3</v>
      </c>
      <c r="E412">
        <v>1</v>
      </c>
      <c r="F412">
        <v>1</v>
      </c>
      <c r="G412">
        <v>2005</v>
      </c>
      <c r="H412" t="str">
        <f t="shared" si="19"/>
        <v>Post-2000</v>
      </c>
      <c r="I412" t="s">
        <v>10</v>
      </c>
      <c r="J412" t="s">
        <v>18</v>
      </c>
      <c r="K412" t="s">
        <v>12</v>
      </c>
      <c r="L412" s="4">
        <v>621312</v>
      </c>
      <c r="M412" t="str">
        <f t="shared" si="20"/>
        <v>Premium</v>
      </c>
    </row>
    <row r="413" spans="1:13" x14ac:dyDescent="0.35">
      <c r="A413">
        <v>412</v>
      </c>
      <c r="B413">
        <v>3646</v>
      </c>
      <c r="C413" t="str">
        <f t="shared" si="18"/>
        <v>Large</v>
      </c>
      <c r="D413">
        <v>2</v>
      </c>
      <c r="E413">
        <v>1</v>
      </c>
      <c r="F413">
        <v>1</v>
      </c>
      <c r="G413">
        <v>2019</v>
      </c>
      <c r="H413" t="str">
        <f t="shared" si="19"/>
        <v>Post-2000</v>
      </c>
      <c r="I413" t="s">
        <v>10</v>
      </c>
      <c r="J413" t="s">
        <v>13</v>
      </c>
      <c r="K413" t="s">
        <v>12</v>
      </c>
      <c r="L413" s="4">
        <v>728810</v>
      </c>
      <c r="M413" t="str">
        <f t="shared" si="20"/>
        <v>Premium</v>
      </c>
    </row>
    <row r="414" spans="1:13" x14ac:dyDescent="0.35">
      <c r="A414">
        <v>413</v>
      </c>
      <c r="B414">
        <v>912</v>
      </c>
      <c r="C414" t="str">
        <f t="shared" si="18"/>
        <v>Small</v>
      </c>
      <c r="D414">
        <v>4</v>
      </c>
      <c r="E414">
        <v>4</v>
      </c>
      <c r="F414">
        <v>2</v>
      </c>
      <c r="G414">
        <v>1958</v>
      </c>
      <c r="H414" t="str">
        <f t="shared" si="19"/>
        <v>1950-1975</v>
      </c>
      <c r="I414" t="s">
        <v>14</v>
      </c>
      <c r="J414" t="s">
        <v>13</v>
      </c>
      <c r="K414" t="s">
        <v>16</v>
      </c>
      <c r="L414" s="4">
        <v>631253</v>
      </c>
      <c r="M414" t="str">
        <f t="shared" si="20"/>
        <v>Premium</v>
      </c>
    </row>
    <row r="415" spans="1:13" x14ac:dyDescent="0.35">
      <c r="A415">
        <v>414</v>
      </c>
      <c r="B415">
        <v>1228</v>
      </c>
      <c r="C415" t="str">
        <f t="shared" si="18"/>
        <v>Medium</v>
      </c>
      <c r="D415">
        <v>4</v>
      </c>
      <c r="E415">
        <v>2</v>
      </c>
      <c r="F415">
        <v>3</v>
      </c>
      <c r="G415">
        <v>1969</v>
      </c>
      <c r="H415" t="str">
        <f t="shared" si="19"/>
        <v>1950-1975</v>
      </c>
      <c r="I415" t="s">
        <v>10</v>
      </c>
      <c r="J415" t="s">
        <v>11</v>
      </c>
      <c r="K415" t="s">
        <v>16</v>
      </c>
      <c r="L415" s="4">
        <v>322201</v>
      </c>
      <c r="M415" t="str">
        <f t="shared" si="20"/>
        <v>Medium</v>
      </c>
    </row>
    <row r="416" spans="1:13" x14ac:dyDescent="0.35">
      <c r="A416">
        <v>415</v>
      </c>
      <c r="B416">
        <v>3848</v>
      </c>
      <c r="C416" t="str">
        <f t="shared" si="18"/>
        <v>Large</v>
      </c>
      <c r="D416">
        <v>1</v>
      </c>
      <c r="E416">
        <v>2</v>
      </c>
      <c r="F416">
        <v>1</v>
      </c>
      <c r="G416">
        <v>2018</v>
      </c>
      <c r="H416" t="str">
        <f t="shared" si="19"/>
        <v>Post-2000</v>
      </c>
      <c r="I416" t="s">
        <v>19</v>
      </c>
      <c r="J416" t="s">
        <v>11</v>
      </c>
      <c r="K416" t="s">
        <v>12</v>
      </c>
      <c r="L416" s="4">
        <v>798609</v>
      </c>
      <c r="M416" t="str">
        <f t="shared" si="20"/>
        <v>Premium</v>
      </c>
    </row>
    <row r="417" spans="1:13" x14ac:dyDescent="0.35">
      <c r="A417">
        <v>416</v>
      </c>
      <c r="B417">
        <v>3308</v>
      </c>
      <c r="C417" t="str">
        <f t="shared" si="18"/>
        <v>Large</v>
      </c>
      <c r="D417">
        <v>5</v>
      </c>
      <c r="E417">
        <v>3</v>
      </c>
      <c r="F417">
        <v>1</v>
      </c>
      <c r="G417">
        <v>1947</v>
      </c>
      <c r="H417" t="str">
        <f t="shared" si="19"/>
        <v>Pre-1950</v>
      </c>
      <c r="I417" t="s">
        <v>19</v>
      </c>
      <c r="J417" t="s">
        <v>11</v>
      </c>
      <c r="K417" t="s">
        <v>12</v>
      </c>
      <c r="L417" s="4">
        <v>845415</v>
      </c>
      <c r="M417" t="str">
        <f t="shared" si="20"/>
        <v>Premium</v>
      </c>
    </row>
    <row r="418" spans="1:13" x14ac:dyDescent="0.35">
      <c r="A418">
        <v>417</v>
      </c>
      <c r="B418">
        <v>1175</v>
      </c>
      <c r="C418" t="str">
        <f t="shared" si="18"/>
        <v>Medium</v>
      </c>
      <c r="D418">
        <v>2</v>
      </c>
      <c r="E418">
        <v>2</v>
      </c>
      <c r="F418">
        <v>3</v>
      </c>
      <c r="G418">
        <v>1963</v>
      </c>
      <c r="H418" t="str">
        <f t="shared" si="19"/>
        <v>1950-1975</v>
      </c>
      <c r="I418" t="s">
        <v>17</v>
      </c>
      <c r="J418" t="s">
        <v>11</v>
      </c>
      <c r="K418" t="s">
        <v>16</v>
      </c>
      <c r="L418" s="4">
        <v>442613</v>
      </c>
      <c r="M418" t="str">
        <f t="shared" si="20"/>
        <v>High</v>
      </c>
    </row>
    <row r="419" spans="1:13" x14ac:dyDescent="0.35">
      <c r="A419">
        <v>418</v>
      </c>
      <c r="B419">
        <v>3965</v>
      </c>
      <c r="C419" t="str">
        <f t="shared" si="18"/>
        <v>Large</v>
      </c>
      <c r="D419">
        <v>3</v>
      </c>
      <c r="E419">
        <v>4</v>
      </c>
      <c r="F419">
        <v>3</v>
      </c>
      <c r="G419">
        <v>2012</v>
      </c>
      <c r="H419" t="str">
        <f t="shared" si="19"/>
        <v>Post-2000</v>
      </c>
      <c r="I419" t="s">
        <v>19</v>
      </c>
      <c r="J419" t="s">
        <v>11</v>
      </c>
      <c r="K419" t="s">
        <v>12</v>
      </c>
      <c r="L419" s="4">
        <v>594283</v>
      </c>
      <c r="M419" t="str">
        <f t="shared" si="20"/>
        <v>High</v>
      </c>
    </row>
    <row r="420" spans="1:13" x14ac:dyDescent="0.35">
      <c r="A420">
        <v>419</v>
      </c>
      <c r="B420">
        <v>3004</v>
      </c>
      <c r="C420" t="str">
        <f t="shared" si="18"/>
        <v>Large</v>
      </c>
      <c r="D420">
        <v>4</v>
      </c>
      <c r="E420">
        <v>4</v>
      </c>
      <c r="F420">
        <v>1</v>
      </c>
      <c r="G420">
        <v>1918</v>
      </c>
      <c r="H420" t="str">
        <f t="shared" si="19"/>
        <v>Pre-1950</v>
      </c>
      <c r="I420" t="s">
        <v>10</v>
      </c>
      <c r="J420" t="s">
        <v>18</v>
      </c>
      <c r="K420" t="s">
        <v>16</v>
      </c>
      <c r="L420" s="4">
        <v>164587</v>
      </c>
      <c r="M420" t="str">
        <f t="shared" si="20"/>
        <v>Low</v>
      </c>
    </row>
    <row r="421" spans="1:13" x14ac:dyDescent="0.35">
      <c r="A421">
        <v>420</v>
      </c>
      <c r="B421">
        <v>3467</v>
      </c>
      <c r="C421" t="str">
        <f t="shared" si="18"/>
        <v>Large</v>
      </c>
      <c r="D421">
        <v>4</v>
      </c>
      <c r="E421">
        <v>3</v>
      </c>
      <c r="F421">
        <v>3</v>
      </c>
      <c r="G421">
        <v>1966</v>
      </c>
      <c r="H421" t="str">
        <f t="shared" si="19"/>
        <v>1950-1975</v>
      </c>
      <c r="I421" t="s">
        <v>10</v>
      </c>
      <c r="J421" t="s">
        <v>18</v>
      </c>
      <c r="K421" t="s">
        <v>16</v>
      </c>
      <c r="L421" s="4">
        <v>283076</v>
      </c>
      <c r="M421" t="str">
        <f t="shared" si="20"/>
        <v>Medium</v>
      </c>
    </row>
    <row r="422" spans="1:13" x14ac:dyDescent="0.35">
      <c r="A422">
        <v>421</v>
      </c>
      <c r="B422">
        <v>3286</v>
      </c>
      <c r="C422" t="str">
        <f t="shared" si="18"/>
        <v>Large</v>
      </c>
      <c r="D422">
        <v>2</v>
      </c>
      <c r="E422">
        <v>4</v>
      </c>
      <c r="F422">
        <v>1</v>
      </c>
      <c r="G422">
        <v>1981</v>
      </c>
      <c r="H422" t="str">
        <f t="shared" si="19"/>
        <v>1976-2000</v>
      </c>
      <c r="I422" t="s">
        <v>19</v>
      </c>
      <c r="J422" t="s">
        <v>11</v>
      </c>
      <c r="K422" t="s">
        <v>16</v>
      </c>
      <c r="L422" s="4">
        <v>796988</v>
      </c>
      <c r="M422" t="str">
        <f t="shared" si="20"/>
        <v>Premium</v>
      </c>
    </row>
    <row r="423" spans="1:13" x14ac:dyDescent="0.35">
      <c r="A423">
        <v>422</v>
      </c>
      <c r="B423">
        <v>1622</v>
      </c>
      <c r="C423" t="str">
        <f t="shared" si="18"/>
        <v>Medium</v>
      </c>
      <c r="D423">
        <v>5</v>
      </c>
      <c r="E423">
        <v>1</v>
      </c>
      <c r="F423">
        <v>3</v>
      </c>
      <c r="G423">
        <v>2002</v>
      </c>
      <c r="H423" t="str">
        <f t="shared" si="19"/>
        <v>Post-2000</v>
      </c>
      <c r="I423" t="s">
        <v>14</v>
      </c>
      <c r="J423" t="s">
        <v>13</v>
      </c>
      <c r="K423" t="s">
        <v>12</v>
      </c>
      <c r="L423" s="4">
        <v>520897</v>
      </c>
      <c r="M423" t="str">
        <f t="shared" si="20"/>
        <v>High</v>
      </c>
    </row>
    <row r="424" spans="1:13" x14ac:dyDescent="0.35">
      <c r="A424">
        <v>423</v>
      </c>
      <c r="B424">
        <v>4579</v>
      </c>
      <c r="C424" t="str">
        <f t="shared" si="18"/>
        <v>Extra Large</v>
      </c>
      <c r="D424">
        <v>4</v>
      </c>
      <c r="E424">
        <v>1</v>
      </c>
      <c r="F424">
        <v>3</v>
      </c>
      <c r="G424">
        <v>1972</v>
      </c>
      <c r="H424" t="str">
        <f t="shared" si="19"/>
        <v>1950-1975</v>
      </c>
      <c r="I424" t="s">
        <v>14</v>
      </c>
      <c r="J424" t="s">
        <v>18</v>
      </c>
      <c r="K424" t="s">
        <v>16</v>
      </c>
      <c r="L424" s="4">
        <v>88886</v>
      </c>
      <c r="M424" t="str">
        <f t="shared" si="20"/>
        <v>Low</v>
      </c>
    </row>
    <row r="425" spans="1:13" x14ac:dyDescent="0.35">
      <c r="A425">
        <v>424</v>
      </c>
      <c r="B425">
        <v>2071</v>
      </c>
      <c r="C425" t="str">
        <f t="shared" si="18"/>
        <v>Medium</v>
      </c>
      <c r="D425">
        <v>2</v>
      </c>
      <c r="E425">
        <v>4</v>
      </c>
      <c r="F425">
        <v>2</v>
      </c>
      <c r="G425">
        <v>2015</v>
      </c>
      <c r="H425" t="str">
        <f t="shared" si="19"/>
        <v>Post-2000</v>
      </c>
      <c r="I425" t="s">
        <v>10</v>
      </c>
      <c r="J425" t="s">
        <v>13</v>
      </c>
      <c r="K425" t="s">
        <v>16</v>
      </c>
      <c r="L425" s="4">
        <v>401169</v>
      </c>
      <c r="M425" t="str">
        <f t="shared" si="20"/>
        <v>High</v>
      </c>
    </row>
    <row r="426" spans="1:13" x14ac:dyDescent="0.35">
      <c r="A426">
        <v>425</v>
      </c>
      <c r="B426">
        <v>2643</v>
      </c>
      <c r="C426" t="str">
        <f t="shared" si="18"/>
        <v>Large</v>
      </c>
      <c r="D426">
        <v>1</v>
      </c>
      <c r="E426">
        <v>3</v>
      </c>
      <c r="F426">
        <v>3</v>
      </c>
      <c r="G426">
        <v>1975</v>
      </c>
      <c r="H426" t="str">
        <f t="shared" si="19"/>
        <v>1950-1975</v>
      </c>
      <c r="I426" t="s">
        <v>14</v>
      </c>
      <c r="J426" t="s">
        <v>13</v>
      </c>
      <c r="K426" t="s">
        <v>16</v>
      </c>
      <c r="L426" s="4">
        <v>539788</v>
      </c>
      <c r="M426" t="str">
        <f t="shared" si="20"/>
        <v>High</v>
      </c>
    </row>
    <row r="427" spans="1:13" x14ac:dyDescent="0.35">
      <c r="A427">
        <v>426</v>
      </c>
      <c r="B427">
        <v>2187</v>
      </c>
      <c r="C427" t="str">
        <f t="shared" si="18"/>
        <v>Medium</v>
      </c>
      <c r="D427">
        <v>5</v>
      </c>
      <c r="E427">
        <v>2</v>
      </c>
      <c r="F427">
        <v>2</v>
      </c>
      <c r="G427">
        <v>1904</v>
      </c>
      <c r="H427" t="str">
        <f t="shared" si="19"/>
        <v>Pre-1950</v>
      </c>
      <c r="I427" t="s">
        <v>17</v>
      </c>
      <c r="J427" t="s">
        <v>15</v>
      </c>
      <c r="K427" t="s">
        <v>12</v>
      </c>
      <c r="L427" s="4">
        <v>145149</v>
      </c>
      <c r="M427" t="str">
        <f t="shared" si="20"/>
        <v>Low</v>
      </c>
    </row>
    <row r="428" spans="1:13" x14ac:dyDescent="0.35">
      <c r="A428">
        <v>427</v>
      </c>
      <c r="B428">
        <v>4632</v>
      </c>
      <c r="C428" t="str">
        <f t="shared" si="18"/>
        <v>Extra Large</v>
      </c>
      <c r="D428">
        <v>3</v>
      </c>
      <c r="E428">
        <v>3</v>
      </c>
      <c r="F428">
        <v>3</v>
      </c>
      <c r="G428">
        <v>1966</v>
      </c>
      <c r="H428" t="str">
        <f t="shared" si="19"/>
        <v>1950-1975</v>
      </c>
      <c r="I428" t="s">
        <v>17</v>
      </c>
      <c r="J428" t="s">
        <v>15</v>
      </c>
      <c r="K428" t="s">
        <v>12</v>
      </c>
      <c r="L428" s="4">
        <v>668308</v>
      </c>
      <c r="M428" t="str">
        <f t="shared" si="20"/>
        <v>Premium</v>
      </c>
    </row>
    <row r="429" spans="1:13" x14ac:dyDescent="0.35">
      <c r="A429">
        <v>428</v>
      </c>
      <c r="B429">
        <v>4351</v>
      </c>
      <c r="C429" t="str">
        <f t="shared" si="18"/>
        <v>Extra Large</v>
      </c>
      <c r="D429">
        <v>4</v>
      </c>
      <c r="E429">
        <v>2</v>
      </c>
      <c r="F429">
        <v>1</v>
      </c>
      <c r="G429">
        <v>1910</v>
      </c>
      <c r="H429" t="str">
        <f t="shared" si="19"/>
        <v>Pre-1950</v>
      </c>
      <c r="I429" t="s">
        <v>19</v>
      </c>
      <c r="J429" t="s">
        <v>11</v>
      </c>
      <c r="K429" t="s">
        <v>12</v>
      </c>
      <c r="L429" s="4">
        <v>576961</v>
      </c>
      <c r="M429" t="str">
        <f t="shared" si="20"/>
        <v>High</v>
      </c>
    </row>
    <row r="430" spans="1:13" x14ac:dyDescent="0.35">
      <c r="A430">
        <v>429</v>
      </c>
      <c r="B430">
        <v>3940</v>
      </c>
      <c r="C430" t="str">
        <f t="shared" si="18"/>
        <v>Large</v>
      </c>
      <c r="D430">
        <v>2</v>
      </c>
      <c r="E430">
        <v>4</v>
      </c>
      <c r="F430">
        <v>1</v>
      </c>
      <c r="G430">
        <v>2020</v>
      </c>
      <c r="H430" t="str">
        <f t="shared" si="19"/>
        <v>Post-2000</v>
      </c>
      <c r="I430" t="s">
        <v>19</v>
      </c>
      <c r="J430" t="s">
        <v>13</v>
      </c>
      <c r="K430" t="s">
        <v>16</v>
      </c>
      <c r="L430" s="4">
        <v>913945</v>
      </c>
      <c r="M430" t="str">
        <f t="shared" si="20"/>
        <v>Premium</v>
      </c>
    </row>
    <row r="431" spans="1:13" x14ac:dyDescent="0.35">
      <c r="A431">
        <v>430</v>
      </c>
      <c r="B431">
        <v>4266</v>
      </c>
      <c r="C431" t="str">
        <f t="shared" si="18"/>
        <v>Extra Large</v>
      </c>
      <c r="D431">
        <v>1</v>
      </c>
      <c r="E431">
        <v>4</v>
      </c>
      <c r="F431">
        <v>3</v>
      </c>
      <c r="G431">
        <v>1993</v>
      </c>
      <c r="H431" t="str">
        <f t="shared" si="19"/>
        <v>1976-2000</v>
      </c>
      <c r="I431" t="s">
        <v>14</v>
      </c>
      <c r="J431" t="s">
        <v>18</v>
      </c>
      <c r="K431" t="s">
        <v>12</v>
      </c>
      <c r="L431" s="4">
        <v>73466</v>
      </c>
      <c r="M431" t="str">
        <f t="shared" si="20"/>
        <v>Low</v>
      </c>
    </row>
    <row r="432" spans="1:13" x14ac:dyDescent="0.35">
      <c r="A432">
        <v>431</v>
      </c>
      <c r="B432">
        <v>2826</v>
      </c>
      <c r="C432" t="str">
        <f t="shared" si="18"/>
        <v>Large</v>
      </c>
      <c r="D432">
        <v>3</v>
      </c>
      <c r="E432">
        <v>1</v>
      </c>
      <c r="F432">
        <v>3</v>
      </c>
      <c r="G432">
        <v>1967</v>
      </c>
      <c r="H432" t="str">
        <f t="shared" si="19"/>
        <v>1950-1975</v>
      </c>
      <c r="I432" t="s">
        <v>10</v>
      </c>
      <c r="J432" t="s">
        <v>15</v>
      </c>
      <c r="K432" t="s">
        <v>12</v>
      </c>
      <c r="L432" s="4">
        <v>287626</v>
      </c>
      <c r="M432" t="str">
        <f t="shared" si="20"/>
        <v>Medium</v>
      </c>
    </row>
    <row r="433" spans="1:13" x14ac:dyDescent="0.35">
      <c r="A433">
        <v>432</v>
      </c>
      <c r="B433">
        <v>3414</v>
      </c>
      <c r="C433" t="str">
        <f t="shared" si="18"/>
        <v>Large</v>
      </c>
      <c r="D433">
        <v>2</v>
      </c>
      <c r="E433">
        <v>2</v>
      </c>
      <c r="F433">
        <v>1</v>
      </c>
      <c r="G433">
        <v>1968</v>
      </c>
      <c r="H433" t="str">
        <f t="shared" si="19"/>
        <v>1950-1975</v>
      </c>
      <c r="I433" t="s">
        <v>19</v>
      </c>
      <c r="J433" t="s">
        <v>15</v>
      </c>
      <c r="K433" t="s">
        <v>16</v>
      </c>
      <c r="L433" s="4">
        <v>928977</v>
      </c>
      <c r="M433" t="str">
        <f t="shared" si="20"/>
        <v>Premium</v>
      </c>
    </row>
    <row r="434" spans="1:13" x14ac:dyDescent="0.35">
      <c r="A434">
        <v>433</v>
      </c>
      <c r="B434">
        <v>4452</v>
      </c>
      <c r="C434" t="str">
        <f t="shared" si="18"/>
        <v>Extra Large</v>
      </c>
      <c r="D434">
        <v>2</v>
      </c>
      <c r="E434">
        <v>3</v>
      </c>
      <c r="F434">
        <v>3</v>
      </c>
      <c r="G434">
        <v>1900</v>
      </c>
      <c r="H434" t="str">
        <f t="shared" si="19"/>
        <v>Pre-1950</v>
      </c>
      <c r="I434" t="s">
        <v>17</v>
      </c>
      <c r="J434" t="s">
        <v>13</v>
      </c>
      <c r="K434" t="s">
        <v>16</v>
      </c>
      <c r="L434" s="4">
        <v>559966</v>
      </c>
      <c r="M434" t="str">
        <f t="shared" si="20"/>
        <v>High</v>
      </c>
    </row>
    <row r="435" spans="1:13" x14ac:dyDescent="0.35">
      <c r="A435">
        <v>434</v>
      </c>
      <c r="B435">
        <v>1095</v>
      </c>
      <c r="C435" t="str">
        <f t="shared" si="18"/>
        <v>Medium</v>
      </c>
      <c r="D435">
        <v>3</v>
      </c>
      <c r="E435">
        <v>4</v>
      </c>
      <c r="F435">
        <v>2</v>
      </c>
      <c r="G435">
        <v>1990</v>
      </c>
      <c r="H435" t="str">
        <f t="shared" si="19"/>
        <v>1976-2000</v>
      </c>
      <c r="I435" t="s">
        <v>19</v>
      </c>
      <c r="J435" t="s">
        <v>15</v>
      </c>
      <c r="K435" t="s">
        <v>12</v>
      </c>
      <c r="L435" s="4">
        <v>624694</v>
      </c>
      <c r="M435" t="str">
        <f t="shared" si="20"/>
        <v>Premium</v>
      </c>
    </row>
    <row r="436" spans="1:13" x14ac:dyDescent="0.35">
      <c r="A436">
        <v>435</v>
      </c>
      <c r="B436">
        <v>1228</v>
      </c>
      <c r="C436" t="str">
        <f t="shared" si="18"/>
        <v>Medium</v>
      </c>
      <c r="D436">
        <v>1</v>
      </c>
      <c r="E436">
        <v>3</v>
      </c>
      <c r="F436">
        <v>2</v>
      </c>
      <c r="G436">
        <v>1991</v>
      </c>
      <c r="H436" t="str">
        <f t="shared" si="19"/>
        <v>1976-2000</v>
      </c>
      <c r="I436" t="s">
        <v>19</v>
      </c>
      <c r="J436" t="s">
        <v>15</v>
      </c>
      <c r="K436" t="s">
        <v>12</v>
      </c>
      <c r="L436" s="4">
        <v>446904</v>
      </c>
      <c r="M436" t="str">
        <f t="shared" si="20"/>
        <v>High</v>
      </c>
    </row>
    <row r="437" spans="1:13" x14ac:dyDescent="0.35">
      <c r="A437">
        <v>436</v>
      </c>
      <c r="B437">
        <v>1865</v>
      </c>
      <c r="C437" t="str">
        <f t="shared" si="18"/>
        <v>Medium</v>
      </c>
      <c r="D437">
        <v>1</v>
      </c>
      <c r="E437">
        <v>1</v>
      </c>
      <c r="F437">
        <v>2</v>
      </c>
      <c r="G437">
        <v>1962</v>
      </c>
      <c r="H437" t="str">
        <f t="shared" si="19"/>
        <v>1950-1975</v>
      </c>
      <c r="I437" t="s">
        <v>17</v>
      </c>
      <c r="J437" t="s">
        <v>18</v>
      </c>
      <c r="K437" t="s">
        <v>16</v>
      </c>
      <c r="L437" s="4">
        <v>643572</v>
      </c>
      <c r="M437" t="str">
        <f t="shared" si="20"/>
        <v>Premium</v>
      </c>
    </row>
    <row r="438" spans="1:13" x14ac:dyDescent="0.35">
      <c r="A438">
        <v>437</v>
      </c>
      <c r="B438">
        <v>4992</v>
      </c>
      <c r="C438" t="str">
        <f t="shared" si="18"/>
        <v>Extra Large</v>
      </c>
      <c r="D438">
        <v>5</v>
      </c>
      <c r="E438">
        <v>2</v>
      </c>
      <c r="F438">
        <v>2</v>
      </c>
      <c r="G438">
        <v>1928</v>
      </c>
      <c r="H438" t="str">
        <f t="shared" si="19"/>
        <v>Pre-1950</v>
      </c>
      <c r="I438" t="s">
        <v>10</v>
      </c>
      <c r="J438" t="s">
        <v>13</v>
      </c>
      <c r="K438" t="s">
        <v>12</v>
      </c>
      <c r="L438" s="4">
        <v>810006</v>
      </c>
      <c r="M438" t="str">
        <f t="shared" si="20"/>
        <v>Premium</v>
      </c>
    </row>
    <row r="439" spans="1:13" x14ac:dyDescent="0.35">
      <c r="A439">
        <v>438</v>
      </c>
      <c r="B439">
        <v>1198</v>
      </c>
      <c r="C439" t="str">
        <f t="shared" si="18"/>
        <v>Medium</v>
      </c>
      <c r="D439">
        <v>4</v>
      </c>
      <c r="E439">
        <v>2</v>
      </c>
      <c r="F439">
        <v>2</v>
      </c>
      <c r="G439">
        <v>1981</v>
      </c>
      <c r="H439" t="str">
        <f t="shared" si="19"/>
        <v>1976-2000</v>
      </c>
      <c r="I439" t="s">
        <v>19</v>
      </c>
      <c r="J439" t="s">
        <v>15</v>
      </c>
      <c r="K439" t="s">
        <v>16</v>
      </c>
      <c r="L439" s="4">
        <v>951011</v>
      </c>
      <c r="M439" t="str">
        <f t="shared" si="20"/>
        <v>Premium</v>
      </c>
    </row>
    <row r="440" spans="1:13" x14ac:dyDescent="0.35">
      <c r="A440">
        <v>439</v>
      </c>
      <c r="B440">
        <v>895</v>
      </c>
      <c r="C440" t="str">
        <f t="shared" si="18"/>
        <v>Small</v>
      </c>
      <c r="D440">
        <v>3</v>
      </c>
      <c r="E440">
        <v>4</v>
      </c>
      <c r="F440">
        <v>3</v>
      </c>
      <c r="G440">
        <v>1911</v>
      </c>
      <c r="H440" t="str">
        <f t="shared" si="19"/>
        <v>Pre-1950</v>
      </c>
      <c r="I440" t="s">
        <v>19</v>
      </c>
      <c r="J440" t="s">
        <v>13</v>
      </c>
      <c r="K440" t="s">
        <v>16</v>
      </c>
      <c r="L440" s="4">
        <v>587953</v>
      </c>
      <c r="M440" t="str">
        <f t="shared" si="20"/>
        <v>High</v>
      </c>
    </row>
    <row r="441" spans="1:13" x14ac:dyDescent="0.35">
      <c r="A441">
        <v>440</v>
      </c>
      <c r="B441">
        <v>4671</v>
      </c>
      <c r="C441" t="str">
        <f t="shared" si="18"/>
        <v>Extra Large</v>
      </c>
      <c r="D441">
        <v>3</v>
      </c>
      <c r="E441">
        <v>2</v>
      </c>
      <c r="F441">
        <v>3</v>
      </c>
      <c r="G441">
        <v>1976</v>
      </c>
      <c r="H441" t="str">
        <f t="shared" si="19"/>
        <v>1976-2000</v>
      </c>
      <c r="I441" t="s">
        <v>19</v>
      </c>
      <c r="J441" t="s">
        <v>15</v>
      </c>
      <c r="K441" t="s">
        <v>12</v>
      </c>
      <c r="L441" s="4">
        <v>594929</v>
      </c>
      <c r="M441" t="str">
        <f t="shared" si="20"/>
        <v>High</v>
      </c>
    </row>
    <row r="442" spans="1:13" x14ac:dyDescent="0.35">
      <c r="A442">
        <v>441</v>
      </c>
      <c r="B442">
        <v>4860</v>
      </c>
      <c r="C442" t="str">
        <f t="shared" si="18"/>
        <v>Extra Large</v>
      </c>
      <c r="D442">
        <v>3</v>
      </c>
      <c r="E442">
        <v>4</v>
      </c>
      <c r="F442">
        <v>2</v>
      </c>
      <c r="G442">
        <v>1940</v>
      </c>
      <c r="H442" t="str">
        <f t="shared" si="19"/>
        <v>Pre-1950</v>
      </c>
      <c r="I442" t="s">
        <v>14</v>
      </c>
      <c r="J442" t="s">
        <v>18</v>
      </c>
      <c r="K442" t="s">
        <v>12</v>
      </c>
      <c r="L442" s="4">
        <v>475716</v>
      </c>
      <c r="M442" t="str">
        <f t="shared" si="20"/>
        <v>High</v>
      </c>
    </row>
    <row r="443" spans="1:13" x14ac:dyDescent="0.35">
      <c r="A443">
        <v>442</v>
      </c>
      <c r="B443">
        <v>3002</v>
      </c>
      <c r="C443" t="str">
        <f t="shared" si="18"/>
        <v>Large</v>
      </c>
      <c r="D443">
        <v>1</v>
      </c>
      <c r="E443">
        <v>1</v>
      </c>
      <c r="F443">
        <v>3</v>
      </c>
      <c r="G443">
        <v>1901</v>
      </c>
      <c r="H443" t="str">
        <f t="shared" si="19"/>
        <v>Pre-1950</v>
      </c>
      <c r="I443" t="s">
        <v>19</v>
      </c>
      <c r="J443" t="s">
        <v>13</v>
      </c>
      <c r="K443" t="s">
        <v>12</v>
      </c>
      <c r="L443" s="4">
        <v>610085</v>
      </c>
      <c r="M443" t="str">
        <f t="shared" si="20"/>
        <v>Premium</v>
      </c>
    </row>
    <row r="444" spans="1:13" x14ac:dyDescent="0.35">
      <c r="A444">
        <v>443</v>
      </c>
      <c r="B444">
        <v>2319</v>
      </c>
      <c r="C444" t="str">
        <f t="shared" si="18"/>
        <v>Medium</v>
      </c>
      <c r="D444">
        <v>4</v>
      </c>
      <c r="E444">
        <v>2</v>
      </c>
      <c r="F444">
        <v>3</v>
      </c>
      <c r="G444">
        <v>1936</v>
      </c>
      <c r="H444" t="str">
        <f t="shared" si="19"/>
        <v>Pre-1950</v>
      </c>
      <c r="I444" t="s">
        <v>17</v>
      </c>
      <c r="J444" t="s">
        <v>15</v>
      </c>
      <c r="K444" t="s">
        <v>12</v>
      </c>
      <c r="L444" s="4">
        <v>790126</v>
      </c>
      <c r="M444" t="str">
        <f t="shared" si="20"/>
        <v>Premium</v>
      </c>
    </row>
    <row r="445" spans="1:13" x14ac:dyDescent="0.35">
      <c r="A445">
        <v>444</v>
      </c>
      <c r="B445">
        <v>1217</v>
      </c>
      <c r="C445" t="str">
        <f t="shared" si="18"/>
        <v>Medium</v>
      </c>
      <c r="D445">
        <v>5</v>
      </c>
      <c r="E445">
        <v>4</v>
      </c>
      <c r="F445">
        <v>2</v>
      </c>
      <c r="G445">
        <v>1944</v>
      </c>
      <c r="H445" t="str">
        <f t="shared" si="19"/>
        <v>Pre-1950</v>
      </c>
      <c r="I445" t="s">
        <v>10</v>
      </c>
      <c r="J445" t="s">
        <v>18</v>
      </c>
      <c r="K445" t="s">
        <v>16</v>
      </c>
      <c r="L445" s="4">
        <v>358094</v>
      </c>
      <c r="M445" t="str">
        <f t="shared" si="20"/>
        <v>Medium</v>
      </c>
    </row>
    <row r="446" spans="1:13" x14ac:dyDescent="0.35">
      <c r="A446">
        <v>445</v>
      </c>
      <c r="B446">
        <v>3282</v>
      </c>
      <c r="C446" t="str">
        <f t="shared" si="18"/>
        <v>Large</v>
      </c>
      <c r="D446">
        <v>2</v>
      </c>
      <c r="E446">
        <v>3</v>
      </c>
      <c r="F446">
        <v>3</v>
      </c>
      <c r="G446">
        <v>1979</v>
      </c>
      <c r="H446" t="str">
        <f t="shared" si="19"/>
        <v>1976-2000</v>
      </c>
      <c r="I446" t="s">
        <v>10</v>
      </c>
      <c r="J446" t="s">
        <v>15</v>
      </c>
      <c r="K446" t="s">
        <v>12</v>
      </c>
      <c r="L446" s="4">
        <v>992550</v>
      </c>
      <c r="M446" t="str">
        <f t="shared" si="20"/>
        <v>Premium</v>
      </c>
    </row>
    <row r="447" spans="1:13" x14ac:dyDescent="0.35">
      <c r="A447">
        <v>446</v>
      </c>
      <c r="B447">
        <v>4077</v>
      </c>
      <c r="C447" t="str">
        <f t="shared" si="18"/>
        <v>Extra Large</v>
      </c>
      <c r="D447">
        <v>2</v>
      </c>
      <c r="E447">
        <v>4</v>
      </c>
      <c r="F447">
        <v>3</v>
      </c>
      <c r="G447">
        <v>1947</v>
      </c>
      <c r="H447" t="str">
        <f t="shared" si="19"/>
        <v>Pre-1950</v>
      </c>
      <c r="I447" t="s">
        <v>17</v>
      </c>
      <c r="J447" t="s">
        <v>13</v>
      </c>
      <c r="K447" t="s">
        <v>12</v>
      </c>
      <c r="L447" s="4">
        <v>965986</v>
      </c>
      <c r="M447" t="str">
        <f t="shared" si="20"/>
        <v>Premium</v>
      </c>
    </row>
    <row r="448" spans="1:13" x14ac:dyDescent="0.35">
      <c r="A448">
        <v>447</v>
      </c>
      <c r="B448">
        <v>643</v>
      </c>
      <c r="C448" t="str">
        <f t="shared" si="18"/>
        <v>Small</v>
      </c>
      <c r="D448">
        <v>3</v>
      </c>
      <c r="E448">
        <v>2</v>
      </c>
      <c r="F448">
        <v>3</v>
      </c>
      <c r="G448">
        <v>1923</v>
      </c>
      <c r="H448" t="str">
        <f t="shared" si="19"/>
        <v>Pre-1950</v>
      </c>
      <c r="I448" t="s">
        <v>14</v>
      </c>
      <c r="J448" t="s">
        <v>15</v>
      </c>
      <c r="K448" t="s">
        <v>12</v>
      </c>
      <c r="L448" s="4">
        <v>676627</v>
      </c>
      <c r="M448" t="str">
        <f t="shared" si="20"/>
        <v>Premium</v>
      </c>
    </row>
    <row r="449" spans="1:13" x14ac:dyDescent="0.35">
      <c r="A449">
        <v>448</v>
      </c>
      <c r="B449">
        <v>3640</v>
      </c>
      <c r="C449" t="str">
        <f t="shared" si="18"/>
        <v>Large</v>
      </c>
      <c r="D449">
        <v>4</v>
      </c>
      <c r="E449">
        <v>1</v>
      </c>
      <c r="F449">
        <v>2</v>
      </c>
      <c r="G449">
        <v>1998</v>
      </c>
      <c r="H449" t="str">
        <f t="shared" si="19"/>
        <v>1976-2000</v>
      </c>
      <c r="I449" t="s">
        <v>17</v>
      </c>
      <c r="J449" t="s">
        <v>13</v>
      </c>
      <c r="K449" t="s">
        <v>16</v>
      </c>
      <c r="L449" s="4">
        <v>687719</v>
      </c>
      <c r="M449" t="str">
        <f t="shared" si="20"/>
        <v>Premium</v>
      </c>
    </row>
    <row r="450" spans="1:13" x14ac:dyDescent="0.35">
      <c r="A450">
        <v>449</v>
      </c>
      <c r="B450">
        <v>4991</v>
      </c>
      <c r="C450" t="str">
        <f t="shared" si="18"/>
        <v>Extra Large</v>
      </c>
      <c r="D450">
        <v>1</v>
      </c>
      <c r="E450">
        <v>2</v>
      </c>
      <c r="F450">
        <v>3</v>
      </c>
      <c r="G450">
        <v>1921</v>
      </c>
      <c r="H450" t="str">
        <f t="shared" si="19"/>
        <v>Pre-1950</v>
      </c>
      <c r="I450" t="s">
        <v>10</v>
      </c>
      <c r="J450" t="s">
        <v>13</v>
      </c>
      <c r="K450" t="s">
        <v>12</v>
      </c>
      <c r="L450" s="4">
        <v>282275</v>
      </c>
      <c r="M450" t="str">
        <f t="shared" si="20"/>
        <v>Medium</v>
      </c>
    </row>
    <row r="451" spans="1:13" x14ac:dyDescent="0.35">
      <c r="A451">
        <v>450</v>
      </c>
      <c r="B451">
        <v>3438</v>
      </c>
      <c r="C451" t="str">
        <f t="shared" ref="C451:C514" si="21">IF(B451&lt;=1000,"Small",IF(B451&lt;=2500,"Medium",IF(B451&lt;=4000,"Large",IF(B451&gt;=4000,"Extra Large"))))</f>
        <v>Large</v>
      </c>
      <c r="D451">
        <v>4</v>
      </c>
      <c r="E451">
        <v>2</v>
      </c>
      <c r="F451">
        <v>1</v>
      </c>
      <c r="G451">
        <v>1999</v>
      </c>
      <c r="H451" t="str">
        <f t="shared" ref="H451:H514" si="22">IF(G451&lt;=1950,"Pre-1950",IF(G451&lt;=1975,"1950-1975",IF(G451&lt;=2000,"1976-2000",IF(G451&gt;=2000,"Post-2000"))))</f>
        <v>1976-2000</v>
      </c>
      <c r="I451" t="s">
        <v>17</v>
      </c>
      <c r="J451" t="s">
        <v>15</v>
      </c>
      <c r="K451" t="s">
        <v>12</v>
      </c>
      <c r="L451" s="4">
        <v>452854</v>
      </c>
      <c r="M451" t="str">
        <f t="shared" ref="M451:M514" si="23">IF(L451&lt;=200000,"Low",IF(L451&lt;=400000,"Medium",IF(L451&lt;=600000,"High",IF(L451&gt;=600000,"Premium",""))))</f>
        <v>High</v>
      </c>
    </row>
    <row r="452" spans="1:13" x14ac:dyDescent="0.35">
      <c r="A452">
        <v>451</v>
      </c>
      <c r="B452">
        <v>4136</v>
      </c>
      <c r="C452" t="str">
        <f t="shared" si="21"/>
        <v>Extra Large</v>
      </c>
      <c r="D452">
        <v>4</v>
      </c>
      <c r="E452">
        <v>4</v>
      </c>
      <c r="F452">
        <v>1</v>
      </c>
      <c r="G452">
        <v>1910</v>
      </c>
      <c r="H452" t="str">
        <f t="shared" si="22"/>
        <v>Pre-1950</v>
      </c>
      <c r="I452" t="s">
        <v>14</v>
      </c>
      <c r="J452" t="s">
        <v>18</v>
      </c>
      <c r="K452" t="s">
        <v>16</v>
      </c>
      <c r="L452" s="4">
        <v>857605</v>
      </c>
      <c r="M452" t="str">
        <f t="shared" si="23"/>
        <v>Premium</v>
      </c>
    </row>
    <row r="453" spans="1:13" x14ac:dyDescent="0.35">
      <c r="A453">
        <v>452</v>
      </c>
      <c r="B453">
        <v>3722</v>
      </c>
      <c r="C453" t="str">
        <f t="shared" si="21"/>
        <v>Large</v>
      </c>
      <c r="D453">
        <v>1</v>
      </c>
      <c r="E453">
        <v>3</v>
      </c>
      <c r="F453">
        <v>2</v>
      </c>
      <c r="G453">
        <v>2018</v>
      </c>
      <c r="H453" t="str">
        <f t="shared" si="22"/>
        <v>Post-2000</v>
      </c>
      <c r="I453" t="s">
        <v>10</v>
      </c>
      <c r="J453" t="s">
        <v>11</v>
      </c>
      <c r="K453" t="s">
        <v>16</v>
      </c>
      <c r="L453" s="4">
        <v>718582</v>
      </c>
      <c r="M453" t="str">
        <f t="shared" si="23"/>
        <v>Premium</v>
      </c>
    </row>
    <row r="454" spans="1:13" x14ac:dyDescent="0.35">
      <c r="A454">
        <v>453</v>
      </c>
      <c r="B454">
        <v>1667</v>
      </c>
      <c r="C454" t="str">
        <f t="shared" si="21"/>
        <v>Medium</v>
      </c>
      <c r="D454">
        <v>3</v>
      </c>
      <c r="E454">
        <v>2</v>
      </c>
      <c r="F454">
        <v>1</v>
      </c>
      <c r="G454">
        <v>1957</v>
      </c>
      <c r="H454" t="str">
        <f t="shared" si="22"/>
        <v>1950-1975</v>
      </c>
      <c r="I454" t="s">
        <v>14</v>
      </c>
      <c r="J454" t="s">
        <v>18</v>
      </c>
      <c r="K454" t="s">
        <v>16</v>
      </c>
      <c r="L454" s="4">
        <v>231136</v>
      </c>
      <c r="M454" t="str">
        <f t="shared" si="23"/>
        <v>Medium</v>
      </c>
    </row>
    <row r="455" spans="1:13" x14ac:dyDescent="0.35">
      <c r="A455">
        <v>454</v>
      </c>
      <c r="B455">
        <v>3116</v>
      </c>
      <c r="C455" t="str">
        <f t="shared" si="21"/>
        <v>Large</v>
      </c>
      <c r="D455">
        <v>4</v>
      </c>
      <c r="E455">
        <v>3</v>
      </c>
      <c r="F455">
        <v>2</v>
      </c>
      <c r="G455">
        <v>1945</v>
      </c>
      <c r="H455" t="str">
        <f t="shared" si="22"/>
        <v>Pre-1950</v>
      </c>
      <c r="I455" t="s">
        <v>17</v>
      </c>
      <c r="J455" t="s">
        <v>18</v>
      </c>
      <c r="K455" t="s">
        <v>16</v>
      </c>
      <c r="L455" s="4">
        <v>218082</v>
      </c>
      <c r="M455" t="str">
        <f t="shared" si="23"/>
        <v>Medium</v>
      </c>
    </row>
    <row r="456" spans="1:13" x14ac:dyDescent="0.35">
      <c r="A456">
        <v>455</v>
      </c>
      <c r="B456">
        <v>1562</v>
      </c>
      <c r="C456" t="str">
        <f t="shared" si="21"/>
        <v>Medium</v>
      </c>
      <c r="D456">
        <v>2</v>
      </c>
      <c r="E456">
        <v>4</v>
      </c>
      <c r="F456">
        <v>1</v>
      </c>
      <c r="G456">
        <v>1928</v>
      </c>
      <c r="H456" t="str">
        <f t="shared" si="22"/>
        <v>Pre-1950</v>
      </c>
      <c r="I456" t="s">
        <v>19</v>
      </c>
      <c r="J456" t="s">
        <v>15</v>
      </c>
      <c r="K456" t="s">
        <v>16</v>
      </c>
      <c r="L456" s="4">
        <v>303301</v>
      </c>
      <c r="M456" t="str">
        <f t="shared" si="23"/>
        <v>Medium</v>
      </c>
    </row>
    <row r="457" spans="1:13" x14ac:dyDescent="0.35">
      <c r="A457">
        <v>456</v>
      </c>
      <c r="B457">
        <v>2656</v>
      </c>
      <c r="C457" t="str">
        <f t="shared" si="21"/>
        <v>Large</v>
      </c>
      <c r="D457">
        <v>1</v>
      </c>
      <c r="E457">
        <v>3</v>
      </c>
      <c r="F457">
        <v>1</v>
      </c>
      <c r="G457">
        <v>1934</v>
      </c>
      <c r="H457" t="str">
        <f t="shared" si="22"/>
        <v>Pre-1950</v>
      </c>
      <c r="I457" t="s">
        <v>17</v>
      </c>
      <c r="J457" t="s">
        <v>18</v>
      </c>
      <c r="K457" t="s">
        <v>12</v>
      </c>
      <c r="L457" s="4">
        <v>592383</v>
      </c>
      <c r="M457" t="str">
        <f t="shared" si="23"/>
        <v>High</v>
      </c>
    </row>
    <row r="458" spans="1:13" x14ac:dyDescent="0.35">
      <c r="A458">
        <v>457</v>
      </c>
      <c r="B458">
        <v>3482</v>
      </c>
      <c r="C458" t="str">
        <f t="shared" si="21"/>
        <v>Large</v>
      </c>
      <c r="D458">
        <v>5</v>
      </c>
      <c r="E458">
        <v>4</v>
      </c>
      <c r="F458">
        <v>1</v>
      </c>
      <c r="G458">
        <v>2011</v>
      </c>
      <c r="H458" t="str">
        <f t="shared" si="22"/>
        <v>Post-2000</v>
      </c>
      <c r="I458" t="s">
        <v>14</v>
      </c>
      <c r="J458" t="s">
        <v>18</v>
      </c>
      <c r="K458" t="s">
        <v>16</v>
      </c>
      <c r="L458" s="4">
        <v>173554</v>
      </c>
      <c r="M458" t="str">
        <f t="shared" si="23"/>
        <v>Low</v>
      </c>
    </row>
    <row r="459" spans="1:13" x14ac:dyDescent="0.35">
      <c r="A459">
        <v>458</v>
      </c>
      <c r="B459">
        <v>3794</v>
      </c>
      <c r="C459" t="str">
        <f t="shared" si="21"/>
        <v>Large</v>
      </c>
      <c r="D459">
        <v>3</v>
      </c>
      <c r="E459">
        <v>1</v>
      </c>
      <c r="F459">
        <v>2</v>
      </c>
      <c r="G459">
        <v>2017</v>
      </c>
      <c r="H459" t="str">
        <f t="shared" si="22"/>
        <v>Post-2000</v>
      </c>
      <c r="I459" t="s">
        <v>17</v>
      </c>
      <c r="J459" t="s">
        <v>11</v>
      </c>
      <c r="K459" t="s">
        <v>16</v>
      </c>
      <c r="L459" s="4">
        <v>444655</v>
      </c>
      <c r="M459" t="str">
        <f t="shared" si="23"/>
        <v>High</v>
      </c>
    </row>
    <row r="460" spans="1:13" x14ac:dyDescent="0.35">
      <c r="A460">
        <v>459</v>
      </c>
      <c r="B460">
        <v>1656</v>
      </c>
      <c r="C460" t="str">
        <f t="shared" si="21"/>
        <v>Medium</v>
      </c>
      <c r="D460">
        <v>1</v>
      </c>
      <c r="E460">
        <v>3</v>
      </c>
      <c r="F460">
        <v>2</v>
      </c>
      <c r="G460">
        <v>1914</v>
      </c>
      <c r="H460" t="str">
        <f t="shared" si="22"/>
        <v>Pre-1950</v>
      </c>
      <c r="I460" t="s">
        <v>19</v>
      </c>
      <c r="J460" t="s">
        <v>18</v>
      </c>
      <c r="K460" t="s">
        <v>16</v>
      </c>
      <c r="L460" s="4">
        <v>962046</v>
      </c>
      <c r="M460" t="str">
        <f t="shared" si="23"/>
        <v>Premium</v>
      </c>
    </row>
    <row r="461" spans="1:13" x14ac:dyDescent="0.35">
      <c r="A461">
        <v>460</v>
      </c>
      <c r="B461">
        <v>1232</v>
      </c>
      <c r="C461" t="str">
        <f t="shared" si="21"/>
        <v>Medium</v>
      </c>
      <c r="D461">
        <v>5</v>
      </c>
      <c r="E461">
        <v>3</v>
      </c>
      <c r="F461">
        <v>3</v>
      </c>
      <c r="G461">
        <v>1959</v>
      </c>
      <c r="H461" t="str">
        <f t="shared" si="22"/>
        <v>1950-1975</v>
      </c>
      <c r="I461" t="s">
        <v>14</v>
      </c>
      <c r="J461" t="s">
        <v>11</v>
      </c>
      <c r="K461" t="s">
        <v>16</v>
      </c>
      <c r="L461" s="4">
        <v>809277</v>
      </c>
      <c r="M461" t="str">
        <f t="shared" si="23"/>
        <v>Premium</v>
      </c>
    </row>
    <row r="462" spans="1:13" x14ac:dyDescent="0.35">
      <c r="A462">
        <v>461</v>
      </c>
      <c r="B462">
        <v>4830</v>
      </c>
      <c r="C462" t="str">
        <f t="shared" si="21"/>
        <v>Extra Large</v>
      </c>
      <c r="D462">
        <v>5</v>
      </c>
      <c r="E462">
        <v>1</v>
      </c>
      <c r="F462">
        <v>2</v>
      </c>
      <c r="G462">
        <v>1994</v>
      </c>
      <c r="H462" t="str">
        <f t="shared" si="22"/>
        <v>1976-2000</v>
      </c>
      <c r="I462" t="s">
        <v>17</v>
      </c>
      <c r="J462" t="s">
        <v>15</v>
      </c>
      <c r="K462" t="s">
        <v>16</v>
      </c>
      <c r="L462" s="4">
        <v>528766</v>
      </c>
      <c r="M462" t="str">
        <f t="shared" si="23"/>
        <v>High</v>
      </c>
    </row>
    <row r="463" spans="1:13" x14ac:dyDescent="0.35">
      <c r="A463">
        <v>462</v>
      </c>
      <c r="B463">
        <v>1453</v>
      </c>
      <c r="C463" t="str">
        <f t="shared" si="21"/>
        <v>Medium</v>
      </c>
      <c r="D463">
        <v>4</v>
      </c>
      <c r="E463">
        <v>3</v>
      </c>
      <c r="F463">
        <v>1</v>
      </c>
      <c r="G463">
        <v>1941</v>
      </c>
      <c r="H463" t="str">
        <f t="shared" si="22"/>
        <v>Pre-1950</v>
      </c>
      <c r="I463" t="s">
        <v>14</v>
      </c>
      <c r="J463" t="s">
        <v>11</v>
      </c>
      <c r="K463" t="s">
        <v>16</v>
      </c>
      <c r="L463" s="4">
        <v>972879</v>
      </c>
      <c r="M463" t="str">
        <f t="shared" si="23"/>
        <v>Premium</v>
      </c>
    </row>
    <row r="464" spans="1:13" x14ac:dyDescent="0.35">
      <c r="A464">
        <v>463</v>
      </c>
      <c r="B464">
        <v>3039</v>
      </c>
      <c r="C464" t="str">
        <f t="shared" si="21"/>
        <v>Large</v>
      </c>
      <c r="D464">
        <v>4</v>
      </c>
      <c r="E464">
        <v>1</v>
      </c>
      <c r="F464">
        <v>1</v>
      </c>
      <c r="G464">
        <v>2004</v>
      </c>
      <c r="H464" t="str">
        <f t="shared" si="22"/>
        <v>Post-2000</v>
      </c>
      <c r="I464" t="s">
        <v>14</v>
      </c>
      <c r="J464" t="s">
        <v>13</v>
      </c>
      <c r="K464" t="s">
        <v>16</v>
      </c>
      <c r="L464" s="4">
        <v>663311</v>
      </c>
      <c r="M464" t="str">
        <f t="shared" si="23"/>
        <v>Premium</v>
      </c>
    </row>
    <row r="465" spans="1:13" x14ac:dyDescent="0.35">
      <c r="A465">
        <v>464</v>
      </c>
      <c r="B465">
        <v>3824</v>
      </c>
      <c r="C465" t="str">
        <f t="shared" si="21"/>
        <v>Large</v>
      </c>
      <c r="D465">
        <v>4</v>
      </c>
      <c r="E465">
        <v>2</v>
      </c>
      <c r="F465">
        <v>2</v>
      </c>
      <c r="G465">
        <v>1942</v>
      </c>
      <c r="H465" t="str">
        <f t="shared" si="22"/>
        <v>Pre-1950</v>
      </c>
      <c r="I465" t="s">
        <v>10</v>
      </c>
      <c r="J465" t="s">
        <v>13</v>
      </c>
      <c r="K465" t="s">
        <v>16</v>
      </c>
      <c r="L465" s="4">
        <v>681469</v>
      </c>
      <c r="M465" t="str">
        <f t="shared" si="23"/>
        <v>Premium</v>
      </c>
    </row>
    <row r="466" spans="1:13" x14ac:dyDescent="0.35">
      <c r="A466">
        <v>465</v>
      </c>
      <c r="B466">
        <v>3801</v>
      </c>
      <c r="C466" t="str">
        <f t="shared" si="21"/>
        <v>Large</v>
      </c>
      <c r="D466">
        <v>1</v>
      </c>
      <c r="E466">
        <v>4</v>
      </c>
      <c r="F466">
        <v>2</v>
      </c>
      <c r="G466">
        <v>1979</v>
      </c>
      <c r="H466" t="str">
        <f t="shared" si="22"/>
        <v>1976-2000</v>
      </c>
      <c r="I466" t="s">
        <v>10</v>
      </c>
      <c r="J466" t="s">
        <v>11</v>
      </c>
      <c r="K466" t="s">
        <v>12</v>
      </c>
      <c r="L466" s="4">
        <v>272310</v>
      </c>
      <c r="M466" t="str">
        <f t="shared" si="23"/>
        <v>Medium</v>
      </c>
    </row>
    <row r="467" spans="1:13" x14ac:dyDescent="0.35">
      <c r="A467">
        <v>466</v>
      </c>
      <c r="B467">
        <v>2042</v>
      </c>
      <c r="C467" t="str">
        <f t="shared" si="21"/>
        <v>Medium</v>
      </c>
      <c r="D467">
        <v>1</v>
      </c>
      <c r="E467">
        <v>1</v>
      </c>
      <c r="F467">
        <v>2</v>
      </c>
      <c r="G467">
        <v>1973</v>
      </c>
      <c r="H467" t="str">
        <f t="shared" si="22"/>
        <v>1950-1975</v>
      </c>
      <c r="I467" t="s">
        <v>14</v>
      </c>
      <c r="J467" t="s">
        <v>13</v>
      </c>
      <c r="K467" t="s">
        <v>12</v>
      </c>
      <c r="L467" s="4">
        <v>857032</v>
      </c>
      <c r="M467" t="str">
        <f t="shared" si="23"/>
        <v>Premium</v>
      </c>
    </row>
    <row r="468" spans="1:13" x14ac:dyDescent="0.35">
      <c r="A468">
        <v>467</v>
      </c>
      <c r="B468">
        <v>1691</v>
      </c>
      <c r="C468" t="str">
        <f t="shared" si="21"/>
        <v>Medium</v>
      </c>
      <c r="D468">
        <v>3</v>
      </c>
      <c r="E468">
        <v>3</v>
      </c>
      <c r="F468">
        <v>3</v>
      </c>
      <c r="G468">
        <v>1948</v>
      </c>
      <c r="H468" t="str">
        <f t="shared" si="22"/>
        <v>Pre-1950</v>
      </c>
      <c r="I468" t="s">
        <v>17</v>
      </c>
      <c r="J468" t="s">
        <v>15</v>
      </c>
      <c r="K468" t="s">
        <v>12</v>
      </c>
      <c r="L468" s="4">
        <v>838898</v>
      </c>
      <c r="M468" t="str">
        <f t="shared" si="23"/>
        <v>Premium</v>
      </c>
    </row>
    <row r="469" spans="1:13" x14ac:dyDescent="0.35">
      <c r="A469">
        <v>468</v>
      </c>
      <c r="B469">
        <v>3493</v>
      </c>
      <c r="C469" t="str">
        <f t="shared" si="21"/>
        <v>Large</v>
      </c>
      <c r="D469">
        <v>4</v>
      </c>
      <c r="E469">
        <v>1</v>
      </c>
      <c r="F469">
        <v>1</v>
      </c>
      <c r="G469">
        <v>1963</v>
      </c>
      <c r="H469" t="str">
        <f t="shared" si="22"/>
        <v>1950-1975</v>
      </c>
      <c r="I469" t="s">
        <v>17</v>
      </c>
      <c r="J469" t="s">
        <v>13</v>
      </c>
      <c r="K469" t="s">
        <v>16</v>
      </c>
      <c r="L469" s="4">
        <v>830637</v>
      </c>
      <c r="M469" t="str">
        <f t="shared" si="23"/>
        <v>Premium</v>
      </c>
    </row>
    <row r="470" spans="1:13" x14ac:dyDescent="0.35">
      <c r="A470">
        <v>469</v>
      </c>
      <c r="B470">
        <v>3181</v>
      </c>
      <c r="C470" t="str">
        <f t="shared" si="21"/>
        <v>Large</v>
      </c>
      <c r="D470">
        <v>5</v>
      </c>
      <c r="E470">
        <v>3</v>
      </c>
      <c r="F470">
        <v>3</v>
      </c>
      <c r="G470">
        <v>1931</v>
      </c>
      <c r="H470" t="str">
        <f t="shared" si="22"/>
        <v>Pre-1950</v>
      </c>
      <c r="I470" t="s">
        <v>17</v>
      </c>
      <c r="J470" t="s">
        <v>11</v>
      </c>
      <c r="K470" t="s">
        <v>16</v>
      </c>
      <c r="L470" s="4">
        <v>549344</v>
      </c>
      <c r="M470" t="str">
        <f t="shared" si="23"/>
        <v>High</v>
      </c>
    </row>
    <row r="471" spans="1:13" x14ac:dyDescent="0.35">
      <c r="A471">
        <v>470</v>
      </c>
      <c r="B471">
        <v>1717</v>
      </c>
      <c r="C471" t="str">
        <f t="shared" si="21"/>
        <v>Medium</v>
      </c>
      <c r="D471">
        <v>2</v>
      </c>
      <c r="E471">
        <v>2</v>
      </c>
      <c r="F471">
        <v>3</v>
      </c>
      <c r="G471">
        <v>1963</v>
      </c>
      <c r="H471" t="str">
        <f t="shared" si="22"/>
        <v>1950-1975</v>
      </c>
      <c r="I471" t="s">
        <v>19</v>
      </c>
      <c r="J471" t="s">
        <v>15</v>
      </c>
      <c r="K471" t="s">
        <v>16</v>
      </c>
      <c r="L471" s="4">
        <v>750457</v>
      </c>
      <c r="M471" t="str">
        <f t="shared" si="23"/>
        <v>Premium</v>
      </c>
    </row>
    <row r="472" spans="1:13" x14ac:dyDescent="0.35">
      <c r="A472">
        <v>471</v>
      </c>
      <c r="B472">
        <v>2040</v>
      </c>
      <c r="C472" t="str">
        <f t="shared" si="21"/>
        <v>Medium</v>
      </c>
      <c r="D472">
        <v>3</v>
      </c>
      <c r="E472">
        <v>1</v>
      </c>
      <c r="F472">
        <v>1</v>
      </c>
      <c r="G472">
        <v>2014</v>
      </c>
      <c r="H472" t="str">
        <f t="shared" si="22"/>
        <v>Post-2000</v>
      </c>
      <c r="I472" t="s">
        <v>14</v>
      </c>
      <c r="J472" t="s">
        <v>13</v>
      </c>
      <c r="K472" t="s">
        <v>12</v>
      </c>
      <c r="L472" s="4">
        <v>946366</v>
      </c>
      <c r="M472" t="str">
        <f t="shared" si="23"/>
        <v>Premium</v>
      </c>
    </row>
    <row r="473" spans="1:13" x14ac:dyDescent="0.35">
      <c r="A473">
        <v>472</v>
      </c>
      <c r="B473">
        <v>3736</v>
      </c>
      <c r="C473" t="str">
        <f t="shared" si="21"/>
        <v>Large</v>
      </c>
      <c r="D473">
        <v>1</v>
      </c>
      <c r="E473">
        <v>2</v>
      </c>
      <c r="F473">
        <v>1</v>
      </c>
      <c r="G473">
        <v>1901</v>
      </c>
      <c r="H473" t="str">
        <f t="shared" si="22"/>
        <v>Pre-1950</v>
      </c>
      <c r="I473" t="s">
        <v>14</v>
      </c>
      <c r="J473" t="s">
        <v>15</v>
      </c>
      <c r="K473" t="s">
        <v>16</v>
      </c>
      <c r="L473" s="4">
        <v>627564</v>
      </c>
      <c r="M473" t="str">
        <f t="shared" si="23"/>
        <v>Premium</v>
      </c>
    </row>
    <row r="474" spans="1:13" x14ac:dyDescent="0.35">
      <c r="A474">
        <v>473</v>
      </c>
      <c r="B474">
        <v>2886</v>
      </c>
      <c r="C474" t="str">
        <f t="shared" si="21"/>
        <v>Large</v>
      </c>
      <c r="D474">
        <v>3</v>
      </c>
      <c r="E474">
        <v>4</v>
      </c>
      <c r="F474">
        <v>2</v>
      </c>
      <c r="G474">
        <v>1923</v>
      </c>
      <c r="H474" t="str">
        <f t="shared" si="22"/>
        <v>Pre-1950</v>
      </c>
      <c r="I474" t="s">
        <v>19</v>
      </c>
      <c r="J474" t="s">
        <v>11</v>
      </c>
      <c r="K474" t="s">
        <v>16</v>
      </c>
      <c r="L474" s="4">
        <v>493333</v>
      </c>
      <c r="M474" t="str">
        <f t="shared" si="23"/>
        <v>High</v>
      </c>
    </row>
    <row r="475" spans="1:13" x14ac:dyDescent="0.35">
      <c r="A475">
        <v>474</v>
      </c>
      <c r="B475">
        <v>4219</v>
      </c>
      <c r="C475" t="str">
        <f t="shared" si="21"/>
        <v>Extra Large</v>
      </c>
      <c r="D475">
        <v>3</v>
      </c>
      <c r="E475">
        <v>3</v>
      </c>
      <c r="F475">
        <v>2</v>
      </c>
      <c r="G475">
        <v>1986</v>
      </c>
      <c r="H475" t="str">
        <f t="shared" si="22"/>
        <v>1976-2000</v>
      </c>
      <c r="I475" t="s">
        <v>14</v>
      </c>
      <c r="J475" t="s">
        <v>13</v>
      </c>
      <c r="K475" t="s">
        <v>16</v>
      </c>
      <c r="L475" s="4">
        <v>490187</v>
      </c>
      <c r="M475" t="str">
        <f t="shared" si="23"/>
        <v>High</v>
      </c>
    </row>
    <row r="476" spans="1:13" x14ac:dyDescent="0.35">
      <c r="A476">
        <v>475</v>
      </c>
      <c r="B476">
        <v>1888</v>
      </c>
      <c r="C476" t="str">
        <f t="shared" si="21"/>
        <v>Medium</v>
      </c>
      <c r="D476">
        <v>3</v>
      </c>
      <c r="E476">
        <v>3</v>
      </c>
      <c r="F476">
        <v>3</v>
      </c>
      <c r="G476">
        <v>1965</v>
      </c>
      <c r="H476" t="str">
        <f t="shared" si="22"/>
        <v>1950-1975</v>
      </c>
      <c r="I476" t="s">
        <v>14</v>
      </c>
      <c r="J476" t="s">
        <v>15</v>
      </c>
      <c r="K476" t="s">
        <v>12</v>
      </c>
      <c r="L476" s="4">
        <v>319072</v>
      </c>
      <c r="M476" t="str">
        <f t="shared" si="23"/>
        <v>Medium</v>
      </c>
    </row>
    <row r="477" spans="1:13" x14ac:dyDescent="0.35">
      <c r="A477">
        <v>476</v>
      </c>
      <c r="B477">
        <v>2356</v>
      </c>
      <c r="C477" t="str">
        <f t="shared" si="21"/>
        <v>Medium</v>
      </c>
      <c r="D477">
        <v>3</v>
      </c>
      <c r="E477">
        <v>2</v>
      </c>
      <c r="F477">
        <v>2</v>
      </c>
      <c r="G477">
        <v>1937</v>
      </c>
      <c r="H477" t="str">
        <f t="shared" si="22"/>
        <v>Pre-1950</v>
      </c>
      <c r="I477" t="s">
        <v>19</v>
      </c>
      <c r="J477" t="s">
        <v>15</v>
      </c>
      <c r="K477" t="s">
        <v>12</v>
      </c>
      <c r="L477" s="4">
        <v>891741</v>
      </c>
      <c r="M477" t="str">
        <f t="shared" si="23"/>
        <v>Premium</v>
      </c>
    </row>
    <row r="478" spans="1:13" x14ac:dyDescent="0.35">
      <c r="A478">
        <v>477</v>
      </c>
      <c r="B478">
        <v>1865</v>
      </c>
      <c r="C478" t="str">
        <f t="shared" si="21"/>
        <v>Medium</v>
      </c>
      <c r="D478">
        <v>2</v>
      </c>
      <c r="E478">
        <v>4</v>
      </c>
      <c r="F478">
        <v>2</v>
      </c>
      <c r="G478">
        <v>1930</v>
      </c>
      <c r="H478" t="str">
        <f t="shared" si="22"/>
        <v>Pre-1950</v>
      </c>
      <c r="I478" t="s">
        <v>10</v>
      </c>
      <c r="J478" t="s">
        <v>13</v>
      </c>
      <c r="K478" t="s">
        <v>16</v>
      </c>
      <c r="L478" s="4">
        <v>255719</v>
      </c>
      <c r="M478" t="str">
        <f t="shared" si="23"/>
        <v>Medium</v>
      </c>
    </row>
    <row r="479" spans="1:13" x14ac:dyDescent="0.35">
      <c r="A479">
        <v>478</v>
      </c>
      <c r="B479">
        <v>999</v>
      </c>
      <c r="C479" t="str">
        <f t="shared" si="21"/>
        <v>Small</v>
      </c>
      <c r="D479">
        <v>4</v>
      </c>
      <c r="E479">
        <v>1</v>
      </c>
      <c r="F479">
        <v>1</v>
      </c>
      <c r="G479">
        <v>2014</v>
      </c>
      <c r="H479" t="str">
        <f t="shared" si="22"/>
        <v>Post-2000</v>
      </c>
      <c r="I479" t="s">
        <v>14</v>
      </c>
      <c r="J479" t="s">
        <v>15</v>
      </c>
      <c r="K479" t="s">
        <v>12</v>
      </c>
      <c r="L479" s="4">
        <v>746248</v>
      </c>
      <c r="M479" t="str">
        <f t="shared" si="23"/>
        <v>Premium</v>
      </c>
    </row>
    <row r="480" spans="1:13" x14ac:dyDescent="0.35">
      <c r="A480">
        <v>479</v>
      </c>
      <c r="B480">
        <v>2180</v>
      </c>
      <c r="C480" t="str">
        <f t="shared" si="21"/>
        <v>Medium</v>
      </c>
      <c r="D480">
        <v>5</v>
      </c>
      <c r="E480">
        <v>1</v>
      </c>
      <c r="F480">
        <v>1</v>
      </c>
      <c r="G480">
        <v>2003</v>
      </c>
      <c r="H480" t="str">
        <f t="shared" si="22"/>
        <v>Post-2000</v>
      </c>
      <c r="I480" t="s">
        <v>19</v>
      </c>
      <c r="J480" t="s">
        <v>15</v>
      </c>
      <c r="K480" t="s">
        <v>16</v>
      </c>
      <c r="L480" s="4">
        <v>800385</v>
      </c>
      <c r="M480" t="str">
        <f t="shared" si="23"/>
        <v>Premium</v>
      </c>
    </row>
    <row r="481" spans="1:13" x14ac:dyDescent="0.35">
      <c r="A481">
        <v>480</v>
      </c>
      <c r="B481">
        <v>1010</v>
      </c>
      <c r="C481" t="str">
        <f t="shared" si="21"/>
        <v>Medium</v>
      </c>
      <c r="D481">
        <v>3</v>
      </c>
      <c r="E481">
        <v>3</v>
      </c>
      <c r="F481">
        <v>2</v>
      </c>
      <c r="G481">
        <v>1925</v>
      </c>
      <c r="H481" t="str">
        <f t="shared" si="22"/>
        <v>Pre-1950</v>
      </c>
      <c r="I481" t="s">
        <v>17</v>
      </c>
      <c r="J481" t="s">
        <v>11</v>
      </c>
      <c r="K481" t="s">
        <v>16</v>
      </c>
      <c r="L481" s="4">
        <v>749192</v>
      </c>
      <c r="M481" t="str">
        <f t="shared" si="23"/>
        <v>Premium</v>
      </c>
    </row>
    <row r="482" spans="1:13" x14ac:dyDescent="0.35">
      <c r="A482">
        <v>481</v>
      </c>
      <c r="B482">
        <v>4812</v>
      </c>
      <c r="C482" t="str">
        <f t="shared" si="21"/>
        <v>Extra Large</v>
      </c>
      <c r="D482">
        <v>3</v>
      </c>
      <c r="E482">
        <v>2</v>
      </c>
      <c r="F482">
        <v>1</v>
      </c>
      <c r="G482">
        <v>1928</v>
      </c>
      <c r="H482" t="str">
        <f t="shared" si="22"/>
        <v>Pre-1950</v>
      </c>
      <c r="I482" t="s">
        <v>10</v>
      </c>
      <c r="J482" t="s">
        <v>11</v>
      </c>
      <c r="K482" t="s">
        <v>12</v>
      </c>
      <c r="L482" s="4">
        <v>166196</v>
      </c>
      <c r="M482" t="str">
        <f t="shared" si="23"/>
        <v>Low</v>
      </c>
    </row>
    <row r="483" spans="1:13" x14ac:dyDescent="0.35">
      <c r="A483">
        <v>482</v>
      </c>
      <c r="B483">
        <v>1824</v>
      </c>
      <c r="C483" t="str">
        <f t="shared" si="21"/>
        <v>Medium</v>
      </c>
      <c r="D483">
        <v>3</v>
      </c>
      <c r="E483">
        <v>2</v>
      </c>
      <c r="F483">
        <v>2</v>
      </c>
      <c r="G483">
        <v>1966</v>
      </c>
      <c r="H483" t="str">
        <f t="shared" si="22"/>
        <v>1950-1975</v>
      </c>
      <c r="I483" t="s">
        <v>17</v>
      </c>
      <c r="J483" t="s">
        <v>11</v>
      </c>
      <c r="K483" t="s">
        <v>12</v>
      </c>
      <c r="L483" s="4">
        <v>59404</v>
      </c>
      <c r="M483" t="str">
        <f t="shared" si="23"/>
        <v>Low</v>
      </c>
    </row>
    <row r="484" spans="1:13" x14ac:dyDescent="0.35">
      <c r="A484">
        <v>483</v>
      </c>
      <c r="B484">
        <v>1655</v>
      </c>
      <c r="C484" t="str">
        <f t="shared" si="21"/>
        <v>Medium</v>
      </c>
      <c r="D484">
        <v>4</v>
      </c>
      <c r="E484">
        <v>1</v>
      </c>
      <c r="F484">
        <v>1</v>
      </c>
      <c r="G484">
        <v>2021</v>
      </c>
      <c r="H484" t="str">
        <f t="shared" si="22"/>
        <v>Post-2000</v>
      </c>
      <c r="I484" t="s">
        <v>14</v>
      </c>
      <c r="J484" t="s">
        <v>11</v>
      </c>
      <c r="K484" t="s">
        <v>12</v>
      </c>
      <c r="L484" s="4">
        <v>476855</v>
      </c>
      <c r="M484" t="str">
        <f t="shared" si="23"/>
        <v>High</v>
      </c>
    </row>
    <row r="485" spans="1:13" x14ac:dyDescent="0.35">
      <c r="A485">
        <v>484</v>
      </c>
      <c r="B485">
        <v>2327</v>
      </c>
      <c r="C485" t="str">
        <f t="shared" si="21"/>
        <v>Medium</v>
      </c>
      <c r="D485">
        <v>1</v>
      </c>
      <c r="E485">
        <v>4</v>
      </c>
      <c r="F485">
        <v>1</v>
      </c>
      <c r="G485">
        <v>1977</v>
      </c>
      <c r="H485" t="str">
        <f t="shared" si="22"/>
        <v>1976-2000</v>
      </c>
      <c r="I485" t="s">
        <v>10</v>
      </c>
      <c r="J485" t="s">
        <v>11</v>
      </c>
      <c r="K485" t="s">
        <v>12</v>
      </c>
      <c r="L485" s="4">
        <v>783478</v>
      </c>
      <c r="M485" t="str">
        <f t="shared" si="23"/>
        <v>Premium</v>
      </c>
    </row>
    <row r="486" spans="1:13" x14ac:dyDescent="0.35">
      <c r="A486">
        <v>485</v>
      </c>
      <c r="B486">
        <v>3641</v>
      </c>
      <c r="C486" t="str">
        <f t="shared" si="21"/>
        <v>Large</v>
      </c>
      <c r="D486">
        <v>1</v>
      </c>
      <c r="E486">
        <v>4</v>
      </c>
      <c r="F486">
        <v>1</v>
      </c>
      <c r="G486">
        <v>1924</v>
      </c>
      <c r="H486" t="str">
        <f t="shared" si="22"/>
        <v>Pre-1950</v>
      </c>
      <c r="I486" t="s">
        <v>19</v>
      </c>
      <c r="J486" t="s">
        <v>11</v>
      </c>
      <c r="K486" t="s">
        <v>16</v>
      </c>
      <c r="L486" s="4">
        <v>503814</v>
      </c>
      <c r="M486" t="str">
        <f t="shared" si="23"/>
        <v>High</v>
      </c>
    </row>
    <row r="487" spans="1:13" x14ac:dyDescent="0.35">
      <c r="A487">
        <v>486</v>
      </c>
      <c r="B487">
        <v>3986</v>
      </c>
      <c r="C487" t="str">
        <f t="shared" si="21"/>
        <v>Large</v>
      </c>
      <c r="D487">
        <v>2</v>
      </c>
      <c r="E487">
        <v>1</v>
      </c>
      <c r="F487">
        <v>1</v>
      </c>
      <c r="G487">
        <v>1947</v>
      </c>
      <c r="H487" t="str">
        <f t="shared" si="22"/>
        <v>Pre-1950</v>
      </c>
      <c r="I487" t="s">
        <v>14</v>
      </c>
      <c r="J487" t="s">
        <v>13</v>
      </c>
      <c r="K487" t="s">
        <v>16</v>
      </c>
      <c r="L487" s="4">
        <v>687475</v>
      </c>
      <c r="M487" t="str">
        <f t="shared" si="23"/>
        <v>Premium</v>
      </c>
    </row>
    <row r="488" spans="1:13" x14ac:dyDescent="0.35">
      <c r="A488">
        <v>487</v>
      </c>
      <c r="B488">
        <v>2310</v>
      </c>
      <c r="C488" t="str">
        <f t="shared" si="21"/>
        <v>Medium</v>
      </c>
      <c r="D488">
        <v>1</v>
      </c>
      <c r="E488">
        <v>1</v>
      </c>
      <c r="F488">
        <v>2</v>
      </c>
      <c r="G488">
        <v>1964</v>
      </c>
      <c r="H488" t="str">
        <f t="shared" si="22"/>
        <v>1950-1975</v>
      </c>
      <c r="I488" t="s">
        <v>19</v>
      </c>
      <c r="J488" t="s">
        <v>11</v>
      </c>
      <c r="K488" t="s">
        <v>12</v>
      </c>
      <c r="L488" s="4">
        <v>946881</v>
      </c>
      <c r="M488" t="str">
        <f t="shared" si="23"/>
        <v>Premium</v>
      </c>
    </row>
    <row r="489" spans="1:13" x14ac:dyDescent="0.35">
      <c r="A489">
        <v>488</v>
      </c>
      <c r="B489">
        <v>3423</v>
      </c>
      <c r="C489" t="str">
        <f t="shared" si="21"/>
        <v>Large</v>
      </c>
      <c r="D489">
        <v>3</v>
      </c>
      <c r="E489">
        <v>2</v>
      </c>
      <c r="F489">
        <v>3</v>
      </c>
      <c r="G489">
        <v>1952</v>
      </c>
      <c r="H489" t="str">
        <f t="shared" si="22"/>
        <v>1950-1975</v>
      </c>
      <c r="I489" t="s">
        <v>10</v>
      </c>
      <c r="J489" t="s">
        <v>15</v>
      </c>
      <c r="K489" t="s">
        <v>12</v>
      </c>
      <c r="L489" s="4">
        <v>601972</v>
      </c>
      <c r="M489" t="str">
        <f t="shared" si="23"/>
        <v>Premium</v>
      </c>
    </row>
    <row r="490" spans="1:13" x14ac:dyDescent="0.35">
      <c r="A490">
        <v>489</v>
      </c>
      <c r="B490">
        <v>2714</v>
      </c>
      <c r="C490" t="str">
        <f t="shared" si="21"/>
        <v>Large</v>
      </c>
      <c r="D490">
        <v>3</v>
      </c>
      <c r="E490">
        <v>4</v>
      </c>
      <c r="F490">
        <v>1</v>
      </c>
      <c r="G490">
        <v>1966</v>
      </c>
      <c r="H490" t="str">
        <f t="shared" si="22"/>
        <v>1950-1975</v>
      </c>
      <c r="I490" t="s">
        <v>17</v>
      </c>
      <c r="J490" t="s">
        <v>13</v>
      </c>
      <c r="K490" t="s">
        <v>16</v>
      </c>
      <c r="L490" s="4">
        <v>642879</v>
      </c>
      <c r="M490" t="str">
        <f t="shared" si="23"/>
        <v>Premium</v>
      </c>
    </row>
    <row r="491" spans="1:13" x14ac:dyDescent="0.35">
      <c r="A491">
        <v>490</v>
      </c>
      <c r="B491">
        <v>4686</v>
      </c>
      <c r="C491" t="str">
        <f t="shared" si="21"/>
        <v>Extra Large</v>
      </c>
      <c r="D491">
        <v>3</v>
      </c>
      <c r="E491">
        <v>1</v>
      </c>
      <c r="F491">
        <v>2</v>
      </c>
      <c r="G491">
        <v>2017</v>
      </c>
      <c r="H491" t="str">
        <f t="shared" si="22"/>
        <v>Post-2000</v>
      </c>
      <c r="I491" t="s">
        <v>14</v>
      </c>
      <c r="J491" t="s">
        <v>15</v>
      </c>
      <c r="K491" t="s">
        <v>16</v>
      </c>
      <c r="L491" s="4">
        <v>431965</v>
      </c>
      <c r="M491" t="str">
        <f t="shared" si="23"/>
        <v>High</v>
      </c>
    </row>
    <row r="492" spans="1:13" x14ac:dyDescent="0.35">
      <c r="A492">
        <v>491</v>
      </c>
      <c r="B492">
        <v>1213</v>
      </c>
      <c r="C492" t="str">
        <f t="shared" si="21"/>
        <v>Medium</v>
      </c>
      <c r="D492">
        <v>2</v>
      </c>
      <c r="E492">
        <v>1</v>
      </c>
      <c r="F492">
        <v>2</v>
      </c>
      <c r="G492">
        <v>1989</v>
      </c>
      <c r="H492" t="str">
        <f t="shared" si="22"/>
        <v>1976-2000</v>
      </c>
      <c r="I492" t="s">
        <v>14</v>
      </c>
      <c r="J492" t="s">
        <v>11</v>
      </c>
      <c r="K492" t="s">
        <v>16</v>
      </c>
      <c r="L492" s="4">
        <v>783082</v>
      </c>
      <c r="M492" t="str">
        <f t="shared" si="23"/>
        <v>Premium</v>
      </c>
    </row>
    <row r="493" spans="1:13" x14ac:dyDescent="0.35">
      <c r="A493">
        <v>492</v>
      </c>
      <c r="B493">
        <v>4102</v>
      </c>
      <c r="C493" t="str">
        <f t="shared" si="21"/>
        <v>Extra Large</v>
      </c>
      <c r="D493">
        <v>3</v>
      </c>
      <c r="E493">
        <v>3</v>
      </c>
      <c r="F493">
        <v>1</v>
      </c>
      <c r="G493">
        <v>1917</v>
      </c>
      <c r="H493" t="str">
        <f t="shared" si="22"/>
        <v>Pre-1950</v>
      </c>
      <c r="I493" t="s">
        <v>19</v>
      </c>
      <c r="J493" t="s">
        <v>11</v>
      </c>
      <c r="K493" t="s">
        <v>16</v>
      </c>
      <c r="L493" s="4">
        <v>314826</v>
      </c>
      <c r="M493" t="str">
        <f t="shared" si="23"/>
        <v>Medium</v>
      </c>
    </row>
    <row r="494" spans="1:13" x14ac:dyDescent="0.35">
      <c r="A494">
        <v>493</v>
      </c>
      <c r="B494">
        <v>4634</v>
      </c>
      <c r="C494" t="str">
        <f t="shared" si="21"/>
        <v>Extra Large</v>
      </c>
      <c r="D494">
        <v>1</v>
      </c>
      <c r="E494">
        <v>1</v>
      </c>
      <c r="F494">
        <v>3</v>
      </c>
      <c r="G494">
        <v>1908</v>
      </c>
      <c r="H494" t="str">
        <f t="shared" si="22"/>
        <v>Pre-1950</v>
      </c>
      <c r="I494" t="s">
        <v>10</v>
      </c>
      <c r="J494" t="s">
        <v>15</v>
      </c>
      <c r="K494" t="s">
        <v>12</v>
      </c>
      <c r="L494" s="4">
        <v>161186</v>
      </c>
      <c r="M494" t="str">
        <f t="shared" si="23"/>
        <v>Low</v>
      </c>
    </row>
    <row r="495" spans="1:13" x14ac:dyDescent="0.35">
      <c r="A495">
        <v>494</v>
      </c>
      <c r="B495">
        <v>4022</v>
      </c>
      <c r="C495" t="str">
        <f t="shared" si="21"/>
        <v>Extra Large</v>
      </c>
      <c r="D495">
        <v>4</v>
      </c>
      <c r="E495">
        <v>1</v>
      </c>
      <c r="F495">
        <v>1</v>
      </c>
      <c r="G495">
        <v>1937</v>
      </c>
      <c r="H495" t="str">
        <f t="shared" si="22"/>
        <v>Pre-1950</v>
      </c>
      <c r="I495" t="s">
        <v>19</v>
      </c>
      <c r="J495" t="s">
        <v>15</v>
      </c>
      <c r="K495" t="s">
        <v>12</v>
      </c>
      <c r="L495" s="4">
        <v>817469</v>
      </c>
      <c r="M495" t="str">
        <f t="shared" si="23"/>
        <v>Premium</v>
      </c>
    </row>
    <row r="496" spans="1:13" x14ac:dyDescent="0.35">
      <c r="A496">
        <v>495</v>
      </c>
      <c r="B496">
        <v>4768</v>
      </c>
      <c r="C496" t="str">
        <f t="shared" si="21"/>
        <v>Extra Large</v>
      </c>
      <c r="D496">
        <v>4</v>
      </c>
      <c r="E496">
        <v>4</v>
      </c>
      <c r="F496">
        <v>2</v>
      </c>
      <c r="G496">
        <v>1986</v>
      </c>
      <c r="H496" t="str">
        <f t="shared" si="22"/>
        <v>1976-2000</v>
      </c>
      <c r="I496" t="s">
        <v>10</v>
      </c>
      <c r="J496" t="s">
        <v>15</v>
      </c>
      <c r="K496" t="s">
        <v>12</v>
      </c>
      <c r="L496" s="4">
        <v>596120</v>
      </c>
      <c r="M496" t="str">
        <f t="shared" si="23"/>
        <v>High</v>
      </c>
    </row>
    <row r="497" spans="1:13" x14ac:dyDescent="0.35">
      <c r="A497">
        <v>496</v>
      </c>
      <c r="B497">
        <v>1743</v>
      </c>
      <c r="C497" t="str">
        <f t="shared" si="21"/>
        <v>Medium</v>
      </c>
      <c r="D497">
        <v>5</v>
      </c>
      <c r="E497">
        <v>2</v>
      </c>
      <c r="F497">
        <v>3</v>
      </c>
      <c r="G497">
        <v>1920</v>
      </c>
      <c r="H497" t="str">
        <f t="shared" si="22"/>
        <v>Pre-1950</v>
      </c>
      <c r="I497" t="s">
        <v>14</v>
      </c>
      <c r="J497" t="s">
        <v>18</v>
      </c>
      <c r="K497" t="s">
        <v>16</v>
      </c>
      <c r="L497" s="4">
        <v>591285</v>
      </c>
      <c r="M497" t="str">
        <f t="shared" si="23"/>
        <v>High</v>
      </c>
    </row>
    <row r="498" spans="1:13" x14ac:dyDescent="0.35">
      <c r="A498">
        <v>497</v>
      </c>
      <c r="B498">
        <v>4209</v>
      </c>
      <c r="C498" t="str">
        <f t="shared" si="21"/>
        <v>Extra Large</v>
      </c>
      <c r="D498">
        <v>1</v>
      </c>
      <c r="E498">
        <v>4</v>
      </c>
      <c r="F498">
        <v>2</v>
      </c>
      <c r="G498">
        <v>2020</v>
      </c>
      <c r="H498" t="str">
        <f t="shared" si="22"/>
        <v>Post-2000</v>
      </c>
      <c r="I498" t="s">
        <v>10</v>
      </c>
      <c r="J498" t="s">
        <v>18</v>
      </c>
      <c r="K498" t="s">
        <v>16</v>
      </c>
      <c r="L498" s="4">
        <v>346784</v>
      </c>
      <c r="M498" t="str">
        <f t="shared" si="23"/>
        <v>Medium</v>
      </c>
    </row>
    <row r="499" spans="1:13" x14ac:dyDescent="0.35">
      <c r="A499">
        <v>498</v>
      </c>
      <c r="B499">
        <v>1581</v>
      </c>
      <c r="C499" t="str">
        <f t="shared" si="21"/>
        <v>Medium</v>
      </c>
      <c r="D499">
        <v>3</v>
      </c>
      <c r="E499">
        <v>2</v>
      </c>
      <c r="F499">
        <v>1</v>
      </c>
      <c r="G499">
        <v>1964</v>
      </c>
      <c r="H499" t="str">
        <f t="shared" si="22"/>
        <v>1950-1975</v>
      </c>
      <c r="I499" t="s">
        <v>14</v>
      </c>
      <c r="J499" t="s">
        <v>18</v>
      </c>
      <c r="K499" t="s">
        <v>12</v>
      </c>
      <c r="L499" s="4">
        <v>520098</v>
      </c>
      <c r="M499" t="str">
        <f t="shared" si="23"/>
        <v>High</v>
      </c>
    </row>
    <row r="500" spans="1:13" x14ac:dyDescent="0.35">
      <c r="A500">
        <v>499</v>
      </c>
      <c r="B500">
        <v>955</v>
      </c>
      <c r="C500" t="str">
        <f t="shared" si="21"/>
        <v>Small</v>
      </c>
      <c r="D500">
        <v>4</v>
      </c>
      <c r="E500">
        <v>3</v>
      </c>
      <c r="F500">
        <v>3</v>
      </c>
      <c r="G500">
        <v>1920</v>
      </c>
      <c r="H500" t="str">
        <f t="shared" si="22"/>
        <v>Pre-1950</v>
      </c>
      <c r="I500" t="s">
        <v>10</v>
      </c>
      <c r="J500" t="s">
        <v>18</v>
      </c>
      <c r="K500" t="s">
        <v>12</v>
      </c>
      <c r="L500" s="4">
        <v>90491</v>
      </c>
      <c r="M500" t="str">
        <f t="shared" si="23"/>
        <v>Low</v>
      </c>
    </row>
    <row r="501" spans="1:13" x14ac:dyDescent="0.35">
      <c r="A501">
        <v>500</v>
      </c>
      <c r="B501">
        <v>1394</v>
      </c>
      <c r="C501" t="str">
        <f t="shared" si="21"/>
        <v>Medium</v>
      </c>
      <c r="D501">
        <v>1</v>
      </c>
      <c r="E501">
        <v>1</v>
      </c>
      <c r="F501">
        <v>2</v>
      </c>
      <c r="G501">
        <v>1926</v>
      </c>
      <c r="H501" t="str">
        <f t="shared" si="22"/>
        <v>Pre-1950</v>
      </c>
      <c r="I501" t="s">
        <v>17</v>
      </c>
      <c r="J501" t="s">
        <v>13</v>
      </c>
      <c r="K501" t="s">
        <v>12</v>
      </c>
      <c r="L501" s="4">
        <v>113043</v>
      </c>
      <c r="M501" t="str">
        <f t="shared" si="23"/>
        <v>Low</v>
      </c>
    </row>
    <row r="502" spans="1:13" x14ac:dyDescent="0.35">
      <c r="A502">
        <v>501</v>
      </c>
      <c r="B502">
        <v>1884</v>
      </c>
      <c r="C502" t="str">
        <f t="shared" si="21"/>
        <v>Medium</v>
      </c>
      <c r="D502">
        <v>4</v>
      </c>
      <c r="E502">
        <v>3</v>
      </c>
      <c r="F502">
        <v>2</v>
      </c>
      <c r="G502">
        <v>2005</v>
      </c>
      <c r="H502" t="str">
        <f t="shared" si="22"/>
        <v>Post-2000</v>
      </c>
      <c r="I502" t="s">
        <v>10</v>
      </c>
      <c r="J502" t="s">
        <v>11</v>
      </c>
      <c r="K502" t="s">
        <v>16</v>
      </c>
      <c r="L502" s="4">
        <v>948607</v>
      </c>
      <c r="M502" t="str">
        <f t="shared" si="23"/>
        <v>Premium</v>
      </c>
    </row>
    <row r="503" spans="1:13" x14ac:dyDescent="0.35">
      <c r="A503">
        <v>502</v>
      </c>
      <c r="B503">
        <v>2458</v>
      </c>
      <c r="C503" t="str">
        <f t="shared" si="21"/>
        <v>Medium</v>
      </c>
      <c r="D503">
        <v>3</v>
      </c>
      <c r="E503">
        <v>2</v>
      </c>
      <c r="F503">
        <v>2</v>
      </c>
      <c r="G503">
        <v>2022</v>
      </c>
      <c r="H503" t="str">
        <f t="shared" si="22"/>
        <v>Post-2000</v>
      </c>
      <c r="I503" t="s">
        <v>17</v>
      </c>
      <c r="J503" t="s">
        <v>15</v>
      </c>
      <c r="K503" t="s">
        <v>12</v>
      </c>
      <c r="L503" s="4">
        <v>178568</v>
      </c>
      <c r="M503" t="str">
        <f t="shared" si="23"/>
        <v>Low</v>
      </c>
    </row>
    <row r="504" spans="1:13" x14ac:dyDescent="0.35">
      <c r="A504">
        <v>503</v>
      </c>
      <c r="B504">
        <v>3572</v>
      </c>
      <c r="C504" t="str">
        <f t="shared" si="21"/>
        <v>Large</v>
      </c>
      <c r="D504">
        <v>4</v>
      </c>
      <c r="E504">
        <v>4</v>
      </c>
      <c r="F504">
        <v>1</v>
      </c>
      <c r="G504">
        <v>1969</v>
      </c>
      <c r="H504" t="str">
        <f t="shared" si="22"/>
        <v>1950-1975</v>
      </c>
      <c r="I504" t="s">
        <v>10</v>
      </c>
      <c r="J504" t="s">
        <v>11</v>
      </c>
      <c r="K504" t="s">
        <v>16</v>
      </c>
      <c r="L504" s="4">
        <v>426394</v>
      </c>
      <c r="M504" t="str">
        <f t="shared" si="23"/>
        <v>High</v>
      </c>
    </row>
    <row r="505" spans="1:13" x14ac:dyDescent="0.35">
      <c r="A505">
        <v>504</v>
      </c>
      <c r="B505">
        <v>2496</v>
      </c>
      <c r="C505" t="str">
        <f t="shared" si="21"/>
        <v>Medium</v>
      </c>
      <c r="D505">
        <v>5</v>
      </c>
      <c r="E505">
        <v>4</v>
      </c>
      <c r="F505">
        <v>3</v>
      </c>
      <c r="G505">
        <v>2018</v>
      </c>
      <c r="H505" t="str">
        <f t="shared" si="22"/>
        <v>Post-2000</v>
      </c>
      <c r="I505" t="s">
        <v>10</v>
      </c>
      <c r="J505" t="s">
        <v>15</v>
      </c>
      <c r="K505" t="s">
        <v>12</v>
      </c>
      <c r="L505" s="4">
        <v>647013</v>
      </c>
      <c r="M505" t="str">
        <f t="shared" si="23"/>
        <v>Premium</v>
      </c>
    </row>
    <row r="506" spans="1:13" x14ac:dyDescent="0.35">
      <c r="A506">
        <v>505</v>
      </c>
      <c r="B506">
        <v>4785</v>
      </c>
      <c r="C506" t="str">
        <f t="shared" si="21"/>
        <v>Extra Large</v>
      </c>
      <c r="D506">
        <v>5</v>
      </c>
      <c r="E506">
        <v>3</v>
      </c>
      <c r="F506">
        <v>1</v>
      </c>
      <c r="G506">
        <v>1943</v>
      </c>
      <c r="H506" t="str">
        <f t="shared" si="22"/>
        <v>Pre-1950</v>
      </c>
      <c r="I506" t="s">
        <v>19</v>
      </c>
      <c r="J506" t="s">
        <v>11</v>
      </c>
      <c r="K506" t="s">
        <v>12</v>
      </c>
      <c r="L506" s="4">
        <v>178131</v>
      </c>
      <c r="M506" t="str">
        <f t="shared" si="23"/>
        <v>Low</v>
      </c>
    </row>
    <row r="507" spans="1:13" x14ac:dyDescent="0.35">
      <c r="A507">
        <v>506</v>
      </c>
      <c r="B507">
        <v>1004</v>
      </c>
      <c r="C507" t="str">
        <f t="shared" si="21"/>
        <v>Medium</v>
      </c>
      <c r="D507">
        <v>4</v>
      </c>
      <c r="E507">
        <v>2</v>
      </c>
      <c r="F507">
        <v>1</v>
      </c>
      <c r="G507">
        <v>1999</v>
      </c>
      <c r="H507" t="str">
        <f t="shared" si="22"/>
        <v>1976-2000</v>
      </c>
      <c r="I507" t="s">
        <v>19</v>
      </c>
      <c r="J507" t="s">
        <v>13</v>
      </c>
      <c r="K507" t="s">
        <v>12</v>
      </c>
      <c r="L507" s="4">
        <v>95520</v>
      </c>
      <c r="M507" t="str">
        <f t="shared" si="23"/>
        <v>Low</v>
      </c>
    </row>
    <row r="508" spans="1:13" x14ac:dyDescent="0.35">
      <c r="A508">
        <v>507</v>
      </c>
      <c r="B508">
        <v>1714</v>
      </c>
      <c r="C508" t="str">
        <f t="shared" si="21"/>
        <v>Medium</v>
      </c>
      <c r="D508">
        <v>1</v>
      </c>
      <c r="E508">
        <v>3</v>
      </c>
      <c r="F508">
        <v>1</v>
      </c>
      <c r="G508">
        <v>1927</v>
      </c>
      <c r="H508" t="str">
        <f t="shared" si="22"/>
        <v>Pre-1950</v>
      </c>
      <c r="I508" t="s">
        <v>14</v>
      </c>
      <c r="J508" t="s">
        <v>18</v>
      </c>
      <c r="K508" t="s">
        <v>16</v>
      </c>
      <c r="L508" s="4">
        <v>375063</v>
      </c>
      <c r="M508" t="str">
        <f t="shared" si="23"/>
        <v>Medium</v>
      </c>
    </row>
    <row r="509" spans="1:13" x14ac:dyDescent="0.35">
      <c r="A509">
        <v>508</v>
      </c>
      <c r="B509">
        <v>2031</v>
      </c>
      <c r="C509" t="str">
        <f t="shared" si="21"/>
        <v>Medium</v>
      </c>
      <c r="D509">
        <v>1</v>
      </c>
      <c r="E509">
        <v>3</v>
      </c>
      <c r="F509">
        <v>3</v>
      </c>
      <c r="G509">
        <v>1944</v>
      </c>
      <c r="H509" t="str">
        <f t="shared" si="22"/>
        <v>Pre-1950</v>
      </c>
      <c r="I509" t="s">
        <v>19</v>
      </c>
      <c r="J509" t="s">
        <v>11</v>
      </c>
      <c r="K509" t="s">
        <v>16</v>
      </c>
      <c r="L509" s="4">
        <v>684157</v>
      </c>
      <c r="M509" t="str">
        <f t="shared" si="23"/>
        <v>Premium</v>
      </c>
    </row>
    <row r="510" spans="1:13" x14ac:dyDescent="0.35">
      <c r="A510">
        <v>509</v>
      </c>
      <c r="B510">
        <v>3940</v>
      </c>
      <c r="C510" t="str">
        <f t="shared" si="21"/>
        <v>Large</v>
      </c>
      <c r="D510">
        <v>1</v>
      </c>
      <c r="E510">
        <v>1</v>
      </c>
      <c r="F510">
        <v>1</v>
      </c>
      <c r="G510">
        <v>1916</v>
      </c>
      <c r="H510" t="str">
        <f t="shared" si="22"/>
        <v>Pre-1950</v>
      </c>
      <c r="I510" t="s">
        <v>10</v>
      </c>
      <c r="J510" t="s">
        <v>15</v>
      </c>
      <c r="K510" t="s">
        <v>16</v>
      </c>
      <c r="L510" s="4">
        <v>638730</v>
      </c>
      <c r="M510" t="str">
        <f t="shared" si="23"/>
        <v>Premium</v>
      </c>
    </row>
    <row r="511" spans="1:13" x14ac:dyDescent="0.35">
      <c r="A511">
        <v>510</v>
      </c>
      <c r="B511">
        <v>1323</v>
      </c>
      <c r="C511" t="str">
        <f t="shared" si="21"/>
        <v>Medium</v>
      </c>
      <c r="D511">
        <v>4</v>
      </c>
      <c r="E511">
        <v>3</v>
      </c>
      <c r="F511">
        <v>1</v>
      </c>
      <c r="G511">
        <v>2022</v>
      </c>
      <c r="H511" t="str">
        <f t="shared" si="22"/>
        <v>Post-2000</v>
      </c>
      <c r="I511" t="s">
        <v>19</v>
      </c>
      <c r="J511" t="s">
        <v>11</v>
      </c>
      <c r="K511" t="s">
        <v>16</v>
      </c>
      <c r="L511" s="4">
        <v>835313</v>
      </c>
      <c r="M511" t="str">
        <f t="shared" si="23"/>
        <v>Premium</v>
      </c>
    </row>
    <row r="512" spans="1:13" x14ac:dyDescent="0.35">
      <c r="A512">
        <v>511</v>
      </c>
      <c r="B512">
        <v>1428</v>
      </c>
      <c r="C512" t="str">
        <f t="shared" si="21"/>
        <v>Medium</v>
      </c>
      <c r="D512">
        <v>1</v>
      </c>
      <c r="E512">
        <v>1</v>
      </c>
      <c r="F512">
        <v>1</v>
      </c>
      <c r="G512">
        <v>1939</v>
      </c>
      <c r="H512" t="str">
        <f t="shared" si="22"/>
        <v>Pre-1950</v>
      </c>
      <c r="I512" t="s">
        <v>10</v>
      </c>
      <c r="J512" t="s">
        <v>13</v>
      </c>
      <c r="K512" t="s">
        <v>16</v>
      </c>
      <c r="L512" s="4">
        <v>202842</v>
      </c>
      <c r="M512" t="str">
        <f t="shared" si="23"/>
        <v>Medium</v>
      </c>
    </row>
    <row r="513" spans="1:13" x14ac:dyDescent="0.35">
      <c r="A513">
        <v>512</v>
      </c>
      <c r="B513">
        <v>633</v>
      </c>
      <c r="C513" t="str">
        <f t="shared" si="21"/>
        <v>Small</v>
      </c>
      <c r="D513">
        <v>3</v>
      </c>
      <c r="E513">
        <v>1</v>
      </c>
      <c r="F513">
        <v>1</v>
      </c>
      <c r="G513">
        <v>2021</v>
      </c>
      <c r="H513" t="str">
        <f t="shared" si="22"/>
        <v>Post-2000</v>
      </c>
      <c r="I513" t="s">
        <v>17</v>
      </c>
      <c r="J513" t="s">
        <v>13</v>
      </c>
      <c r="K513" t="s">
        <v>16</v>
      </c>
      <c r="L513" s="4">
        <v>417390</v>
      </c>
      <c r="M513" t="str">
        <f t="shared" si="23"/>
        <v>High</v>
      </c>
    </row>
    <row r="514" spans="1:13" x14ac:dyDescent="0.35">
      <c r="A514">
        <v>513</v>
      </c>
      <c r="B514">
        <v>2605</v>
      </c>
      <c r="C514" t="str">
        <f t="shared" si="21"/>
        <v>Large</v>
      </c>
      <c r="D514">
        <v>5</v>
      </c>
      <c r="E514">
        <v>4</v>
      </c>
      <c r="F514">
        <v>2</v>
      </c>
      <c r="G514">
        <v>2015</v>
      </c>
      <c r="H514" t="str">
        <f t="shared" si="22"/>
        <v>Post-2000</v>
      </c>
      <c r="I514" t="s">
        <v>10</v>
      </c>
      <c r="J514" t="s">
        <v>11</v>
      </c>
      <c r="K514" t="s">
        <v>12</v>
      </c>
      <c r="L514" s="4">
        <v>752858</v>
      </c>
      <c r="M514" t="str">
        <f t="shared" si="23"/>
        <v>Premium</v>
      </c>
    </row>
    <row r="515" spans="1:13" x14ac:dyDescent="0.35">
      <c r="A515">
        <v>514</v>
      </c>
      <c r="B515">
        <v>4127</v>
      </c>
      <c r="C515" t="str">
        <f t="shared" ref="C515:C578" si="24">IF(B515&lt;=1000,"Small",IF(B515&lt;=2500,"Medium",IF(B515&lt;=4000,"Large",IF(B515&gt;=4000,"Extra Large"))))</f>
        <v>Extra Large</v>
      </c>
      <c r="D515">
        <v>3</v>
      </c>
      <c r="E515">
        <v>1</v>
      </c>
      <c r="F515">
        <v>1</v>
      </c>
      <c r="G515">
        <v>1902</v>
      </c>
      <c r="H515" t="str">
        <f t="shared" ref="H515:H578" si="25">IF(G515&lt;=1950,"Pre-1950",IF(G515&lt;=1975,"1950-1975",IF(G515&lt;=2000,"1976-2000",IF(G515&gt;=2000,"Post-2000"))))</f>
        <v>Pre-1950</v>
      </c>
      <c r="I515" t="s">
        <v>14</v>
      </c>
      <c r="J515" t="s">
        <v>18</v>
      </c>
      <c r="K515" t="s">
        <v>16</v>
      </c>
      <c r="L515" s="4">
        <v>421831</v>
      </c>
      <c r="M515" t="str">
        <f t="shared" ref="M515:M578" si="26">IF(L515&lt;=200000,"Low",IF(L515&lt;=400000,"Medium",IF(L515&lt;=600000,"High",IF(L515&gt;=600000,"Premium",""))))</f>
        <v>High</v>
      </c>
    </row>
    <row r="516" spans="1:13" x14ac:dyDescent="0.35">
      <c r="A516">
        <v>515</v>
      </c>
      <c r="B516">
        <v>2352</v>
      </c>
      <c r="C516" t="str">
        <f t="shared" si="24"/>
        <v>Medium</v>
      </c>
      <c r="D516">
        <v>1</v>
      </c>
      <c r="E516">
        <v>1</v>
      </c>
      <c r="F516">
        <v>2</v>
      </c>
      <c r="G516">
        <v>1975</v>
      </c>
      <c r="H516" t="str">
        <f t="shared" si="25"/>
        <v>1950-1975</v>
      </c>
      <c r="I516" t="s">
        <v>17</v>
      </c>
      <c r="J516" t="s">
        <v>15</v>
      </c>
      <c r="K516" t="s">
        <v>12</v>
      </c>
      <c r="L516" s="4">
        <v>572485</v>
      </c>
      <c r="M516" t="str">
        <f t="shared" si="26"/>
        <v>High</v>
      </c>
    </row>
    <row r="517" spans="1:13" x14ac:dyDescent="0.35">
      <c r="A517">
        <v>516</v>
      </c>
      <c r="B517">
        <v>4675</v>
      </c>
      <c r="C517" t="str">
        <f t="shared" si="24"/>
        <v>Extra Large</v>
      </c>
      <c r="D517">
        <v>3</v>
      </c>
      <c r="E517">
        <v>4</v>
      </c>
      <c r="F517">
        <v>1</v>
      </c>
      <c r="G517">
        <v>2002</v>
      </c>
      <c r="H517" t="str">
        <f t="shared" si="25"/>
        <v>Post-2000</v>
      </c>
      <c r="I517" t="s">
        <v>14</v>
      </c>
      <c r="J517" t="s">
        <v>13</v>
      </c>
      <c r="K517" t="s">
        <v>16</v>
      </c>
      <c r="L517" s="4">
        <v>697735</v>
      </c>
      <c r="M517" t="str">
        <f t="shared" si="26"/>
        <v>Premium</v>
      </c>
    </row>
    <row r="518" spans="1:13" x14ac:dyDescent="0.35">
      <c r="A518">
        <v>517</v>
      </c>
      <c r="B518">
        <v>3433</v>
      </c>
      <c r="C518" t="str">
        <f t="shared" si="24"/>
        <v>Large</v>
      </c>
      <c r="D518">
        <v>1</v>
      </c>
      <c r="E518">
        <v>3</v>
      </c>
      <c r="F518">
        <v>3</v>
      </c>
      <c r="G518">
        <v>1975</v>
      </c>
      <c r="H518" t="str">
        <f t="shared" si="25"/>
        <v>1950-1975</v>
      </c>
      <c r="I518" t="s">
        <v>14</v>
      </c>
      <c r="J518" t="s">
        <v>13</v>
      </c>
      <c r="K518" t="s">
        <v>12</v>
      </c>
      <c r="L518" s="4">
        <v>635765</v>
      </c>
      <c r="M518" t="str">
        <f t="shared" si="26"/>
        <v>Premium</v>
      </c>
    </row>
    <row r="519" spans="1:13" x14ac:dyDescent="0.35">
      <c r="A519">
        <v>518</v>
      </c>
      <c r="B519">
        <v>3784</v>
      </c>
      <c r="C519" t="str">
        <f t="shared" si="24"/>
        <v>Large</v>
      </c>
      <c r="D519">
        <v>4</v>
      </c>
      <c r="E519">
        <v>2</v>
      </c>
      <c r="F519">
        <v>2</v>
      </c>
      <c r="G519">
        <v>1965</v>
      </c>
      <c r="H519" t="str">
        <f t="shared" si="25"/>
        <v>1950-1975</v>
      </c>
      <c r="I519" t="s">
        <v>14</v>
      </c>
      <c r="J519" t="s">
        <v>11</v>
      </c>
      <c r="K519" t="s">
        <v>12</v>
      </c>
      <c r="L519" s="4">
        <v>574532</v>
      </c>
      <c r="M519" t="str">
        <f t="shared" si="26"/>
        <v>High</v>
      </c>
    </row>
    <row r="520" spans="1:13" x14ac:dyDescent="0.35">
      <c r="A520">
        <v>519</v>
      </c>
      <c r="B520">
        <v>4798</v>
      </c>
      <c r="C520" t="str">
        <f t="shared" si="24"/>
        <v>Extra Large</v>
      </c>
      <c r="D520">
        <v>3</v>
      </c>
      <c r="E520">
        <v>2</v>
      </c>
      <c r="F520">
        <v>2</v>
      </c>
      <c r="G520">
        <v>2019</v>
      </c>
      <c r="H520" t="str">
        <f t="shared" si="25"/>
        <v>Post-2000</v>
      </c>
      <c r="I520" t="s">
        <v>19</v>
      </c>
      <c r="J520" t="s">
        <v>13</v>
      </c>
      <c r="K520" t="s">
        <v>16</v>
      </c>
      <c r="L520" s="4">
        <v>915885</v>
      </c>
      <c r="M520" t="str">
        <f t="shared" si="26"/>
        <v>Premium</v>
      </c>
    </row>
    <row r="521" spans="1:13" x14ac:dyDescent="0.35">
      <c r="A521">
        <v>520</v>
      </c>
      <c r="B521">
        <v>3311</v>
      </c>
      <c r="C521" t="str">
        <f t="shared" si="24"/>
        <v>Large</v>
      </c>
      <c r="D521">
        <v>4</v>
      </c>
      <c r="E521">
        <v>2</v>
      </c>
      <c r="F521">
        <v>2</v>
      </c>
      <c r="G521">
        <v>1945</v>
      </c>
      <c r="H521" t="str">
        <f t="shared" si="25"/>
        <v>Pre-1950</v>
      </c>
      <c r="I521" t="s">
        <v>14</v>
      </c>
      <c r="J521" t="s">
        <v>13</v>
      </c>
      <c r="K521" t="s">
        <v>12</v>
      </c>
      <c r="L521" s="4">
        <v>500953</v>
      </c>
      <c r="M521" t="str">
        <f t="shared" si="26"/>
        <v>High</v>
      </c>
    </row>
    <row r="522" spans="1:13" x14ac:dyDescent="0.35">
      <c r="A522">
        <v>521</v>
      </c>
      <c r="B522">
        <v>1750</v>
      </c>
      <c r="C522" t="str">
        <f t="shared" si="24"/>
        <v>Medium</v>
      </c>
      <c r="D522">
        <v>4</v>
      </c>
      <c r="E522">
        <v>3</v>
      </c>
      <c r="F522">
        <v>2</v>
      </c>
      <c r="G522">
        <v>1985</v>
      </c>
      <c r="H522" t="str">
        <f t="shared" si="25"/>
        <v>1976-2000</v>
      </c>
      <c r="I522" t="s">
        <v>17</v>
      </c>
      <c r="J522" t="s">
        <v>15</v>
      </c>
      <c r="K522" t="s">
        <v>16</v>
      </c>
      <c r="L522" s="4">
        <v>227561</v>
      </c>
      <c r="M522" t="str">
        <f t="shared" si="26"/>
        <v>Medium</v>
      </c>
    </row>
    <row r="523" spans="1:13" x14ac:dyDescent="0.35">
      <c r="A523">
        <v>522</v>
      </c>
      <c r="B523">
        <v>4012</v>
      </c>
      <c r="C523" t="str">
        <f t="shared" si="24"/>
        <v>Extra Large</v>
      </c>
      <c r="D523">
        <v>2</v>
      </c>
      <c r="E523">
        <v>1</v>
      </c>
      <c r="F523">
        <v>3</v>
      </c>
      <c r="G523">
        <v>1986</v>
      </c>
      <c r="H523" t="str">
        <f t="shared" si="25"/>
        <v>1976-2000</v>
      </c>
      <c r="I523" t="s">
        <v>10</v>
      </c>
      <c r="J523" t="s">
        <v>18</v>
      </c>
      <c r="K523" t="s">
        <v>16</v>
      </c>
      <c r="L523" s="4">
        <v>964394</v>
      </c>
      <c r="M523" t="str">
        <f t="shared" si="26"/>
        <v>Premium</v>
      </c>
    </row>
    <row r="524" spans="1:13" x14ac:dyDescent="0.35">
      <c r="A524">
        <v>523</v>
      </c>
      <c r="B524">
        <v>1756</v>
      </c>
      <c r="C524" t="str">
        <f t="shared" si="24"/>
        <v>Medium</v>
      </c>
      <c r="D524">
        <v>1</v>
      </c>
      <c r="E524">
        <v>2</v>
      </c>
      <c r="F524">
        <v>1</v>
      </c>
      <c r="G524">
        <v>1929</v>
      </c>
      <c r="H524" t="str">
        <f t="shared" si="25"/>
        <v>Pre-1950</v>
      </c>
      <c r="I524" t="s">
        <v>14</v>
      </c>
      <c r="J524" t="s">
        <v>15</v>
      </c>
      <c r="K524" t="s">
        <v>16</v>
      </c>
      <c r="L524" s="4">
        <v>907735</v>
      </c>
      <c r="M524" t="str">
        <f t="shared" si="26"/>
        <v>Premium</v>
      </c>
    </row>
    <row r="525" spans="1:13" x14ac:dyDescent="0.35">
      <c r="A525">
        <v>524</v>
      </c>
      <c r="B525">
        <v>3876</v>
      </c>
      <c r="C525" t="str">
        <f t="shared" si="24"/>
        <v>Large</v>
      </c>
      <c r="D525">
        <v>5</v>
      </c>
      <c r="E525">
        <v>3</v>
      </c>
      <c r="F525">
        <v>2</v>
      </c>
      <c r="G525">
        <v>1968</v>
      </c>
      <c r="H525" t="str">
        <f t="shared" si="25"/>
        <v>1950-1975</v>
      </c>
      <c r="I525" t="s">
        <v>17</v>
      </c>
      <c r="J525" t="s">
        <v>18</v>
      </c>
      <c r="K525" t="s">
        <v>16</v>
      </c>
      <c r="L525" s="4">
        <v>340534</v>
      </c>
      <c r="M525" t="str">
        <f t="shared" si="26"/>
        <v>Medium</v>
      </c>
    </row>
    <row r="526" spans="1:13" x14ac:dyDescent="0.35">
      <c r="A526">
        <v>525</v>
      </c>
      <c r="B526">
        <v>3986</v>
      </c>
      <c r="C526" t="str">
        <f t="shared" si="24"/>
        <v>Large</v>
      </c>
      <c r="D526">
        <v>1</v>
      </c>
      <c r="E526">
        <v>1</v>
      </c>
      <c r="F526">
        <v>3</v>
      </c>
      <c r="G526">
        <v>1908</v>
      </c>
      <c r="H526" t="str">
        <f t="shared" si="25"/>
        <v>Pre-1950</v>
      </c>
      <c r="I526" t="s">
        <v>14</v>
      </c>
      <c r="J526" t="s">
        <v>15</v>
      </c>
      <c r="K526" t="s">
        <v>12</v>
      </c>
      <c r="L526" s="4">
        <v>584535</v>
      </c>
      <c r="M526" t="str">
        <f t="shared" si="26"/>
        <v>High</v>
      </c>
    </row>
    <row r="527" spans="1:13" x14ac:dyDescent="0.35">
      <c r="A527">
        <v>526</v>
      </c>
      <c r="B527">
        <v>4084</v>
      </c>
      <c r="C527" t="str">
        <f t="shared" si="24"/>
        <v>Extra Large</v>
      </c>
      <c r="D527">
        <v>5</v>
      </c>
      <c r="E527">
        <v>4</v>
      </c>
      <c r="F527">
        <v>2</v>
      </c>
      <c r="G527">
        <v>1984</v>
      </c>
      <c r="H527" t="str">
        <f t="shared" si="25"/>
        <v>1976-2000</v>
      </c>
      <c r="I527" t="s">
        <v>10</v>
      </c>
      <c r="J527" t="s">
        <v>11</v>
      </c>
      <c r="K527" t="s">
        <v>16</v>
      </c>
      <c r="L527" s="4">
        <v>250123</v>
      </c>
      <c r="M527" t="str">
        <f t="shared" si="26"/>
        <v>Medium</v>
      </c>
    </row>
    <row r="528" spans="1:13" x14ac:dyDescent="0.35">
      <c r="A528">
        <v>527</v>
      </c>
      <c r="B528">
        <v>1896</v>
      </c>
      <c r="C528" t="str">
        <f t="shared" si="24"/>
        <v>Medium</v>
      </c>
      <c r="D528">
        <v>1</v>
      </c>
      <c r="E528">
        <v>2</v>
      </c>
      <c r="F528">
        <v>1</v>
      </c>
      <c r="G528">
        <v>1910</v>
      </c>
      <c r="H528" t="str">
        <f t="shared" si="25"/>
        <v>Pre-1950</v>
      </c>
      <c r="I528" t="s">
        <v>17</v>
      </c>
      <c r="J528" t="s">
        <v>13</v>
      </c>
      <c r="K528" t="s">
        <v>12</v>
      </c>
      <c r="L528" s="4">
        <v>765079</v>
      </c>
      <c r="M528" t="str">
        <f t="shared" si="26"/>
        <v>Premium</v>
      </c>
    </row>
    <row r="529" spans="1:13" x14ac:dyDescent="0.35">
      <c r="A529">
        <v>528</v>
      </c>
      <c r="B529">
        <v>4137</v>
      </c>
      <c r="C529" t="str">
        <f t="shared" si="24"/>
        <v>Extra Large</v>
      </c>
      <c r="D529">
        <v>4</v>
      </c>
      <c r="E529">
        <v>1</v>
      </c>
      <c r="F529">
        <v>2</v>
      </c>
      <c r="G529">
        <v>1968</v>
      </c>
      <c r="H529" t="str">
        <f t="shared" si="25"/>
        <v>1950-1975</v>
      </c>
      <c r="I529" t="s">
        <v>17</v>
      </c>
      <c r="J529" t="s">
        <v>18</v>
      </c>
      <c r="K529" t="s">
        <v>12</v>
      </c>
      <c r="L529" s="4">
        <v>477894</v>
      </c>
      <c r="M529" t="str">
        <f t="shared" si="26"/>
        <v>High</v>
      </c>
    </row>
    <row r="530" spans="1:13" x14ac:dyDescent="0.35">
      <c r="A530">
        <v>529</v>
      </c>
      <c r="B530">
        <v>3830</v>
      </c>
      <c r="C530" t="str">
        <f t="shared" si="24"/>
        <v>Large</v>
      </c>
      <c r="D530">
        <v>3</v>
      </c>
      <c r="E530">
        <v>2</v>
      </c>
      <c r="F530">
        <v>3</v>
      </c>
      <c r="G530">
        <v>1998</v>
      </c>
      <c r="H530" t="str">
        <f t="shared" si="25"/>
        <v>1976-2000</v>
      </c>
      <c r="I530" t="s">
        <v>10</v>
      </c>
      <c r="J530" t="s">
        <v>11</v>
      </c>
      <c r="K530" t="s">
        <v>12</v>
      </c>
      <c r="L530" s="4">
        <v>531018</v>
      </c>
      <c r="M530" t="str">
        <f t="shared" si="26"/>
        <v>High</v>
      </c>
    </row>
    <row r="531" spans="1:13" x14ac:dyDescent="0.35">
      <c r="A531">
        <v>530</v>
      </c>
      <c r="B531">
        <v>3203</v>
      </c>
      <c r="C531" t="str">
        <f t="shared" si="24"/>
        <v>Large</v>
      </c>
      <c r="D531">
        <v>3</v>
      </c>
      <c r="E531">
        <v>2</v>
      </c>
      <c r="F531">
        <v>1</v>
      </c>
      <c r="G531">
        <v>1990</v>
      </c>
      <c r="H531" t="str">
        <f t="shared" si="25"/>
        <v>1976-2000</v>
      </c>
      <c r="I531" t="s">
        <v>17</v>
      </c>
      <c r="J531" t="s">
        <v>13</v>
      </c>
      <c r="K531" t="s">
        <v>16</v>
      </c>
      <c r="L531" s="4">
        <v>257358</v>
      </c>
      <c r="M531" t="str">
        <f t="shared" si="26"/>
        <v>Medium</v>
      </c>
    </row>
    <row r="532" spans="1:13" x14ac:dyDescent="0.35">
      <c r="A532">
        <v>531</v>
      </c>
      <c r="B532">
        <v>970</v>
      </c>
      <c r="C532" t="str">
        <f t="shared" si="24"/>
        <v>Small</v>
      </c>
      <c r="D532">
        <v>2</v>
      </c>
      <c r="E532">
        <v>2</v>
      </c>
      <c r="F532">
        <v>3</v>
      </c>
      <c r="G532">
        <v>2012</v>
      </c>
      <c r="H532" t="str">
        <f t="shared" si="25"/>
        <v>Post-2000</v>
      </c>
      <c r="I532" t="s">
        <v>10</v>
      </c>
      <c r="J532" t="s">
        <v>13</v>
      </c>
      <c r="K532" t="s">
        <v>12</v>
      </c>
      <c r="L532" s="4">
        <v>866015</v>
      </c>
      <c r="M532" t="str">
        <f t="shared" si="26"/>
        <v>Premium</v>
      </c>
    </row>
    <row r="533" spans="1:13" x14ac:dyDescent="0.35">
      <c r="A533">
        <v>532</v>
      </c>
      <c r="B533">
        <v>1853</v>
      </c>
      <c r="C533" t="str">
        <f t="shared" si="24"/>
        <v>Medium</v>
      </c>
      <c r="D533">
        <v>5</v>
      </c>
      <c r="E533">
        <v>1</v>
      </c>
      <c r="F533">
        <v>1</v>
      </c>
      <c r="G533">
        <v>1965</v>
      </c>
      <c r="H533" t="str">
        <f t="shared" si="25"/>
        <v>1950-1975</v>
      </c>
      <c r="I533" t="s">
        <v>17</v>
      </c>
      <c r="J533" t="s">
        <v>13</v>
      </c>
      <c r="K533" t="s">
        <v>16</v>
      </c>
      <c r="L533" s="4">
        <v>566456</v>
      </c>
      <c r="M533" t="str">
        <f t="shared" si="26"/>
        <v>High</v>
      </c>
    </row>
    <row r="534" spans="1:13" x14ac:dyDescent="0.35">
      <c r="A534">
        <v>533</v>
      </c>
      <c r="B534">
        <v>3283</v>
      </c>
      <c r="C534" t="str">
        <f t="shared" si="24"/>
        <v>Large</v>
      </c>
      <c r="D534">
        <v>5</v>
      </c>
      <c r="E534">
        <v>3</v>
      </c>
      <c r="F534">
        <v>1</v>
      </c>
      <c r="G534">
        <v>1987</v>
      </c>
      <c r="H534" t="str">
        <f t="shared" si="25"/>
        <v>1976-2000</v>
      </c>
      <c r="I534" t="s">
        <v>17</v>
      </c>
      <c r="J534" t="s">
        <v>15</v>
      </c>
      <c r="K534" t="s">
        <v>12</v>
      </c>
      <c r="L534" s="4">
        <v>189148</v>
      </c>
      <c r="M534" t="str">
        <f t="shared" si="26"/>
        <v>Low</v>
      </c>
    </row>
    <row r="535" spans="1:13" x14ac:dyDescent="0.35">
      <c r="A535">
        <v>534</v>
      </c>
      <c r="B535">
        <v>3331</v>
      </c>
      <c r="C535" t="str">
        <f t="shared" si="24"/>
        <v>Large</v>
      </c>
      <c r="D535">
        <v>5</v>
      </c>
      <c r="E535">
        <v>1</v>
      </c>
      <c r="F535">
        <v>1</v>
      </c>
      <c r="G535">
        <v>1930</v>
      </c>
      <c r="H535" t="str">
        <f t="shared" si="25"/>
        <v>Pre-1950</v>
      </c>
      <c r="I535" t="s">
        <v>10</v>
      </c>
      <c r="J535" t="s">
        <v>11</v>
      </c>
      <c r="K535" t="s">
        <v>16</v>
      </c>
      <c r="L535" s="4">
        <v>985510</v>
      </c>
      <c r="M535" t="str">
        <f t="shared" si="26"/>
        <v>Premium</v>
      </c>
    </row>
    <row r="536" spans="1:13" x14ac:dyDescent="0.35">
      <c r="A536">
        <v>535</v>
      </c>
      <c r="B536">
        <v>857</v>
      </c>
      <c r="C536" t="str">
        <f t="shared" si="24"/>
        <v>Small</v>
      </c>
      <c r="D536">
        <v>4</v>
      </c>
      <c r="E536">
        <v>2</v>
      </c>
      <c r="F536">
        <v>2</v>
      </c>
      <c r="G536">
        <v>1932</v>
      </c>
      <c r="H536" t="str">
        <f t="shared" si="25"/>
        <v>Pre-1950</v>
      </c>
      <c r="I536" t="s">
        <v>10</v>
      </c>
      <c r="J536" t="s">
        <v>11</v>
      </c>
      <c r="K536" t="s">
        <v>16</v>
      </c>
      <c r="L536" s="4">
        <v>196123</v>
      </c>
      <c r="M536" t="str">
        <f t="shared" si="26"/>
        <v>Low</v>
      </c>
    </row>
    <row r="537" spans="1:13" x14ac:dyDescent="0.35">
      <c r="A537">
        <v>536</v>
      </c>
      <c r="B537">
        <v>3519</v>
      </c>
      <c r="C537" t="str">
        <f t="shared" si="24"/>
        <v>Large</v>
      </c>
      <c r="D537">
        <v>5</v>
      </c>
      <c r="E537">
        <v>1</v>
      </c>
      <c r="F537">
        <v>3</v>
      </c>
      <c r="G537">
        <v>1938</v>
      </c>
      <c r="H537" t="str">
        <f t="shared" si="25"/>
        <v>Pre-1950</v>
      </c>
      <c r="I537" t="s">
        <v>17</v>
      </c>
      <c r="J537" t="s">
        <v>13</v>
      </c>
      <c r="K537" t="s">
        <v>16</v>
      </c>
      <c r="L537" s="4">
        <v>447530</v>
      </c>
      <c r="M537" t="str">
        <f t="shared" si="26"/>
        <v>High</v>
      </c>
    </row>
    <row r="538" spans="1:13" x14ac:dyDescent="0.35">
      <c r="A538">
        <v>537</v>
      </c>
      <c r="B538">
        <v>1167</v>
      </c>
      <c r="C538" t="str">
        <f t="shared" si="24"/>
        <v>Medium</v>
      </c>
      <c r="D538">
        <v>3</v>
      </c>
      <c r="E538">
        <v>4</v>
      </c>
      <c r="F538">
        <v>3</v>
      </c>
      <c r="G538">
        <v>1993</v>
      </c>
      <c r="H538" t="str">
        <f t="shared" si="25"/>
        <v>1976-2000</v>
      </c>
      <c r="I538" t="s">
        <v>17</v>
      </c>
      <c r="J538" t="s">
        <v>18</v>
      </c>
      <c r="K538" t="s">
        <v>16</v>
      </c>
      <c r="L538" s="4">
        <v>602958</v>
      </c>
      <c r="M538" t="str">
        <f t="shared" si="26"/>
        <v>Premium</v>
      </c>
    </row>
    <row r="539" spans="1:13" x14ac:dyDescent="0.35">
      <c r="A539">
        <v>538</v>
      </c>
      <c r="B539">
        <v>4968</v>
      </c>
      <c r="C539" t="str">
        <f t="shared" si="24"/>
        <v>Extra Large</v>
      </c>
      <c r="D539">
        <v>4</v>
      </c>
      <c r="E539">
        <v>3</v>
      </c>
      <c r="F539">
        <v>3</v>
      </c>
      <c r="G539">
        <v>1945</v>
      </c>
      <c r="H539" t="str">
        <f t="shared" si="25"/>
        <v>Pre-1950</v>
      </c>
      <c r="I539" t="s">
        <v>10</v>
      </c>
      <c r="J539" t="s">
        <v>11</v>
      </c>
      <c r="K539" t="s">
        <v>12</v>
      </c>
      <c r="L539" s="4">
        <v>543973</v>
      </c>
      <c r="M539" t="str">
        <f t="shared" si="26"/>
        <v>High</v>
      </c>
    </row>
    <row r="540" spans="1:13" x14ac:dyDescent="0.35">
      <c r="A540">
        <v>539</v>
      </c>
      <c r="B540">
        <v>1645</v>
      </c>
      <c r="C540" t="str">
        <f t="shared" si="24"/>
        <v>Medium</v>
      </c>
      <c r="D540">
        <v>1</v>
      </c>
      <c r="E540">
        <v>1</v>
      </c>
      <c r="F540">
        <v>1</v>
      </c>
      <c r="G540">
        <v>1936</v>
      </c>
      <c r="H540" t="str">
        <f t="shared" si="25"/>
        <v>Pre-1950</v>
      </c>
      <c r="I540" t="s">
        <v>19</v>
      </c>
      <c r="J540" t="s">
        <v>15</v>
      </c>
      <c r="K540" t="s">
        <v>12</v>
      </c>
      <c r="L540" s="4">
        <v>961352</v>
      </c>
      <c r="M540" t="str">
        <f t="shared" si="26"/>
        <v>Premium</v>
      </c>
    </row>
    <row r="541" spans="1:13" x14ac:dyDescent="0.35">
      <c r="A541">
        <v>540</v>
      </c>
      <c r="B541">
        <v>4685</v>
      </c>
      <c r="C541" t="str">
        <f t="shared" si="24"/>
        <v>Extra Large</v>
      </c>
      <c r="D541">
        <v>5</v>
      </c>
      <c r="E541">
        <v>4</v>
      </c>
      <c r="F541">
        <v>2</v>
      </c>
      <c r="G541">
        <v>2014</v>
      </c>
      <c r="H541" t="str">
        <f t="shared" si="25"/>
        <v>Post-2000</v>
      </c>
      <c r="I541" t="s">
        <v>10</v>
      </c>
      <c r="J541" t="s">
        <v>18</v>
      </c>
      <c r="K541" t="s">
        <v>16</v>
      </c>
      <c r="L541" s="4">
        <v>60236</v>
      </c>
      <c r="M541" t="str">
        <f t="shared" si="26"/>
        <v>Low</v>
      </c>
    </row>
    <row r="542" spans="1:13" x14ac:dyDescent="0.35">
      <c r="A542">
        <v>541</v>
      </c>
      <c r="B542">
        <v>4219</v>
      </c>
      <c r="C542" t="str">
        <f t="shared" si="24"/>
        <v>Extra Large</v>
      </c>
      <c r="D542">
        <v>5</v>
      </c>
      <c r="E542">
        <v>3</v>
      </c>
      <c r="F542">
        <v>1</v>
      </c>
      <c r="G542">
        <v>1991</v>
      </c>
      <c r="H542" t="str">
        <f t="shared" si="25"/>
        <v>1976-2000</v>
      </c>
      <c r="I542" t="s">
        <v>17</v>
      </c>
      <c r="J542" t="s">
        <v>18</v>
      </c>
      <c r="K542" t="s">
        <v>12</v>
      </c>
      <c r="L542" s="4">
        <v>85568</v>
      </c>
      <c r="M542" t="str">
        <f t="shared" si="26"/>
        <v>Low</v>
      </c>
    </row>
    <row r="543" spans="1:13" x14ac:dyDescent="0.35">
      <c r="A543">
        <v>542</v>
      </c>
      <c r="B543">
        <v>3245</v>
      </c>
      <c r="C543" t="str">
        <f t="shared" si="24"/>
        <v>Large</v>
      </c>
      <c r="D543">
        <v>1</v>
      </c>
      <c r="E543">
        <v>4</v>
      </c>
      <c r="F543">
        <v>3</v>
      </c>
      <c r="G543">
        <v>1959</v>
      </c>
      <c r="H543" t="str">
        <f t="shared" si="25"/>
        <v>1950-1975</v>
      </c>
      <c r="I543" t="s">
        <v>17</v>
      </c>
      <c r="J543" t="s">
        <v>18</v>
      </c>
      <c r="K543" t="s">
        <v>16</v>
      </c>
      <c r="L543" s="4">
        <v>681615</v>
      </c>
      <c r="M543" t="str">
        <f t="shared" si="26"/>
        <v>Premium</v>
      </c>
    </row>
    <row r="544" spans="1:13" x14ac:dyDescent="0.35">
      <c r="A544">
        <v>543</v>
      </c>
      <c r="B544">
        <v>1039</v>
      </c>
      <c r="C544" t="str">
        <f t="shared" si="24"/>
        <v>Medium</v>
      </c>
      <c r="D544">
        <v>5</v>
      </c>
      <c r="E544">
        <v>3</v>
      </c>
      <c r="F544">
        <v>2</v>
      </c>
      <c r="G544">
        <v>1930</v>
      </c>
      <c r="H544" t="str">
        <f t="shared" si="25"/>
        <v>Pre-1950</v>
      </c>
      <c r="I544" t="s">
        <v>17</v>
      </c>
      <c r="J544" t="s">
        <v>18</v>
      </c>
      <c r="K544" t="s">
        <v>16</v>
      </c>
      <c r="L544" s="4">
        <v>305745</v>
      </c>
      <c r="M544" t="str">
        <f t="shared" si="26"/>
        <v>Medium</v>
      </c>
    </row>
    <row r="545" spans="1:13" x14ac:dyDescent="0.35">
      <c r="A545">
        <v>544</v>
      </c>
      <c r="B545">
        <v>3279</v>
      </c>
      <c r="C545" t="str">
        <f t="shared" si="24"/>
        <v>Large</v>
      </c>
      <c r="D545">
        <v>1</v>
      </c>
      <c r="E545">
        <v>1</v>
      </c>
      <c r="F545">
        <v>2</v>
      </c>
      <c r="G545">
        <v>1910</v>
      </c>
      <c r="H545" t="str">
        <f t="shared" si="25"/>
        <v>Pre-1950</v>
      </c>
      <c r="I545" t="s">
        <v>10</v>
      </c>
      <c r="J545" t="s">
        <v>11</v>
      </c>
      <c r="K545" t="s">
        <v>12</v>
      </c>
      <c r="L545" s="4">
        <v>422332</v>
      </c>
      <c r="M545" t="str">
        <f t="shared" si="26"/>
        <v>High</v>
      </c>
    </row>
    <row r="546" spans="1:13" x14ac:dyDescent="0.35">
      <c r="A546">
        <v>545</v>
      </c>
      <c r="B546">
        <v>4636</v>
      </c>
      <c r="C546" t="str">
        <f t="shared" si="24"/>
        <v>Extra Large</v>
      </c>
      <c r="D546">
        <v>4</v>
      </c>
      <c r="E546">
        <v>4</v>
      </c>
      <c r="F546">
        <v>2</v>
      </c>
      <c r="G546">
        <v>1986</v>
      </c>
      <c r="H546" t="str">
        <f t="shared" si="25"/>
        <v>1976-2000</v>
      </c>
      <c r="I546" t="s">
        <v>17</v>
      </c>
      <c r="J546" t="s">
        <v>13</v>
      </c>
      <c r="K546" t="s">
        <v>16</v>
      </c>
      <c r="L546" s="4">
        <v>535119</v>
      </c>
      <c r="M546" t="str">
        <f t="shared" si="26"/>
        <v>High</v>
      </c>
    </row>
    <row r="547" spans="1:13" x14ac:dyDescent="0.35">
      <c r="A547">
        <v>546</v>
      </c>
      <c r="B547">
        <v>4275</v>
      </c>
      <c r="C547" t="str">
        <f t="shared" si="24"/>
        <v>Extra Large</v>
      </c>
      <c r="D547">
        <v>3</v>
      </c>
      <c r="E547">
        <v>2</v>
      </c>
      <c r="F547">
        <v>3</v>
      </c>
      <c r="G547">
        <v>2020</v>
      </c>
      <c r="H547" t="str">
        <f t="shared" si="25"/>
        <v>Post-2000</v>
      </c>
      <c r="I547" t="s">
        <v>19</v>
      </c>
      <c r="J547" t="s">
        <v>18</v>
      </c>
      <c r="K547" t="s">
        <v>16</v>
      </c>
      <c r="L547" s="4">
        <v>328496</v>
      </c>
      <c r="M547" t="str">
        <f t="shared" si="26"/>
        <v>Medium</v>
      </c>
    </row>
    <row r="548" spans="1:13" x14ac:dyDescent="0.35">
      <c r="A548">
        <v>547</v>
      </c>
      <c r="B548">
        <v>3008</v>
      </c>
      <c r="C548" t="str">
        <f t="shared" si="24"/>
        <v>Large</v>
      </c>
      <c r="D548">
        <v>1</v>
      </c>
      <c r="E548">
        <v>4</v>
      </c>
      <c r="F548">
        <v>2</v>
      </c>
      <c r="G548">
        <v>1901</v>
      </c>
      <c r="H548" t="str">
        <f t="shared" si="25"/>
        <v>Pre-1950</v>
      </c>
      <c r="I548" t="s">
        <v>14</v>
      </c>
      <c r="J548" t="s">
        <v>15</v>
      </c>
      <c r="K548" t="s">
        <v>16</v>
      </c>
      <c r="L548" s="4">
        <v>700009</v>
      </c>
      <c r="M548" t="str">
        <f t="shared" si="26"/>
        <v>Premium</v>
      </c>
    </row>
    <row r="549" spans="1:13" x14ac:dyDescent="0.35">
      <c r="A549">
        <v>548</v>
      </c>
      <c r="B549">
        <v>3279</v>
      </c>
      <c r="C549" t="str">
        <f t="shared" si="24"/>
        <v>Large</v>
      </c>
      <c r="D549">
        <v>2</v>
      </c>
      <c r="E549">
        <v>3</v>
      </c>
      <c r="F549">
        <v>2</v>
      </c>
      <c r="G549">
        <v>2003</v>
      </c>
      <c r="H549" t="str">
        <f t="shared" si="25"/>
        <v>Post-2000</v>
      </c>
      <c r="I549" t="s">
        <v>19</v>
      </c>
      <c r="J549" t="s">
        <v>15</v>
      </c>
      <c r="K549" t="s">
        <v>16</v>
      </c>
      <c r="L549" s="4">
        <v>309291</v>
      </c>
      <c r="M549" t="str">
        <f t="shared" si="26"/>
        <v>Medium</v>
      </c>
    </row>
    <row r="550" spans="1:13" x14ac:dyDescent="0.35">
      <c r="A550">
        <v>549</v>
      </c>
      <c r="B550">
        <v>1424</v>
      </c>
      <c r="C550" t="str">
        <f t="shared" si="24"/>
        <v>Medium</v>
      </c>
      <c r="D550">
        <v>1</v>
      </c>
      <c r="E550">
        <v>1</v>
      </c>
      <c r="F550">
        <v>1</v>
      </c>
      <c r="G550">
        <v>2004</v>
      </c>
      <c r="H550" t="str">
        <f t="shared" si="25"/>
        <v>Post-2000</v>
      </c>
      <c r="I550" t="s">
        <v>10</v>
      </c>
      <c r="J550" t="s">
        <v>13</v>
      </c>
      <c r="K550" t="s">
        <v>16</v>
      </c>
      <c r="L550" s="4">
        <v>488866</v>
      </c>
      <c r="M550" t="str">
        <f t="shared" si="26"/>
        <v>High</v>
      </c>
    </row>
    <row r="551" spans="1:13" x14ac:dyDescent="0.35">
      <c r="A551">
        <v>550</v>
      </c>
      <c r="B551">
        <v>3456</v>
      </c>
      <c r="C551" t="str">
        <f t="shared" si="24"/>
        <v>Large</v>
      </c>
      <c r="D551">
        <v>5</v>
      </c>
      <c r="E551">
        <v>3</v>
      </c>
      <c r="F551">
        <v>1</v>
      </c>
      <c r="G551">
        <v>1926</v>
      </c>
      <c r="H551" t="str">
        <f t="shared" si="25"/>
        <v>Pre-1950</v>
      </c>
      <c r="I551" t="s">
        <v>17</v>
      </c>
      <c r="J551" t="s">
        <v>11</v>
      </c>
      <c r="K551" t="s">
        <v>12</v>
      </c>
      <c r="L551" s="4">
        <v>453562</v>
      </c>
      <c r="M551" t="str">
        <f t="shared" si="26"/>
        <v>High</v>
      </c>
    </row>
    <row r="552" spans="1:13" x14ac:dyDescent="0.35">
      <c r="A552">
        <v>551</v>
      </c>
      <c r="B552">
        <v>2081</v>
      </c>
      <c r="C552" t="str">
        <f t="shared" si="24"/>
        <v>Medium</v>
      </c>
      <c r="D552">
        <v>4</v>
      </c>
      <c r="E552">
        <v>4</v>
      </c>
      <c r="F552">
        <v>2</v>
      </c>
      <c r="G552">
        <v>1998</v>
      </c>
      <c r="H552" t="str">
        <f t="shared" si="25"/>
        <v>1976-2000</v>
      </c>
      <c r="I552" t="s">
        <v>10</v>
      </c>
      <c r="J552" t="s">
        <v>13</v>
      </c>
      <c r="K552" t="s">
        <v>12</v>
      </c>
      <c r="L552" s="4">
        <v>730516</v>
      </c>
      <c r="M552" t="str">
        <f t="shared" si="26"/>
        <v>Premium</v>
      </c>
    </row>
    <row r="553" spans="1:13" x14ac:dyDescent="0.35">
      <c r="A553">
        <v>552</v>
      </c>
      <c r="B553">
        <v>3824</v>
      </c>
      <c r="C553" t="str">
        <f t="shared" si="24"/>
        <v>Large</v>
      </c>
      <c r="D553">
        <v>4</v>
      </c>
      <c r="E553">
        <v>4</v>
      </c>
      <c r="F553">
        <v>2</v>
      </c>
      <c r="G553">
        <v>1901</v>
      </c>
      <c r="H553" t="str">
        <f t="shared" si="25"/>
        <v>Pre-1950</v>
      </c>
      <c r="I553" t="s">
        <v>14</v>
      </c>
      <c r="J553" t="s">
        <v>18</v>
      </c>
      <c r="K553" t="s">
        <v>12</v>
      </c>
      <c r="L553" s="4">
        <v>105904</v>
      </c>
      <c r="M553" t="str">
        <f t="shared" si="26"/>
        <v>Low</v>
      </c>
    </row>
    <row r="554" spans="1:13" x14ac:dyDescent="0.35">
      <c r="A554">
        <v>553</v>
      </c>
      <c r="B554">
        <v>4985</v>
      </c>
      <c r="C554" t="str">
        <f t="shared" si="24"/>
        <v>Extra Large</v>
      </c>
      <c r="D554">
        <v>1</v>
      </c>
      <c r="E554">
        <v>2</v>
      </c>
      <c r="F554">
        <v>1</v>
      </c>
      <c r="G554">
        <v>2002</v>
      </c>
      <c r="H554" t="str">
        <f t="shared" si="25"/>
        <v>Post-2000</v>
      </c>
      <c r="I554" t="s">
        <v>10</v>
      </c>
      <c r="J554" t="s">
        <v>11</v>
      </c>
      <c r="K554" t="s">
        <v>16</v>
      </c>
      <c r="L554" s="4">
        <v>981539</v>
      </c>
      <c r="M554" t="str">
        <f t="shared" si="26"/>
        <v>Premium</v>
      </c>
    </row>
    <row r="555" spans="1:13" x14ac:dyDescent="0.35">
      <c r="A555">
        <v>554</v>
      </c>
      <c r="B555">
        <v>755</v>
      </c>
      <c r="C555" t="str">
        <f t="shared" si="24"/>
        <v>Small</v>
      </c>
      <c r="D555">
        <v>3</v>
      </c>
      <c r="E555">
        <v>1</v>
      </c>
      <c r="F555">
        <v>1</v>
      </c>
      <c r="G555">
        <v>2000</v>
      </c>
      <c r="H555" t="str">
        <f t="shared" si="25"/>
        <v>1976-2000</v>
      </c>
      <c r="I555" t="s">
        <v>17</v>
      </c>
      <c r="J555" t="s">
        <v>11</v>
      </c>
      <c r="K555" t="s">
        <v>16</v>
      </c>
      <c r="L555" s="4">
        <v>958573</v>
      </c>
      <c r="M555" t="str">
        <f t="shared" si="26"/>
        <v>Premium</v>
      </c>
    </row>
    <row r="556" spans="1:13" x14ac:dyDescent="0.35">
      <c r="A556">
        <v>555</v>
      </c>
      <c r="B556">
        <v>2338</v>
      </c>
      <c r="C556" t="str">
        <f t="shared" si="24"/>
        <v>Medium</v>
      </c>
      <c r="D556">
        <v>2</v>
      </c>
      <c r="E556">
        <v>1</v>
      </c>
      <c r="F556">
        <v>1</v>
      </c>
      <c r="G556">
        <v>1920</v>
      </c>
      <c r="H556" t="str">
        <f t="shared" si="25"/>
        <v>Pre-1950</v>
      </c>
      <c r="I556" t="s">
        <v>14</v>
      </c>
      <c r="J556" t="s">
        <v>18</v>
      </c>
      <c r="K556" t="s">
        <v>16</v>
      </c>
      <c r="L556" s="4">
        <v>328252</v>
      </c>
      <c r="M556" t="str">
        <f t="shared" si="26"/>
        <v>Medium</v>
      </c>
    </row>
    <row r="557" spans="1:13" x14ac:dyDescent="0.35">
      <c r="A557">
        <v>556</v>
      </c>
      <c r="B557">
        <v>2444</v>
      </c>
      <c r="C557" t="str">
        <f t="shared" si="24"/>
        <v>Medium</v>
      </c>
      <c r="D557">
        <v>4</v>
      </c>
      <c r="E557">
        <v>4</v>
      </c>
      <c r="F557">
        <v>3</v>
      </c>
      <c r="G557">
        <v>1957</v>
      </c>
      <c r="H557" t="str">
        <f t="shared" si="25"/>
        <v>1950-1975</v>
      </c>
      <c r="I557" t="s">
        <v>14</v>
      </c>
      <c r="J557" t="s">
        <v>15</v>
      </c>
      <c r="K557" t="s">
        <v>16</v>
      </c>
      <c r="L557" s="4">
        <v>572247</v>
      </c>
      <c r="M557" t="str">
        <f t="shared" si="26"/>
        <v>High</v>
      </c>
    </row>
    <row r="558" spans="1:13" x14ac:dyDescent="0.35">
      <c r="A558">
        <v>557</v>
      </c>
      <c r="B558">
        <v>509</v>
      </c>
      <c r="C558" t="str">
        <f t="shared" si="24"/>
        <v>Small</v>
      </c>
      <c r="D558">
        <v>5</v>
      </c>
      <c r="E558">
        <v>1</v>
      </c>
      <c r="F558">
        <v>3</v>
      </c>
      <c r="G558">
        <v>1904</v>
      </c>
      <c r="H558" t="str">
        <f t="shared" si="25"/>
        <v>Pre-1950</v>
      </c>
      <c r="I558" t="s">
        <v>17</v>
      </c>
      <c r="J558" t="s">
        <v>18</v>
      </c>
      <c r="K558" t="s">
        <v>16</v>
      </c>
      <c r="L558" s="4">
        <v>839285</v>
      </c>
      <c r="M558" t="str">
        <f t="shared" si="26"/>
        <v>Premium</v>
      </c>
    </row>
    <row r="559" spans="1:13" x14ac:dyDescent="0.35">
      <c r="A559">
        <v>558</v>
      </c>
      <c r="B559">
        <v>3371</v>
      </c>
      <c r="C559" t="str">
        <f t="shared" si="24"/>
        <v>Large</v>
      </c>
      <c r="D559">
        <v>5</v>
      </c>
      <c r="E559">
        <v>2</v>
      </c>
      <c r="F559">
        <v>1</v>
      </c>
      <c r="G559">
        <v>1951</v>
      </c>
      <c r="H559" t="str">
        <f t="shared" si="25"/>
        <v>1950-1975</v>
      </c>
      <c r="I559" t="s">
        <v>17</v>
      </c>
      <c r="J559" t="s">
        <v>13</v>
      </c>
      <c r="K559" t="s">
        <v>16</v>
      </c>
      <c r="L559" s="4">
        <v>396300</v>
      </c>
      <c r="M559" t="str">
        <f t="shared" si="26"/>
        <v>Medium</v>
      </c>
    </row>
    <row r="560" spans="1:13" x14ac:dyDescent="0.35">
      <c r="A560">
        <v>559</v>
      </c>
      <c r="B560">
        <v>1297</v>
      </c>
      <c r="C560" t="str">
        <f t="shared" si="24"/>
        <v>Medium</v>
      </c>
      <c r="D560">
        <v>3</v>
      </c>
      <c r="E560">
        <v>3</v>
      </c>
      <c r="F560">
        <v>2</v>
      </c>
      <c r="G560">
        <v>1944</v>
      </c>
      <c r="H560" t="str">
        <f t="shared" si="25"/>
        <v>Pre-1950</v>
      </c>
      <c r="I560" t="s">
        <v>17</v>
      </c>
      <c r="J560" t="s">
        <v>18</v>
      </c>
      <c r="K560" t="s">
        <v>12</v>
      </c>
      <c r="L560" s="4">
        <v>316320</v>
      </c>
      <c r="M560" t="str">
        <f t="shared" si="26"/>
        <v>Medium</v>
      </c>
    </row>
    <row r="561" spans="1:13" x14ac:dyDescent="0.35">
      <c r="A561">
        <v>560</v>
      </c>
      <c r="B561">
        <v>1515</v>
      </c>
      <c r="C561" t="str">
        <f t="shared" si="24"/>
        <v>Medium</v>
      </c>
      <c r="D561">
        <v>4</v>
      </c>
      <c r="E561">
        <v>1</v>
      </c>
      <c r="F561">
        <v>1</v>
      </c>
      <c r="G561">
        <v>1984</v>
      </c>
      <c r="H561" t="str">
        <f t="shared" si="25"/>
        <v>1976-2000</v>
      </c>
      <c r="I561" t="s">
        <v>10</v>
      </c>
      <c r="J561" t="s">
        <v>15</v>
      </c>
      <c r="K561" t="s">
        <v>16</v>
      </c>
      <c r="L561" s="4">
        <v>674747</v>
      </c>
      <c r="M561" t="str">
        <f t="shared" si="26"/>
        <v>Premium</v>
      </c>
    </row>
    <row r="562" spans="1:13" x14ac:dyDescent="0.35">
      <c r="A562">
        <v>561</v>
      </c>
      <c r="B562">
        <v>2324</v>
      </c>
      <c r="C562" t="str">
        <f t="shared" si="24"/>
        <v>Medium</v>
      </c>
      <c r="D562">
        <v>1</v>
      </c>
      <c r="E562">
        <v>4</v>
      </c>
      <c r="F562">
        <v>3</v>
      </c>
      <c r="G562">
        <v>1992</v>
      </c>
      <c r="H562" t="str">
        <f t="shared" si="25"/>
        <v>1976-2000</v>
      </c>
      <c r="I562" t="s">
        <v>19</v>
      </c>
      <c r="J562" t="s">
        <v>18</v>
      </c>
      <c r="K562" t="s">
        <v>12</v>
      </c>
      <c r="L562" s="4">
        <v>469136</v>
      </c>
      <c r="M562" t="str">
        <f t="shared" si="26"/>
        <v>High</v>
      </c>
    </row>
    <row r="563" spans="1:13" x14ac:dyDescent="0.35">
      <c r="A563">
        <v>562</v>
      </c>
      <c r="B563">
        <v>4969</v>
      </c>
      <c r="C563" t="str">
        <f t="shared" si="24"/>
        <v>Extra Large</v>
      </c>
      <c r="D563">
        <v>5</v>
      </c>
      <c r="E563">
        <v>3</v>
      </c>
      <c r="F563">
        <v>2</v>
      </c>
      <c r="G563">
        <v>1919</v>
      </c>
      <c r="H563" t="str">
        <f t="shared" si="25"/>
        <v>Pre-1950</v>
      </c>
      <c r="I563" t="s">
        <v>10</v>
      </c>
      <c r="J563" t="s">
        <v>13</v>
      </c>
      <c r="K563" t="s">
        <v>16</v>
      </c>
      <c r="L563" s="4">
        <v>235922</v>
      </c>
      <c r="M563" t="str">
        <f t="shared" si="26"/>
        <v>Medium</v>
      </c>
    </row>
    <row r="564" spans="1:13" x14ac:dyDescent="0.35">
      <c r="A564">
        <v>563</v>
      </c>
      <c r="B564">
        <v>3636</v>
      </c>
      <c r="C564" t="str">
        <f t="shared" si="24"/>
        <v>Large</v>
      </c>
      <c r="D564">
        <v>3</v>
      </c>
      <c r="E564">
        <v>3</v>
      </c>
      <c r="F564">
        <v>3</v>
      </c>
      <c r="G564">
        <v>1960</v>
      </c>
      <c r="H564" t="str">
        <f t="shared" si="25"/>
        <v>1950-1975</v>
      </c>
      <c r="I564" t="s">
        <v>10</v>
      </c>
      <c r="J564" t="s">
        <v>13</v>
      </c>
      <c r="K564" t="s">
        <v>12</v>
      </c>
      <c r="L564" s="4">
        <v>187901</v>
      </c>
      <c r="M564" t="str">
        <f t="shared" si="26"/>
        <v>Low</v>
      </c>
    </row>
    <row r="565" spans="1:13" x14ac:dyDescent="0.35">
      <c r="A565">
        <v>564</v>
      </c>
      <c r="B565">
        <v>2693</v>
      </c>
      <c r="C565" t="str">
        <f t="shared" si="24"/>
        <v>Large</v>
      </c>
      <c r="D565">
        <v>4</v>
      </c>
      <c r="E565">
        <v>2</v>
      </c>
      <c r="F565">
        <v>2</v>
      </c>
      <c r="G565">
        <v>1937</v>
      </c>
      <c r="H565" t="str">
        <f t="shared" si="25"/>
        <v>Pre-1950</v>
      </c>
      <c r="I565" t="s">
        <v>19</v>
      </c>
      <c r="J565" t="s">
        <v>15</v>
      </c>
      <c r="K565" t="s">
        <v>16</v>
      </c>
      <c r="L565" s="4">
        <v>173225</v>
      </c>
      <c r="M565" t="str">
        <f t="shared" si="26"/>
        <v>Low</v>
      </c>
    </row>
    <row r="566" spans="1:13" x14ac:dyDescent="0.35">
      <c r="A566">
        <v>565</v>
      </c>
      <c r="B566">
        <v>723</v>
      </c>
      <c r="C566" t="str">
        <f t="shared" si="24"/>
        <v>Small</v>
      </c>
      <c r="D566">
        <v>4</v>
      </c>
      <c r="E566">
        <v>4</v>
      </c>
      <c r="F566">
        <v>3</v>
      </c>
      <c r="G566">
        <v>1919</v>
      </c>
      <c r="H566" t="str">
        <f t="shared" si="25"/>
        <v>Pre-1950</v>
      </c>
      <c r="I566" t="s">
        <v>17</v>
      </c>
      <c r="J566" t="s">
        <v>13</v>
      </c>
      <c r="K566" t="s">
        <v>12</v>
      </c>
      <c r="L566" s="4">
        <v>543406</v>
      </c>
      <c r="M566" t="str">
        <f t="shared" si="26"/>
        <v>High</v>
      </c>
    </row>
    <row r="567" spans="1:13" x14ac:dyDescent="0.35">
      <c r="A567">
        <v>566</v>
      </c>
      <c r="B567">
        <v>4658</v>
      </c>
      <c r="C567" t="str">
        <f t="shared" si="24"/>
        <v>Extra Large</v>
      </c>
      <c r="D567">
        <v>4</v>
      </c>
      <c r="E567">
        <v>1</v>
      </c>
      <c r="F567">
        <v>2</v>
      </c>
      <c r="G567">
        <v>2013</v>
      </c>
      <c r="H567" t="str">
        <f t="shared" si="25"/>
        <v>Post-2000</v>
      </c>
      <c r="I567" t="s">
        <v>17</v>
      </c>
      <c r="J567" t="s">
        <v>13</v>
      </c>
      <c r="K567" t="s">
        <v>12</v>
      </c>
      <c r="L567" s="4">
        <v>810135</v>
      </c>
      <c r="M567" t="str">
        <f t="shared" si="26"/>
        <v>Premium</v>
      </c>
    </row>
    <row r="568" spans="1:13" x14ac:dyDescent="0.35">
      <c r="A568">
        <v>567</v>
      </c>
      <c r="B568">
        <v>4425</v>
      </c>
      <c r="C568" t="str">
        <f t="shared" si="24"/>
        <v>Extra Large</v>
      </c>
      <c r="D568">
        <v>4</v>
      </c>
      <c r="E568">
        <v>4</v>
      </c>
      <c r="F568">
        <v>2</v>
      </c>
      <c r="G568">
        <v>1924</v>
      </c>
      <c r="H568" t="str">
        <f t="shared" si="25"/>
        <v>Pre-1950</v>
      </c>
      <c r="I568" t="s">
        <v>19</v>
      </c>
      <c r="J568" t="s">
        <v>18</v>
      </c>
      <c r="K568" t="s">
        <v>16</v>
      </c>
      <c r="L568" s="4">
        <v>271738</v>
      </c>
      <c r="M568" t="str">
        <f t="shared" si="26"/>
        <v>Medium</v>
      </c>
    </row>
    <row r="569" spans="1:13" x14ac:dyDescent="0.35">
      <c r="A569">
        <v>568</v>
      </c>
      <c r="B569">
        <v>4500</v>
      </c>
      <c r="C569" t="str">
        <f t="shared" si="24"/>
        <v>Extra Large</v>
      </c>
      <c r="D569">
        <v>4</v>
      </c>
      <c r="E569">
        <v>3</v>
      </c>
      <c r="F569">
        <v>2</v>
      </c>
      <c r="G569">
        <v>1901</v>
      </c>
      <c r="H569" t="str">
        <f t="shared" si="25"/>
        <v>Pre-1950</v>
      </c>
      <c r="I569" t="s">
        <v>19</v>
      </c>
      <c r="J569" t="s">
        <v>11</v>
      </c>
      <c r="K569" t="s">
        <v>16</v>
      </c>
      <c r="L569" s="4">
        <v>954890</v>
      </c>
      <c r="M569" t="str">
        <f t="shared" si="26"/>
        <v>Premium</v>
      </c>
    </row>
    <row r="570" spans="1:13" x14ac:dyDescent="0.35">
      <c r="A570">
        <v>569</v>
      </c>
      <c r="B570">
        <v>2133</v>
      </c>
      <c r="C570" t="str">
        <f t="shared" si="24"/>
        <v>Medium</v>
      </c>
      <c r="D570">
        <v>5</v>
      </c>
      <c r="E570">
        <v>4</v>
      </c>
      <c r="F570">
        <v>2</v>
      </c>
      <c r="G570">
        <v>2020</v>
      </c>
      <c r="H570" t="str">
        <f t="shared" si="25"/>
        <v>Post-2000</v>
      </c>
      <c r="I570" t="s">
        <v>10</v>
      </c>
      <c r="J570" t="s">
        <v>13</v>
      </c>
      <c r="K570" t="s">
        <v>12</v>
      </c>
      <c r="L570" s="4">
        <v>685181</v>
      </c>
      <c r="M570" t="str">
        <f t="shared" si="26"/>
        <v>Premium</v>
      </c>
    </row>
    <row r="571" spans="1:13" x14ac:dyDescent="0.35">
      <c r="A571">
        <v>570</v>
      </c>
      <c r="B571">
        <v>2652</v>
      </c>
      <c r="C571" t="str">
        <f t="shared" si="24"/>
        <v>Large</v>
      </c>
      <c r="D571">
        <v>3</v>
      </c>
      <c r="E571">
        <v>1</v>
      </c>
      <c r="F571">
        <v>3</v>
      </c>
      <c r="G571">
        <v>1931</v>
      </c>
      <c r="H571" t="str">
        <f t="shared" si="25"/>
        <v>Pre-1950</v>
      </c>
      <c r="I571" t="s">
        <v>14</v>
      </c>
      <c r="J571" t="s">
        <v>13</v>
      </c>
      <c r="K571" t="s">
        <v>16</v>
      </c>
      <c r="L571" s="4">
        <v>910359</v>
      </c>
      <c r="M571" t="str">
        <f t="shared" si="26"/>
        <v>Premium</v>
      </c>
    </row>
    <row r="572" spans="1:13" x14ac:dyDescent="0.35">
      <c r="A572">
        <v>571</v>
      </c>
      <c r="B572">
        <v>1010</v>
      </c>
      <c r="C572" t="str">
        <f t="shared" si="24"/>
        <v>Medium</v>
      </c>
      <c r="D572">
        <v>4</v>
      </c>
      <c r="E572">
        <v>1</v>
      </c>
      <c r="F572">
        <v>3</v>
      </c>
      <c r="G572">
        <v>1925</v>
      </c>
      <c r="H572" t="str">
        <f t="shared" si="25"/>
        <v>Pre-1950</v>
      </c>
      <c r="I572" t="s">
        <v>19</v>
      </c>
      <c r="J572" t="s">
        <v>15</v>
      </c>
      <c r="K572" t="s">
        <v>16</v>
      </c>
      <c r="L572" s="4">
        <v>528076</v>
      </c>
      <c r="M572" t="str">
        <f t="shared" si="26"/>
        <v>High</v>
      </c>
    </row>
    <row r="573" spans="1:13" x14ac:dyDescent="0.35">
      <c r="A573">
        <v>572</v>
      </c>
      <c r="B573">
        <v>884</v>
      </c>
      <c r="C573" t="str">
        <f t="shared" si="24"/>
        <v>Small</v>
      </c>
      <c r="D573">
        <v>2</v>
      </c>
      <c r="E573">
        <v>2</v>
      </c>
      <c r="F573">
        <v>2</v>
      </c>
      <c r="G573">
        <v>1969</v>
      </c>
      <c r="H573" t="str">
        <f t="shared" si="25"/>
        <v>1950-1975</v>
      </c>
      <c r="I573" t="s">
        <v>10</v>
      </c>
      <c r="J573" t="s">
        <v>15</v>
      </c>
      <c r="K573" t="s">
        <v>16</v>
      </c>
      <c r="L573" s="4">
        <v>954610</v>
      </c>
      <c r="M573" t="str">
        <f t="shared" si="26"/>
        <v>Premium</v>
      </c>
    </row>
    <row r="574" spans="1:13" x14ac:dyDescent="0.35">
      <c r="A574">
        <v>573</v>
      </c>
      <c r="B574">
        <v>904</v>
      </c>
      <c r="C574" t="str">
        <f t="shared" si="24"/>
        <v>Small</v>
      </c>
      <c r="D574">
        <v>2</v>
      </c>
      <c r="E574">
        <v>1</v>
      </c>
      <c r="F574">
        <v>2</v>
      </c>
      <c r="G574">
        <v>1940</v>
      </c>
      <c r="H574" t="str">
        <f t="shared" si="25"/>
        <v>Pre-1950</v>
      </c>
      <c r="I574" t="s">
        <v>14</v>
      </c>
      <c r="J574" t="s">
        <v>18</v>
      </c>
      <c r="K574" t="s">
        <v>12</v>
      </c>
      <c r="L574" s="4">
        <v>292726</v>
      </c>
      <c r="M574" t="str">
        <f t="shared" si="26"/>
        <v>Medium</v>
      </c>
    </row>
    <row r="575" spans="1:13" x14ac:dyDescent="0.35">
      <c r="A575">
        <v>574</v>
      </c>
      <c r="B575">
        <v>2500</v>
      </c>
      <c r="C575" t="str">
        <f t="shared" si="24"/>
        <v>Medium</v>
      </c>
      <c r="D575">
        <v>3</v>
      </c>
      <c r="E575">
        <v>1</v>
      </c>
      <c r="F575">
        <v>3</v>
      </c>
      <c r="G575">
        <v>2020</v>
      </c>
      <c r="H575" t="str">
        <f t="shared" si="25"/>
        <v>Post-2000</v>
      </c>
      <c r="I575" t="s">
        <v>17</v>
      </c>
      <c r="J575" t="s">
        <v>18</v>
      </c>
      <c r="K575" t="s">
        <v>16</v>
      </c>
      <c r="L575" s="4">
        <v>352811</v>
      </c>
      <c r="M575" t="str">
        <f t="shared" si="26"/>
        <v>Medium</v>
      </c>
    </row>
    <row r="576" spans="1:13" x14ac:dyDescent="0.35">
      <c r="A576">
        <v>575</v>
      </c>
      <c r="B576">
        <v>3256</v>
      </c>
      <c r="C576" t="str">
        <f t="shared" si="24"/>
        <v>Large</v>
      </c>
      <c r="D576">
        <v>1</v>
      </c>
      <c r="E576">
        <v>4</v>
      </c>
      <c r="F576">
        <v>2</v>
      </c>
      <c r="G576">
        <v>1966</v>
      </c>
      <c r="H576" t="str">
        <f t="shared" si="25"/>
        <v>1950-1975</v>
      </c>
      <c r="I576" t="s">
        <v>17</v>
      </c>
      <c r="J576" t="s">
        <v>13</v>
      </c>
      <c r="K576" t="s">
        <v>12</v>
      </c>
      <c r="L576" s="4">
        <v>771202</v>
      </c>
      <c r="M576" t="str">
        <f t="shared" si="26"/>
        <v>Premium</v>
      </c>
    </row>
    <row r="577" spans="1:13" x14ac:dyDescent="0.35">
      <c r="A577">
        <v>576</v>
      </c>
      <c r="B577">
        <v>2168</v>
      </c>
      <c r="C577" t="str">
        <f t="shared" si="24"/>
        <v>Medium</v>
      </c>
      <c r="D577">
        <v>1</v>
      </c>
      <c r="E577">
        <v>4</v>
      </c>
      <c r="F577">
        <v>2</v>
      </c>
      <c r="G577">
        <v>1996</v>
      </c>
      <c r="H577" t="str">
        <f t="shared" si="25"/>
        <v>1976-2000</v>
      </c>
      <c r="I577" t="s">
        <v>10</v>
      </c>
      <c r="J577" t="s">
        <v>11</v>
      </c>
      <c r="K577" t="s">
        <v>12</v>
      </c>
      <c r="L577" s="4">
        <v>479059</v>
      </c>
      <c r="M577" t="str">
        <f t="shared" si="26"/>
        <v>High</v>
      </c>
    </row>
    <row r="578" spans="1:13" x14ac:dyDescent="0.35">
      <c r="A578">
        <v>577</v>
      </c>
      <c r="B578">
        <v>1960</v>
      </c>
      <c r="C578" t="str">
        <f t="shared" si="24"/>
        <v>Medium</v>
      </c>
      <c r="D578">
        <v>1</v>
      </c>
      <c r="E578">
        <v>3</v>
      </c>
      <c r="F578">
        <v>2</v>
      </c>
      <c r="G578">
        <v>1900</v>
      </c>
      <c r="H578" t="str">
        <f t="shared" si="25"/>
        <v>Pre-1950</v>
      </c>
      <c r="I578" t="s">
        <v>10</v>
      </c>
      <c r="J578" t="s">
        <v>11</v>
      </c>
      <c r="K578" t="s">
        <v>16</v>
      </c>
      <c r="L578" s="4">
        <v>756168</v>
      </c>
      <c r="M578" t="str">
        <f t="shared" si="26"/>
        <v>Premium</v>
      </c>
    </row>
    <row r="579" spans="1:13" x14ac:dyDescent="0.35">
      <c r="A579">
        <v>578</v>
      </c>
      <c r="B579">
        <v>4136</v>
      </c>
      <c r="C579" t="str">
        <f t="shared" ref="C579:C642" si="27">IF(B579&lt;=1000,"Small",IF(B579&lt;=2500,"Medium",IF(B579&lt;=4000,"Large",IF(B579&gt;=4000,"Extra Large"))))</f>
        <v>Extra Large</v>
      </c>
      <c r="D579">
        <v>2</v>
      </c>
      <c r="E579">
        <v>2</v>
      </c>
      <c r="F579">
        <v>1</v>
      </c>
      <c r="G579">
        <v>1950</v>
      </c>
      <c r="H579" t="str">
        <f t="shared" ref="H579:H642" si="28">IF(G579&lt;=1950,"Pre-1950",IF(G579&lt;=1975,"1950-1975",IF(G579&lt;=2000,"1976-2000",IF(G579&gt;=2000,"Post-2000"))))</f>
        <v>Pre-1950</v>
      </c>
      <c r="I579" t="s">
        <v>19</v>
      </c>
      <c r="J579" t="s">
        <v>18</v>
      </c>
      <c r="K579" t="s">
        <v>12</v>
      </c>
      <c r="L579" s="4">
        <v>473759</v>
      </c>
      <c r="M579" t="str">
        <f t="shared" ref="M579:M642" si="29">IF(L579&lt;=200000,"Low",IF(L579&lt;=400000,"Medium",IF(L579&lt;=600000,"High",IF(L579&gt;=600000,"Premium",""))))</f>
        <v>High</v>
      </c>
    </row>
    <row r="580" spans="1:13" x14ac:dyDescent="0.35">
      <c r="A580">
        <v>579</v>
      </c>
      <c r="B580">
        <v>3224</v>
      </c>
      <c r="C580" t="str">
        <f t="shared" si="27"/>
        <v>Large</v>
      </c>
      <c r="D580">
        <v>1</v>
      </c>
      <c r="E580">
        <v>4</v>
      </c>
      <c r="F580">
        <v>2</v>
      </c>
      <c r="G580">
        <v>1904</v>
      </c>
      <c r="H580" t="str">
        <f t="shared" si="28"/>
        <v>Pre-1950</v>
      </c>
      <c r="I580" t="s">
        <v>17</v>
      </c>
      <c r="J580" t="s">
        <v>15</v>
      </c>
      <c r="K580" t="s">
        <v>16</v>
      </c>
      <c r="L580" s="4">
        <v>515996</v>
      </c>
      <c r="M580" t="str">
        <f t="shared" si="29"/>
        <v>High</v>
      </c>
    </row>
    <row r="581" spans="1:13" x14ac:dyDescent="0.35">
      <c r="A581">
        <v>580</v>
      </c>
      <c r="B581">
        <v>4678</v>
      </c>
      <c r="C581" t="str">
        <f t="shared" si="27"/>
        <v>Extra Large</v>
      </c>
      <c r="D581">
        <v>5</v>
      </c>
      <c r="E581">
        <v>1</v>
      </c>
      <c r="F581">
        <v>1</v>
      </c>
      <c r="G581">
        <v>1912</v>
      </c>
      <c r="H581" t="str">
        <f t="shared" si="28"/>
        <v>Pre-1950</v>
      </c>
      <c r="I581" t="s">
        <v>10</v>
      </c>
      <c r="J581" t="s">
        <v>13</v>
      </c>
      <c r="K581" t="s">
        <v>16</v>
      </c>
      <c r="L581" s="4">
        <v>56611</v>
      </c>
      <c r="M581" t="str">
        <f t="shared" si="29"/>
        <v>Low</v>
      </c>
    </row>
    <row r="582" spans="1:13" x14ac:dyDescent="0.35">
      <c r="A582">
        <v>581</v>
      </c>
      <c r="B582">
        <v>2548</v>
      </c>
      <c r="C582" t="str">
        <f t="shared" si="27"/>
        <v>Large</v>
      </c>
      <c r="D582">
        <v>4</v>
      </c>
      <c r="E582">
        <v>3</v>
      </c>
      <c r="F582">
        <v>2</v>
      </c>
      <c r="G582">
        <v>1918</v>
      </c>
      <c r="H582" t="str">
        <f t="shared" si="28"/>
        <v>Pre-1950</v>
      </c>
      <c r="I582" t="s">
        <v>17</v>
      </c>
      <c r="J582" t="s">
        <v>13</v>
      </c>
      <c r="K582" t="s">
        <v>12</v>
      </c>
      <c r="L582" s="4">
        <v>400386</v>
      </c>
      <c r="M582" t="str">
        <f t="shared" si="29"/>
        <v>High</v>
      </c>
    </row>
    <row r="583" spans="1:13" x14ac:dyDescent="0.35">
      <c r="A583">
        <v>582</v>
      </c>
      <c r="B583">
        <v>4646</v>
      </c>
      <c r="C583" t="str">
        <f t="shared" si="27"/>
        <v>Extra Large</v>
      </c>
      <c r="D583">
        <v>2</v>
      </c>
      <c r="E583">
        <v>4</v>
      </c>
      <c r="F583">
        <v>3</v>
      </c>
      <c r="G583">
        <v>1911</v>
      </c>
      <c r="H583" t="str">
        <f t="shared" si="28"/>
        <v>Pre-1950</v>
      </c>
      <c r="I583" t="s">
        <v>17</v>
      </c>
      <c r="J583" t="s">
        <v>11</v>
      </c>
      <c r="K583" t="s">
        <v>12</v>
      </c>
      <c r="L583" s="4">
        <v>921044</v>
      </c>
      <c r="M583" t="str">
        <f t="shared" si="29"/>
        <v>Premium</v>
      </c>
    </row>
    <row r="584" spans="1:13" x14ac:dyDescent="0.35">
      <c r="A584">
        <v>583</v>
      </c>
      <c r="B584">
        <v>1216</v>
      </c>
      <c r="C584" t="str">
        <f t="shared" si="27"/>
        <v>Medium</v>
      </c>
      <c r="D584">
        <v>3</v>
      </c>
      <c r="E584">
        <v>2</v>
      </c>
      <c r="F584">
        <v>1</v>
      </c>
      <c r="G584">
        <v>1947</v>
      </c>
      <c r="H584" t="str">
        <f t="shared" si="28"/>
        <v>Pre-1950</v>
      </c>
      <c r="I584" t="s">
        <v>19</v>
      </c>
      <c r="J584" t="s">
        <v>18</v>
      </c>
      <c r="K584" t="s">
        <v>12</v>
      </c>
      <c r="L584" s="4">
        <v>883334</v>
      </c>
      <c r="M584" t="str">
        <f t="shared" si="29"/>
        <v>Premium</v>
      </c>
    </row>
    <row r="585" spans="1:13" x14ac:dyDescent="0.35">
      <c r="A585">
        <v>584</v>
      </c>
      <c r="B585">
        <v>2323</v>
      </c>
      <c r="C585" t="str">
        <f t="shared" si="27"/>
        <v>Medium</v>
      </c>
      <c r="D585">
        <v>3</v>
      </c>
      <c r="E585">
        <v>2</v>
      </c>
      <c r="F585">
        <v>1</v>
      </c>
      <c r="G585">
        <v>1924</v>
      </c>
      <c r="H585" t="str">
        <f t="shared" si="28"/>
        <v>Pre-1950</v>
      </c>
      <c r="I585" t="s">
        <v>14</v>
      </c>
      <c r="J585" t="s">
        <v>11</v>
      </c>
      <c r="K585" t="s">
        <v>12</v>
      </c>
      <c r="L585" s="4">
        <v>821812</v>
      </c>
      <c r="M585" t="str">
        <f t="shared" si="29"/>
        <v>Premium</v>
      </c>
    </row>
    <row r="586" spans="1:13" x14ac:dyDescent="0.35">
      <c r="A586">
        <v>585</v>
      </c>
      <c r="B586">
        <v>2581</v>
      </c>
      <c r="C586" t="str">
        <f t="shared" si="27"/>
        <v>Large</v>
      </c>
      <c r="D586">
        <v>4</v>
      </c>
      <c r="E586">
        <v>3</v>
      </c>
      <c r="F586">
        <v>2</v>
      </c>
      <c r="G586">
        <v>1956</v>
      </c>
      <c r="H586" t="str">
        <f t="shared" si="28"/>
        <v>1950-1975</v>
      </c>
      <c r="I586" t="s">
        <v>19</v>
      </c>
      <c r="J586" t="s">
        <v>11</v>
      </c>
      <c r="K586" t="s">
        <v>12</v>
      </c>
      <c r="L586" s="4">
        <v>345187</v>
      </c>
      <c r="M586" t="str">
        <f t="shared" si="29"/>
        <v>Medium</v>
      </c>
    </row>
    <row r="587" spans="1:13" x14ac:dyDescent="0.35">
      <c r="A587">
        <v>586</v>
      </c>
      <c r="B587">
        <v>3919</v>
      </c>
      <c r="C587" t="str">
        <f t="shared" si="27"/>
        <v>Large</v>
      </c>
      <c r="D587">
        <v>2</v>
      </c>
      <c r="E587">
        <v>3</v>
      </c>
      <c r="F587">
        <v>2</v>
      </c>
      <c r="G587">
        <v>2014</v>
      </c>
      <c r="H587" t="str">
        <f t="shared" si="28"/>
        <v>Post-2000</v>
      </c>
      <c r="I587" t="s">
        <v>10</v>
      </c>
      <c r="J587" t="s">
        <v>18</v>
      </c>
      <c r="K587" t="s">
        <v>16</v>
      </c>
      <c r="L587" s="4">
        <v>186343</v>
      </c>
      <c r="M587" t="str">
        <f t="shared" si="29"/>
        <v>Low</v>
      </c>
    </row>
    <row r="588" spans="1:13" x14ac:dyDescent="0.35">
      <c r="A588">
        <v>587</v>
      </c>
      <c r="B588">
        <v>2074</v>
      </c>
      <c r="C588" t="str">
        <f t="shared" si="27"/>
        <v>Medium</v>
      </c>
      <c r="D588">
        <v>1</v>
      </c>
      <c r="E588">
        <v>3</v>
      </c>
      <c r="F588">
        <v>1</v>
      </c>
      <c r="G588">
        <v>1934</v>
      </c>
      <c r="H588" t="str">
        <f t="shared" si="28"/>
        <v>Pre-1950</v>
      </c>
      <c r="I588" t="s">
        <v>19</v>
      </c>
      <c r="J588" t="s">
        <v>15</v>
      </c>
      <c r="K588" t="s">
        <v>12</v>
      </c>
      <c r="L588" s="4">
        <v>909299</v>
      </c>
      <c r="M588" t="str">
        <f t="shared" si="29"/>
        <v>Premium</v>
      </c>
    </row>
    <row r="589" spans="1:13" x14ac:dyDescent="0.35">
      <c r="A589">
        <v>588</v>
      </c>
      <c r="B589">
        <v>749</v>
      </c>
      <c r="C589" t="str">
        <f t="shared" si="27"/>
        <v>Small</v>
      </c>
      <c r="D589">
        <v>1</v>
      </c>
      <c r="E589">
        <v>3</v>
      </c>
      <c r="F589">
        <v>3</v>
      </c>
      <c r="G589">
        <v>1975</v>
      </c>
      <c r="H589" t="str">
        <f t="shared" si="28"/>
        <v>1950-1975</v>
      </c>
      <c r="I589" t="s">
        <v>19</v>
      </c>
      <c r="J589" t="s">
        <v>13</v>
      </c>
      <c r="K589" t="s">
        <v>16</v>
      </c>
      <c r="L589" s="4">
        <v>389233</v>
      </c>
      <c r="M589" t="str">
        <f t="shared" si="29"/>
        <v>Medium</v>
      </c>
    </row>
    <row r="590" spans="1:13" x14ac:dyDescent="0.35">
      <c r="A590">
        <v>589</v>
      </c>
      <c r="B590">
        <v>1173</v>
      </c>
      <c r="C590" t="str">
        <f t="shared" si="27"/>
        <v>Medium</v>
      </c>
      <c r="D590">
        <v>5</v>
      </c>
      <c r="E590">
        <v>3</v>
      </c>
      <c r="F590">
        <v>3</v>
      </c>
      <c r="G590">
        <v>1993</v>
      </c>
      <c r="H590" t="str">
        <f t="shared" si="28"/>
        <v>1976-2000</v>
      </c>
      <c r="I590" t="s">
        <v>17</v>
      </c>
      <c r="J590" t="s">
        <v>15</v>
      </c>
      <c r="K590" t="s">
        <v>16</v>
      </c>
      <c r="L590" s="4">
        <v>895177</v>
      </c>
      <c r="M590" t="str">
        <f t="shared" si="29"/>
        <v>Premium</v>
      </c>
    </row>
    <row r="591" spans="1:13" x14ac:dyDescent="0.35">
      <c r="A591">
        <v>590</v>
      </c>
      <c r="B591">
        <v>2665</v>
      </c>
      <c r="C591" t="str">
        <f t="shared" si="27"/>
        <v>Large</v>
      </c>
      <c r="D591">
        <v>5</v>
      </c>
      <c r="E591">
        <v>1</v>
      </c>
      <c r="F591">
        <v>2</v>
      </c>
      <c r="G591">
        <v>1904</v>
      </c>
      <c r="H591" t="str">
        <f t="shared" si="28"/>
        <v>Pre-1950</v>
      </c>
      <c r="I591" t="s">
        <v>19</v>
      </c>
      <c r="J591" t="s">
        <v>18</v>
      </c>
      <c r="K591" t="s">
        <v>12</v>
      </c>
      <c r="L591" s="4">
        <v>540092</v>
      </c>
      <c r="M591" t="str">
        <f t="shared" si="29"/>
        <v>High</v>
      </c>
    </row>
    <row r="592" spans="1:13" x14ac:dyDescent="0.35">
      <c r="A592">
        <v>591</v>
      </c>
      <c r="B592">
        <v>1270</v>
      </c>
      <c r="C592" t="str">
        <f t="shared" si="27"/>
        <v>Medium</v>
      </c>
      <c r="D592">
        <v>1</v>
      </c>
      <c r="E592">
        <v>1</v>
      </c>
      <c r="F592">
        <v>3</v>
      </c>
      <c r="G592">
        <v>1997</v>
      </c>
      <c r="H592" t="str">
        <f t="shared" si="28"/>
        <v>1976-2000</v>
      </c>
      <c r="I592" t="s">
        <v>10</v>
      </c>
      <c r="J592" t="s">
        <v>18</v>
      </c>
      <c r="K592" t="s">
        <v>12</v>
      </c>
      <c r="L592" s="4">
        <v>240191</v>
      </c>
      <c r="M592" t="str">
        <f t="shared" si="29"/>
        <v>Medium</v>
      </c>
    </row>
    <row r="593" spans="1:13" x14ac:dyDescent="0.35">
      <c r="A593">
        <v>592</v>
      </c>
      <c r="B593">
        <v>4462</v>
      </c>
      <c r="C593" t="str">
        <f t="shared" si="27"/>
        <v>Extra Large</v>
      </c>
      <c r="D593">
        <v>3</v>
      </c>
      <c r="E593">
        <v>4</v>
      </c>
      <c r="F593">
        <v>3</v>
      </c>
      <c r="G593">
        <v>1921</v>
      </c>
      <c r="H593" t="str">
        <f t="shared" si="28"/>
        <v>Pre-1950</v>
      </c>
      <c r="I593" t="s">
        <v>14</v>
      </c>
      <c r="J593" t="s">
        <v>13</v>
      </c>
      <c r="K593" t="s">
        <v>12</v>
      </c>
      <c r="L593" s="4">
        <v>716933</v>
      </c>
      <c r="M593" t="str">
        <f t="shared" si="29"/>
        <v>Premium</v>
      </c>
    </row>
    <row r="594" spans="1:13" x14ac:dyDescent="0.35">
      <c r="A594">
        <v>593</v>
      </c>
      <c r="B594">
        <v>4863</v>
      </c>
      <c r="C594" t="str">
        <f t="shared" si="27"/>
        <v>Extra Large</v>
      </c>
      <c r="D594">
        <v>3</v>
      </c>
      <c r="E594">
        <v>2</v>
      </c>
      <c r="F594">
        <v>2</v>
      </c>
      <c r="G594">
        <v>2002</v>
      </c>
      <c r="H594" t="str">
        <f t="shared" si="28"/>
        <v>Post-2000</v>
      </c>
      <c r="I594" t="s">
        <v>19</v>
      </c>
      <c r="J594" t="s">
        <v>15</v>
      </c>
      <c r="K594" t="s">
        <v>12</v>
      </c>
      <c r="L594" s="4">
        <v>726769</v>
      </c>
      <c r="M594" t="str">
        <f t="shared" si="29"/>
        <v>Premium</v>
      </c>
    </row>
    <row r="595" spans="1:13" x14ac:dyDescent="0.35">
      <c r="A595">
        <v>594</v>
      </c>
      <c r="B595">
        <v>2484</v>
      </c>
      <c r="C595" t="str">
        <f t="shared" si="27"/>
        <v>Medium</v>
      </c>
      <c r="D595">
        <v>5</v>
      </c>
      <c r="E595">
        <v>1</v>
      </c>
      <c r="F595">
        <v>3</v>
      </c>
      <c r="G595">
        <v>1976</v>
      </c>
      <c r="H595" t="str">
        <f t="shared" si="28"/>
        <v>1976-2000</v>
      </c>
      <c r="I595" t="s">
        <v>19</v>
      </c>
      <c r="J595" t="s">
        <v>13</v>
      </c>
      <c r="K595" t="s">
        <v>12</v>
      </c>
      <c r="L595" s="4">
        <v>922402</v>
      </c>
      <c r="M595" t="str">
        <f t="shared" si="29"/>
        <v>Premium</v>
      </c>
    </row>
    <row r="596" spans="1:13" x14ac:dyDescent="0.35">
      <c r="A596">
        <v>595</v>
      </c>
      <c r="B596">
        <v>1577</v>
      </c>
      <c r="C596" t="str">
        <f t="shared" si="27"/>
        <v>Medium</v>
      </c>
      <c r="D596">
        <v>4</v>
      </c>
      <c r="E596">
        <v>1</v>
      </c>
      <c r="F596">
        <v>2</v>
      </c>
      <c r="G596">
        <v>1956</v>
      </c>
      <c r="H596" t="str">
        <f t="shared" si="28"/>
        <v>1950-1975</v>
      </c>
      <c r="I596" t="s">
        <v>14</v>
      </c>
      <c r="J596" t="s">
        <v>11</v>
      </c>
      <c r="K596" t="s">
        <v>16</v>
      </c>
      <c r="L596" s="4">
        <v>336608</v>
      </c>
      <c r="M596" t="str">
        <f t="shared" si="29"/>
        <v>Medium</v>
      </c>
    </row>
    <row r="597" spans="1:13" x14ac:dyDescent="0.35">
      <c r="A597">
        <v>596</v>
      </c>
      <c r="B597">
        <v>735</v>
      </c>
      <c r="C597" t="str">
        <f t="shared" si="27"/>
        <v>Small</v>
      </c>
      <c r="D597">
        <v>1</v>
      </c>
      <c r="E597">
        <v>1</v>
      </c>
      <c r="F597">
        <v>1</v>
      </c>
      <c r="G597">
        <v>1946</v>
      </c>
      <c r="H597" t="str">
        <f t="shared" si="28"/>
        <v>Pre-1950</v>
      </c>
      <c r="I597" t="s">
        <v>10</v>
      </c>
      <c r="J597" t="s">
        <v>11</v>
      </c>
      <c r="K597" t="s">
        <v>16</v>
      </c>
      <c r="L597" s="4">
        <v>299220</v>
      </c>
      <c r="M597" t="str">
        <f t="shared" si="29"/>
        <v>Medium</v>
      </c>
    </row>
    <row r="598" spans="1:13" x14ac:dyDescent="0.35">
      <c r="A598">
        <v>597</v>
      </c>
      <c r="B598">
        <v>888</v>
      </c>
      <c r="C598" t="str">
        <f t="shared" si="27"/>
        <v>Small</v>
      </c>
      <c r="D598">
        <v>5</v>
      </c>
      <c r="E598">
        <v>4</v>
      </c>
      <c r="F598">
        <v>2</v>
      </c>
      <c r="G598">
        <v>1953</v>
      </c>
      <c r="H598" t="str">
        <f t="shared" si="28"/>
        <v>1950-1975</v>
      </c>
      <c r="I598" t="s">
        <v>10</v>
      </c>
      <c r="J598" t="s">
        <v>11</v>
      </c>
      <c r="K598" t="s">
        <v>16</v>
      </c>
      <c r="L598" s="4">
        <v>486056</v>
      </c>
      <c r="M598" t="str">
        <f t="shared" si="29"/>
        <v>High</v>
      </c>
    </row>
    <row r="599" spans="1:13" x14ac:dyDescent="0.35">
      <c r="A599">
        <v>598</v>
      </c>
      <c r="B599">
        <v>3537</v>
      </c>
      <c r="C599" t="str">
        <f t="shared" si="27"/>
        <v>Large</v>
      </c>
      <c r="D599">
        <v>5</v>
      </c>
      <c r="E599">
        <v>3</v>
      </c>
      <c r="F599">
        <v>1</v>
      </c>
      <c r="G599">
        <v>1902</v>
      </c>
      <c r="H599" t="str">
        <f t="shared" si="28"/>
        <v>Pre-1950</v>
      </c>
      <c r="I599" t="s">
        <v>19</v>
      </c>
      <c r="J599" t="s">
        <v>15</v>
      </c>
      <c r="K599" t="s">
        <v>12</v>
      </c>
      <c r="L599" s="4">
        <v>692811</v>
      </c>
      <c r="M599" t="str">
        <f t="shared" si="29"/>
        <v>Premium</v>
      </c>
    </row>
    <row r="600" spans="1:13" x14ac:dyDescent="0.35">
      <c r="A600">
        <v>599</v>
      </c>
      <c r="B600">
        <v>2348</v>
      </c>
      <c r="C600" t="str">
        <f t="shared" si="27"/>
        <v>Medium</v>
      </c>
      <c r="D600">
        <v>1</v>
      </c>
      <c r="E600">
        <v>4</v>
      </c>
      <c r="F600">
        <v>1</v>
      </c>
      <c r="G600">
        <v>2023</v>
      </c>
      <c r="H600" t="str">
        <f t="shared" si="28"/>
        <v>Post-2000</v>
      </c>
      <c r="I600" t="s">
        <v>17</v>
      </c>
      <c r="J600" t="s">
        <v>11</v>
      </c>
      <c r="K600" t="s">
        <v>12</v>
      </c>
      <c r="L600" s="4">
        <v>594950</v>
      </c>
      <c r="M600" t="str">
        <f t="shared" si="29"/>
        <v>High</v>
      </c>
    </row>
    <row r="601" spans="1:13" x14ac:dyDescent="0.35">
      <c r="A601">
        <v>600</v>
      </c>
      <c r="B601">
        <v>3314</v>
      </c>
      <c r="C601" t="str">
        <f t="shared" si="27"/>
        <v>Large</v>
      </c>
      <c r="D601">
        <v>1</v>
      </c>
      <c r="E601">
        <v>2</v>
      </c>
      <c r="F601">
        <v>3</v>
      </c>
      <c r="G601">
        <v>1952</v>
      </c>
      <c r="H601" t="str">
        <f t="shared" si="28"/>
        <v>1950-1975</v>
      </c>
      <c r="I601" t="s">
        <v>19</v>
      </c>
      <c r="J601" t="s">
        <v>13</v>
      </c>
      <c r="K601" t="s">
        <v>16</v>
      </c>
      <c r="L601" s="4">
        <v>854660</v>
      </c>
      <c r="M601" t="str">
        <f t="shared" si="29"/>
        <v>Premium</v>
      </c>
    </row>
    <row r="602" spans="1:13" x14ac:dyDescent="0.35">
      <c r="A602">
        <v>601</v>
      </c>
      <c r="B602">
        <v>3874</v>
      </c>
      <c r="C602" t="str">
        <f t="shared" si="27"/>
        <v>Large</v>
      </c>
      <c r="D602">
        <v>3</v>
      </c>
      <c r="E602">
        <v>2</v>
      </c>
      <c r="F602">
        <v>3</v>
      </c>
      <c r="G602">
        <v>1983</v>
      </c>
      <c r="H602" t="str">
        <f t="shared" si="28"/>
        <v>1976-2000</v>
      </c>
      <c r="I602" t="s">
        <v>14</v>
      </c>
      <c r="J602" t="s">
        <v>15</v>
      </c>
      <c r="K602" t="s">
        <v>12</v>
      </c>
      <c r="L602" s="4">
        <v>635009</v>
      </c>
      <c r="M602" t="str">
        <f t="shared" si="29"/>
        <v>Premium</v>
      </c>
    </row>
    <row r="603" spans="1:13" x14ac:dyDescent="0.35">
      <c r="A603">
        <v>602</v>
      </c>
      <c r="B603">
        <v>3778</v>
      </c>
      <c r="C603" t="str">
        <f t="shared" si="27"/>
        <v>Large</v>
      </c>
      <c r="D603">
        <v>4</v>
      </c>
      <c r="E603">
        <v>2</v>
      </c>
      <c r="F603">
        <v>3</v>
      </c>
      <c r="G603">
        <v>1930</v>
      </c>
      <c r="H603" t="str">
        <f t="shared" si="28"/>
        <v>Pre-1950</v>
      </c>
      <c r="I603" t="s">
        <v>14</v>
      </c>
      <c r="J603" t="s">
        <v>13</v>
      </c>
      <c r="K603" t="s">
        <v>12</v>
      </c>
      <c r="L603" s="4">
        <v>712746</v>
      </c>
      <c r="M603" t="str">
        <f t="shared" si="29"/>
        <v>Premium</v>
      </c>
    </row>
    <row r="604" spans="1:13" x14ac:dyDescent="0.35">
      <c r="A604">
        <v>603</v>
      </c>
      <c r="B604">
        <v>1752</v>
      </c>
      <c r="C604" t="str">
        <f t="shared" si="27"/>
        <v>Medium</v>
      </c>
      <c r="D604">
        <v>4</v>
      </c>
      <c r="E604">
        <v>2</v>
      </c>
      <c r="F604">
        <v>2</v>
      </c>
      <c r="G604">
        <v>1968</v>
      </c>
      <c r="H604" t="str">
        <f t="shared" si="28"/>
        <v>1950-1975</v>
      </c>
      <c r="I604" t="s">
        <v>14</v>
      </c>
      <c r="J604" t="s">
        <v>18</v>
      </c>
      <c r="K604" t="s">
        <v>12</v>
      </c>
      <c r="L604" s="4">
        <v>843294</v>
      </c>
      <c r="M604" t="str">
        <f t="shared" si="29"/>
        <v>Premium</v>
      </c>
    </row>
    <row r="605" spans="1:13" x14ac:dyDescent="0.35">
      <c r="A605">
        <v>604</v>
      </c>
      <c r="B605">
        <v>4481</v>
      </c>
      <c r="C605" t="str">
        <f t="shared" si="27"/>
        <v>Extra Large</v>
      </c>
      <c r="D605">
        <v>1</v>
      </c>
      <c r="E605">
        <v>1</v>
      </c>
      <c r="F605">
        <v>3</v>
      </c>
      <c r="G605">
        <v>1987</v>
      </c>
      <c r="H605" t="str">
        <f t="shared" si="28"/>
        <v>1976-2000</v>
      </c>
      <c r="I605" t="s">
        <v>19</v>
      </c>
      <c r="J605" t="s">
        <v>15</v>
      </c>
      <c r="K605" t="s">
        <v>16</v>
      </c>
      <c r="L605" s="4">
        <v>614396</v>
      </c>
      <c r="M605" t="str">
        <f t="shared" si="29"/>
        <v>Premium</v>
      </c>
    </row>
    <row r="606" spans="1:13" x14ac:dyDescent="0.35">
      <c r="A606">
        <v>605</v>
      </c>
      <c r="B606">
        <v>2622</v>
      </c>
      <c r="C606" t="str">
        <f t="shared" si="27"/>
        <v>Large</v>
      </c>
      <c r="D606">
        <v>2</v>
      </c>
      <c r="E606">
        <v>1</v>
      </c>
      <c r="F606">
        <v>1</v>
      </c>
      <c r="G606">
        <v>2003</v>
      </c>
      <c r="H606" t="str">
        <f t="shared" si="28"/>
        <v>Post-2000</v>
      </c>
      <c r="I606" t="s">
        <v>19</v>
      </c>
      <c r="J606" t="s">
        <v>13</v>
      </c>
      <c r="K606" t="s">
        <v>12</v>
      </c>
      <c r="L606" s="4">
        <v>141788</v>
      </c>
      <c r="M606" t="str">
        <f t="shared" si="29"/>
        <v>Low</v>
      </c>
    </row>
    <row r="607" spans="1:13" x14ac:dyDescent="0.35">
      <c r="A607">
        <v>606</v>
      </c>
      <c r="B607">
        <v>2650</v>
      </c>
      <c r="C607" t="str">
        <f t="shared" si="27"/>
        <v>Large</v>
      </c>
      <c r="D607">
        <v>5</v>
      </c>
      <c r="E607">
        <v>4</v>
      </c>
      <c r="F607">
        <v>3</v>
      </c>
      <c r="G607">
        <v>2017</v>
      </c>
      <c r="H607" t="str">
        <f t="shared" si="28"/>
        <v>Post-2000</v>
      </c>
      <c r="I607" t="s">
        <v>10</v>
      </c>
      <c r="J607" t="s">
        <v>13</v>
      </c>
      <c r="K607" t="s">
        <v>16</v>
      </c>
      <c r="L607" s="4">
        <v>518239</v>
      </c>
      <c r="M607" t="str">
        <f t="shared" si="29"/>
        <v>High</v>
      </c>
    </row>
    <row r="608" spans="1:13" x14ac:dyDescent="0.35">
      <c r="A608">
        <v>607</v>
      </c>
      <c r="B608">
        <v>1829</v>
      </c>
      <c r="C608" t="str">
        <f t="shared" si="27"/>
        <v>Medium</v>
      </c>
      <c r="D608">
        <v>5</v>
      </c>
      <c r="E608">
        <v>3</v>
      </c>
      <c r="F608">
        <v>3</v>
      </c>
      <c r="G608">
        <v>1932</v>
      </c>
      <c r="H608" t="str">
        <f t="shared" si="28"/>
        <v>Pre-1950</v>
      </c>
      <c r="I608" t="s">
        <v>17</v>
      </c>
      <c r="J608" t="s">
        <v>15</v>
      </c>
      <c r="K608" t="s">
        <v>12</v>
      </c>
      <c r="L608" s="4">
        <v>294437</v>
      </c>
      <c r="M608" t="str">
        <f t="shared" si="29"/>
        <v>Medium</v>
      </c>
    </row>
    <row r="609" spans="1:13" x14ac:dyDescent="0.35">
      <c r="A609">
        <v>608</v>
      </c>
      <c r="B609">
        <v>1858</v>
      </c>
      <c r="C609" t="str">
        <f t="shared" si="27"/>
        <v>Medium</v>
      </c>
      <c r="D609">
        <v>1</v>
      </c>
      <c r="E609">
        <v>2</v>
      </c>
      <c r="F609">
        <v>2</v>
      </c>
      <c r="G609">
        <v>1971</v>
      </c>
      <c r="H609" t="str">
        <f t="shared" si="28"/>
        <v>1950-1975</v>
      </c>
      <c r="I609" t="s">
        <v>19</v>
      </c>
      <c r="J609" t="s">
        <v>18</v>
      </c>
      <c r="K609" t="s">
        <v>12</v>
      </c>
      <c r="L609" s="4">
        <v>811299</v>
      </c>
      <c r="M609" t="str">
        <f t="shared" si="29"/>
        <v>Premium</v>
      </c>
    </row>
    <row r="610" spans="1:13" x14ac:dyDescent="0.35">
      <c r="A610">
        <v>609</v>
      </c>
      <c r="B610">
        <v>2982</v>
      </c>
      <c r="C610" t="str">
        <f t="shared" si="27"/>
        <v>Large</v>
      </c>
      <c r="D610">
        <v>2</v>
      </c>
      <c r="E610">
        <v>4</v>
      </c>
      <c r="F610">
        <v>2</v>
      </c>
      <c r="G610">
        <v>1987</v>
      </c>
      <c r="H610" t="str">
        <f t="shared" si="28"/>
        <v>1976-2000</v>
      </c>
      <c r="I610" t="s">
        <v>10</v>
      </c>
      <c r="J610" t="s">
        <v>15</v>
      </c>
      <c r="K610" t="s">
        <v>16</v>
      </c>
      <c r="L610" s="4">
        <v>916572</v>
      </c>
      <c r="M610" t="str">
        <f t="shared" si="29"/>
        <v>Premium</v>
      </c>
    </row>
    <row r="611" spans="1:13" x14ac:dyDescent="0.35">
      <c r="A611">
        <v>610</v>
      </c>
      <c r="B611">
        <v>2517</v>
      </c>
      <c r="C611" t="str">
        <f t="shared" si="27"/>
        <v>Large</v>
      </c>
      <c r="D611">
        <v>3</v>
      </c>
      <c r="E611">
        <v>1</v>
      </c>
      <c r="F611">
        <v>1</v>
      </c>
      <c r="G611">
        <v>1949</v>
      </c>
      <c r="H611" t="str">
        <f t="shared" si="28"/>
        <v>Pre-1950</v>
      </c>
      <c r="I611" t="s">
        <v>19</v>
      </c>
      <c r="J611" t="s">
        <v>11</v>
      </c>
      <c r="K611" t="s">
        <v>12</v>
      </c>
      <c r="L611" s="4">
        <v>732561</v>
      </c>
      <c r="M611" t="str">
        <f t="shared" si="29"/>
        <v>Premium</v>
      </c>
    </row>
    <row r="612" spans="1:13" x14ac:dyDescent="0.35">
      <c r="A612">
        <v>611</v>
      </c>
      <c r="B612">
        <v>1831</v>
      </c>
      <c r="C612" t="str">
        <f t="shared" si="27"/>
        <v>Medium</v>
      </c>
      <c r="D612">
        <v>1</v>
      </c>
      <c r="E612">
        <v>1</v>
      </c>
      <c r="F612">
        <v>2</v>
      </c>
      <c r="G612">
        <v>1983</v>
      </c>
      <c r="H612" t="str">
        <f t="shared" si="28"/>
        <v>1976-2000</v>
      </c>
      <c r="I612" t="s">
        <v>10</v>
      </c>
      <c r="J612" t="s">
        <v>11</v>
      </c>
      <c r="K612" t="s">
        <v>12</v>
      </c>
      <c r="L612" s="4">
        <v>905010</v>
      </c>
      <c r="M612" t="str">
        <f t="shared" si="29"/>
        <v>Premium</v>
      </c>
    </row>
    <row r="613" spans="1:13" x14ac:dyDescent="0.35">
      <c r="A613">
        <v>612</v>
      </c>
      <c r="B613">
        <v>4844</v>
      </c>
      <c r="C613" t="str">
        <f t="shared" si="27"/>
        <v>Extra Large</v>
      </c>
      <c r="D613">
        <v>1</v>
      </c>
      <c r="E613">
        <v>3</v>
      </c>
      <c r="F613">
        <v>3</v>
      </c>
      <c r="G613">
        <v>2023</v>
      </c>
      <c r="H613" t="str">
        <f t="shared" si="28"/>
        <v>Post-2000</v>
      </c>
      <c r="I613" t="s">
        <v>10</v>
      </c>
      <c r="J613" t="s">
        <v>18</v>
      </c>
      <c r="K613" t="s">
        <v>12</v>
      </c>
      <c r="L613" s="4">
        <v>99966</v>
      </c>
      <c r="M613" t="str">
        <f t="shared" si="29"/>
        <v>Low</v>
      </c>
    </row>
    <row r="614" spans="1:13" x14ac:dyDescent="0.35">
      <c r="A614">
        <v>613</v>
      </c>
      <c r="B614">
        <v>4761</v>
      </c>
      <c r="C614" t="str">
        <f t="shared" si="27"/>
        <v>Extra Large</v>
      </c>
      <c r="D614">
        <v>5</v>
      </c>
      <c r="E614">
        <v>3</v>
      </c>
      <c r="F614">
        <v>2</v>
      </c>
      <c r="G614">
        <v>1915</v>
      </c>
      <c r="H614" t="str">
        <f t="shared" si="28"/>
        <v>Pre-1950</v>
      </c>
      <c r="I614" t="s">
        <v>17</v>
      </c>
      <c r="J614" t="s">
        <v>13</v>
      </c>
      <c r="K614" t="s">
        <v>16</v>
      </c>
      <c r="L614" s="4">
        <v>235846</v>
      </c>
      <c r="M614" t="str">
        <f t="shared" si="29"/>
        <v>Medium</v>
      </c>
    </row>
    <row r="615" spans="1:13" x14ac:dyDescent="0.35">
      <c r="A615">
        <v>614</v>
      </c>
      <c r="B615">
        <v>1858</v>
      </c>
      <c r="C615" t="str">
        <f t="shared" si="27"/>
        <v>Medium</v>
      </c>
      <c r="D615">
        <v>1</v>
      </c>
      <c r="E615">
        <v>3</v>
      </c>
      <c r="F615">
        <v>1</v>
      </c>
      <c r="G615">
        <v>2013</v>
      </c>
      <c r="H615" t="str">
        <f t="shared" si="28"/>
        <v>Post-2000</v>
      </c>
      <c r="I615" t="s">
        <v>19</v>
      </c>
      <c r="J615" t="s">
        <v>13</v>
      </c>
      <c r="K615" t="s">
        <v>12</v>
      </c>
      <c r="L615" s="4">
        <v>322530</v>
      </c>
      <c r="M615" t="str">
        <f t="shared" si="29"/>
        <v>Medium</v>
      </c>
    </row>
    <row r="616" spans="1:13" x14ac:dyDescent="0.35">
      <c r="A616">
        <v>615</v>
      </c>
      <c r="B616">
        <v>3677</v>
      </c>
      <c r="C616" t="str">
        <f t="shared" si="27"/>
        <v>Large</v>
      </c>
      <c r="D616">
        <v>1</v>
      </c>
      <c r="E616">
        <v>4</v>
      </c>
      <c r="F616">
        <v>3</v>
      </c>
      <c r="G616">
        <v>2015</v>
      </c>
      <c r="H616" t="str">
        <f t="shared" si="28"/>
        <v>Post-2000</v>
      </c>
      <c r="I616" t="s">
        <v>10</v>
      </c>
      <c r="J616" t="s">
        <v>13</v>
      </c>
      <c r="K616" t="s">
        <v>12</v>
      </c>
      <c r="L616" s="4">
        <v>651516</v>
      </c>
      <c r="M616" t="str">
        <f t="shared" si="29"/>
        <v>Premium</v>
      </c>
    </row>
    <row r="617" spans="1:13" x14ac:dyDescent="0.35">
      <c r="A617">
        <v>616</v>
      </c>
      <c r="B617">
        <v>2628</v>
      </c>
      <c r="C617" t="str">
        <f t="shared" si="27"/>
        <v>Large</v>
      </c>
      <c r="D617">
        <v>1</v>
      </c>
      <c r="E617">
        <v>1</v>
      </c>
      <c r="F617">
        <v>1</v>
      </c>
      <c r="G617">
        <v>1975</v>
      </c>
      <c r="H617" t="str">
        <f t="shared" si="28"/>
        <v>1950-1975</v>
      </c>
      <c r="I617" t="s">
        <v>14</v>
      </c>
      <c r="J617" t="s">
        <v>15</v>
      </c>
      <c r="K617" t="s">
        <v>12</v>
      </c>
      <c r="L617" s="4">
        <v>196297</v>
      </c>
      <c r="M617" t="str">
        <f t="shared" si="29"/>
        <v>Low</v>
      </c>
    </row>
    <row r="618" spans="1:13" x14ac:dyDescent="0.35">
      <c r="A618">
        <v>617</v>
      </c>
      <c r="B618">
        <v>2680</v>
      </c>
      <c r="C618" t="str">
        <f t="shared" si="27"/>
        <v>Large</v>
      </c>
      <c r="D618">
        <v>5</v>
      </c>
      <c r="E618">
        <v>1</v>
      </c>
      <c r="F618">
        <v>2</v>
      </c>
      <c r="G618">
        <v>1976</v>
      </c>
      <c r="H618" t="str">
        <f t="shared" si="28"/>
        <v>1976-2000</v>
      </c>
      <c r="I618" t="s">
        <v>14</v>
      </c>
      <c r="J618" t="s">
        <v>15</v>
      </c>
      <c r="K618" t="s">
        <v>12</v>
      </c>
      <c r="L618" s="4">
        <v>459909</v>
      </c>
      <c r="M618" t="str">
        <f t="shared" si="29"/>
        <v>High</v>
      </c>
    </row>
    <row r="619" spans="1:13" x14ac:dyDescent="0.35">
      <c r="A619">
        <v>618</v>
      </c>
      <c r="B619">
        <v>637</v>
      </c>
      <c r="C619" t="str">
        <f t="shared" si="27"/>
        <v>Small</v>
      </c>
      <c r="D619">
        <v>3</v>
      </c>
      <c r="E619">
        <v>3</v>
      </c>
      <c r="F619">
        <v>2</v>
      </c>
      <c r="G619">
        <v>2008</v>
      </c>
      <c r="H619" t="str">
        <f t="shared" si="28"/>
        <v>Post-2000</v>
      </c>
      <c r="I619" t="s">
        <v>14</v>
      </c>
      <c r="J619" t="s">
        <v>18</v>
      </c>
      <c r="K619" t="s">
        <v>12</v>
      </c>
      <c r="L619" s="4">
        <v>384341</v>
      </c>
      <c r="M619" t="str">
        <f t="shared" si="29"/>
        <v>Medium</v>
      </c>
    </row>
    <row r="620" spans="1:13" x14ac:dyDescent="0.35">
      <c r="A620">
        <v>619</v>
      </c>
      <c r="B620">
        <v>3972</v>
      </c>
      <c r="C620" t="str">
        <f t="shared" si="27"/>
        <v>Large</v>
      </c>
      <c r="D620">
        <v>3</v>
      </c>
      <c r="E620">
        <v>2</v>
      </c>
      <c r="F620">
        <v>1</v>
      </c>
      <c r="G620">
        <v>2005</v>
      </c>
      <c r="H620" t="str">
        <f t="shared" si="28"/>
        <v>Post-2000</v>
      </c>
      <c r="I620" t="s">
        <v>17</v>
      </c>
      <c r="J620" t="s">
        <v>11</v>
      </c>
      <c r="K620" t="s">
        <v>16</v>
      </c>
      <c r="L620" s="4">
        <v>93021</v>
      </c>
      <c r="M620" t="str">
        <f t="shared" si="29"/>
        <v>Low</v>
      </c>
    </row>
    <row r="621" spans="1:13" x14ac:dyDescent="0.35">
      <c r="A621">
        <v>620</v>
      </c>
      <c r="B621">
        <v>3332</v>
      </c>
      <c r="C621" t="str">
        <f t="shared" si="27"/>
        <v>Large</v>
      </c>
      <c r="D621">
        <v>1</v>
      </c>
      <c r="E621">
        <v>3</v>
      </c>
      <c r="F621">
        <v>3</v>
      </c>
      <c r="G621">
        <v>1938</v>
      </c>
      <c r="H621" t="str">
        <f t="shared" si="28"/>
        <v>Pre-1950</v>
      </c>
      <c r="I621" t="s">
        <v>10</v>
      </c>
      <c r="J621" t="s">
        <v>13</v>
      </c>
      <c r="K621" t="s">
        <v>16</v>
      </c>
      <c r="L621" s="4">
        <v>431059</v>
      </c>
      <c r="M621" t="str">
        <f t="shared" si="29"/>
        <v>High</v>
      </c>
    </row>
    <row r="622" spans="1:13" x14ac:dyDescent="0.35">
      <c r="A622">
        <v>621</v>
      </c>
      <c r="B622">
        <v>4079</v>
      </c>
      <c r="C622" t="str">
        <f t="shared" si="27"/>
        <v>Extra Large</v>
      </c>
      <c r="D622">
        <v>5</v>
      </c>
      <c r="E622">
        <v>4</v>
      </c>
      <c r="F622">
        <v>2</v>
      </c>
      <c r="G622">
        <v>1988</v>
      </c>
      <c r="H622" t="str">
        <f t="shared" si="28"/>
        <v>1976-2000</v>
      </c>
      <c r="I622" t="s">
        <v>17</v>
      </c>
      <c r="J622" t="s">
        <v>11</v>
      </c>
      <c r="K622" t="s">
        <v>12</v>
      </c>
      <c r="L622" s="4">
        <v>199333</v>
      </c>
      <c r="M622" t="str">
        <f t="shared" si="29"/>
        <v>Low</v>
      </c>
    </row>
    <row r="623" spans="1:13" x14ac:dyDescent="0.35">
      <c r="A623">
        <v>622</v>
      </c>
      <c r="B623">
        <v>3531</v>
      </c>
      <c r="C623" t="str">
        <f t="shared" si="27"/>
        <v>Large</v>
      </c>
      <c r="D623">
        <v>3</v>
      </c>
      <c r="E623">
        <v>3</v>
      </c>
      <c r="F623">
        <v>2</v>
      </c>
      <c r="G623">
        <v>1945</v>
      </c>
      <c r="H623" t="str">
        <f t="shared" si="28"/>
        <v>Pre-1950</v>
      </c>
      <c r="I623" t="s">
        <v>19</v>
      </c>
      <c r="J623" t="s">
        <v>15</v>
      </c>
      <c r="K623" t="s">
        <v>12</v>
      </c>
      <c r="L623" s="4">
        <v>470594</v>
      </c>
      <c r="M623" t="str">
        <f t="shared" si="29"/>
        <v>High</v>
      </c>
    </row>
    <row r="624" spans="1:13" x14ac:dyDescent="0.35">
      <c r="A624">
        <v>623</v>
      </c>
      <c r="B624">
        <v>4664</v>
      </c>
      <c r="C624" t="str">
        <f t="shared" si="27"/>
        <v>Extra Large</v>
      </c>
      <c r="D624">
        <v>3</v>
      </c>
      <c r="E624">
        <v>3</v>
      </c>
      <c r="F624">
        <v>3</v>
      </c>
      <c r="G624">
        <v>1995</v>
      </c>
      <c r="H624" t="str">
        <f t="shared" si="28"/>
        <v>1976-2000</v>
      </c>
      <c r="I624" t="s">
        <v>19</v>
      </c>
      <c r="J624" t="s">
        <v>15</v>
      </c>
      <c r="K624" t="s">
        <v>16</v>
      </c>
      <c r="L624" s="4">
        <v>953606</v>
      </c>
      <c r="M624" t="str">
        <f t="shared" si="29"/>
        <v>Premium</v>
      </c>
    </row>
    <row r="625" spans="1:13" x14ac:dyDescent="0.35">
      <c r="A625">
        <v>624</v>
      </c>
      <c r="B625">
        <v>3093</v>
      </c>
      <c r="C625" t="str">
        <f t="shared" si="27"/>
        <v>Large</v>
      </c>
      <c r="D625">
        <v>3</v>
      </c>
      <c r="E625">
        <v>4</v>
      </c>
      <c r="F625">
        <v>2</v>
      </c>
      <c r="G625">
        <v>1987</v>
      </c>
      <c r="H625" t="str">
        <f t="shared" si="28"/>
        <v>1976-2000</v>
      </c>
      <c r="I625" t="s">
        <v>10</v>
      </c>
      <c r="J625" t="s">
        <v>15</v>
      </c>
      <c r="K625" t="s">
        <v>12</v>
      </c>
      <c r="L625" s="4">
        <v>826934</v>
      </c>
      <c r="M625" t="str">
        <f t="shared" si="29"/>
        <v>Premium</v>
      </c>
    </row>
    <row r="626" spans="1:13" x14ac:dyDescent="0.35">
      <c r="A626">
        <v>625</v>
      </c>
      <c r="B626">
        <v>4800</v>
      </c>
      <c r="C626" t="str">
        <f t="shared" si="27"/>
        <v>Extra Large</v>
      </c>
      <c r="D626">
        <v>5</v>
      </c>
      <c r="E626">
        <v>3</v>
      </c>
      <c r="F626">
        <v>1</v>
      </c>
      <c r="G626">
        <v>2011</v>
      </c>
      <c r="H626" t="str">
        <f t="shared" si="28"/>
        <v>Post-2000</v>
      </c>
      <c r="I626" t="s">
        <v>14</v>
      </c>
      <c r="J626" t="s">
        <v>11</v>
      </c>
      <c r="K626" t="s">
        <v>12</v>
      </c>
      <c r="L626" s="4">
        <v>136755</v>
      </c>
      <c r="M626" t="str">
        <f t="shared" si="29"/>
        <v>Low</v>
      </c>
    </row>
    <row r="627" spans="1:13" x14ac:dyDescent="0.35">
      <c r="A627">
        <v>626</v>
      </c>
      <c r="B627">
        <v>4318</v>
      </c>
      <c r="C627" t="str">
        <f t="shared" si="27"/>
        <v>Extra Large</v>
      </c>
      <c r="D627">
        <v>5</v>
      </c>
      <c r="E627">
        <v>1</v>
      </c>
      <c r="F627">
        <v>2</v>
      </c>
      <c r="G627">
        <v>1946</v>
      </c>
      <c r="H627" t="str">
        <f t="shared" si="28"/>
        <v>Pre-1950</v>
      </c>
      <c r="I627" t="s">
        <v>10</v>
      </c>
      <c r="J627" t="s">
        <v>18</v>
      </c>
      <c r="K627" t="s">
        <v>12</v>
      </c>
      <c r="L627" s="4">
        <v>979441</v>
      </c>
      <c r="M627" t="str">
        <f t="shared" si="29"/>
        <v>Premium</v>
      </c>
    </row>
    <row r="628" spans="1:13" x14ac:dyDescent="0.35">
      <c r="A628">
        <v>627</v>
      </c>
      <c r="B628">
        <v>4638</v>
      </c>
      <c r="C628" t="str">
        <f t="shared" si="27"/>
        <v>Extra Large</v>
      </c>
      <c r="D628">
        <v>1</v>
      </c>
      <c r="E628">
        <v>2</v>
      </c>
      <c r="F628">
        <v>2</v>
      </c>
      <c r="G628">
        <v>1943</v>
      </c>
      <c r="H628" t="str">
        <f t="shared" si="28"/>
        <v>Pre-1950</v>
      </c>
      <c r="I628" t="s">
        <v>10</v>
      </c>
      <c r="J628" t="s">
        <v>18</v>
      </c>
      <c r="K628" t="s">
        <v>12</v>
      </c>
      <c r="L628" s="4">
        <v>116330</v>
      </c>
      <c r="M628" t="str">
        <f t="shared" si="29"/>
        <v>Low</v>
      </c>
    </row>
    <row r="629" spans="1:13" x14ac:dyDescent="0.35">
      <c r="A629">
        <v>628</v>
      </c>
      <c r="B629">
        <v>4323</v>
      </c>
      <c r="C629" t="str">
        <f t="shared" si="27"/>
        <v>Extra Large</v>
      </c>
      <c r="D629">
        <v>4</v>
      </c>
      <c r="E629">
        <v>3</v>
      </c>
      <c r="F629">
        <v>3</v>
      </c>
      <c r="G629">
        <v>1908</v>
      </c>
      <c r="H629" t="str">
        <f t="shared" si="28"/>
        <v>Pre-1950</v>
      </c>
      <c r="I629" t="s">
        <v>10</v>
      </c>
      <c r="J629" t="s">
        <v>15</v>
      </c>
      <c r="K629" t="s">
        <v>12</v>
      </c>
      <c r="L629" s="4">
        <v>752726</v>
      </c>
      <c r="M629" t="str">
        <f t="shared" si="29"/>
        <v>Premium</v>
      </c>
    </row>
    <row r="630" spans="1:13" x14ac:dyDescent="0.35">
      <c r="A630">
        <v>629</v>
      </c>
      <c r="B630">
        <v>4542</v>
      </c>
      <c r="C630" t="str">
        <f t="shared" si="27"/>
        <v>Extra Large</v>
      </c>
      <c r="D630">
        <v>3</v>
      </c>
      <c r="E630">
        <v>4</v>
      </c>
      <c r="F630">
        <v>1</v>
      </c>
      <c r="G630">
        <v>2003</v>
      </c>
      <c r="H630" t="str">
        <f t="shared" si="28"/>
        <v>Post-2000</v>
      </c>
      <c r="I630" t="s">
        <v>17</v>
      </c>
      <c r="J630" t="s">
        <v>13</v>
      </c>
      <c r="K630" t="s">
        <v>12</v>
      </c>
      <c r="L630" s="4">
        <v>908754</v>
      </c>
      <c r="M630" t="str">
        <f t="shared" si="29"/>
        <v>Premium</v>
      </c>
    </row>
    <row r="631" spans="1:13" x14ac:dyDescent="0.35">
      <c r="A631">
        <v>630</v>
      </c>
      <c r="B631">
        <v>2406</v>
      </c>
      <c r="C631" t="str">
        <f t="shared" si="27"/>
        <v>Medium</v>
      </c>
      <c r="D631">
        <v>4</v>
      </c>
      <c r="E631">
        <v>2</v>
      </c>
      <c r="F631">
        <v>3</v>
      </c>
      <c r="G631">
        <v>2013</v>
      </c>
      <c r="H631" t="str">
        <f t="shared" si="28"/>
        <v>Post-2000</v>
      </c>
      <c r="I631" t="s">
        <v>19</v>
      </c>
      <c r="J631" t="s">
        <v>11</v>
      </c>
      <c r="K631" t="s">
        <v>12</v>
      </c>
      <c r="L631" s="4">
        <v>938750</v>
      </c>
      <c r="M631" t="str">
        <f t="shared" si="29"/>
        <v>Premium</v>
      </c>
    </row>
    <row r="632" spans="1:13" x14ac:dyDescent="0.35">
      <c r="A632">
        <v>631</v>
      </c>
      <c r="B632">
        <v>1260</v>
      </c>
      <c r="C632" t="str">
        <f t="shared" si="27"/>
        <v>Medium</v>
      </c>
      <c r="D632">
        <v>5</v>
      </c>
      <c r="E632">
        <v>4</v>
      </c>
      <c r="F632">
        <v>2</v>
      </c>
      <c r="G632">
        <v>1986</v>
      </c>
      <c r="H632" t="str">
        <f t="shared" si="28"/>
        <v>1976-2000</v>
      </c>
      <c r="I632" t="s">
        <v>10</v>
      </c>
      <c r="J632" t="s">
        <v>15</v>
      </c>
      <c r="K632" t="s">
        <v>12</v>
      </c>
      <c r="L632" s="4">
        <v>619601</v>
      </c>
      <c r="M632" t="str">
        <f t="shared" si="29"/>
        <v>Premium</v>
      </c>
    </row>
    <row r="633" spans="1:13" x14ac:dyDescent="0.35">
      <c r="A633">
        <v>632</v>
      </c>
      <c r="B633">
        <v>3945</v>
      </c>
      <c r="C633" t="str">
        <f t="shared" si="27"/>
        <v>Large</v>
      </c>
      <c r="D633">
        <v>5</v>
      </c>
      <c r="E633">
        <v>2</v>
      </c>
      <c r="F633">
        <v>2</v>
      </c>
      <c r="G633">
        <v>1949</v>
      </c>
      <c r="H633" t="str">
        <f t="shared" si="28"/>
        <v>Pre-1950</v>
      </c>
      <c r="I633" t="s">
        <v>10</v>
      </c>
      <c r="J633" t="s">
        <v>11</v>
      </c>
      <c r="K633" t="s">
        <v>16</v>
      </c>
      <c r="L633" s="4">
        <v>284729</v>
      </c>
      <c r="M633" t="str">
        <f t="shared" si="29"/>
        <v>Medium</v>
      </c>
    </row>
    <row r="634" spans="1:13" x14ac:dyDescent="0.35">
      <c r="A634">
        <v>633</v>
      </c>
      <c r="B634">
        <v>1399</v>
      </c>
      <c r="C634" t="str">
        <f t="shared" si="27"/>
        <v>Medium</v>
      </c>
      <c r="D634">
        <v>5</v>
      </c>
      <c r="E634">
        <v>2</v>
      </c>
      <c r="F634">
        <v>3</v>
      </c>
      <c r="G634">
        <v>1976</v>
      </c>
      <c r="H634" t="str">
        <f t="shared" si="28"/>
        <v>1976-2000</v>
      </c>
      <c r="I634" t="s">
        <v>10</v>
      </c>
      <c r="J634" t="s">
        <v>11</v>
      </c>
      <c r="K634" t="s">
        <v>16</v>
      </c>
      <c r="L634" s="4">
        <v>807071</v>
      </c>
      <c r="M634" t="str">
        <f t="shared" si="29"/>
        <v>Premium</v>
      </c>
    </row>
    <row r="635" spans="1:13" x14ac:dyDescent="0.35">
      <c r="A635">
        <v>634</v>
      </c>
      <c r="B635">
        <v>4955</v>
      </c>
      <c r="C635" t="str">
        <f t="shared" si="27"/>
        <v>Extra Large</v>
      </c>
      <c r="D635">
        <v>4</v>
      </c>
      <c r="E635">
        <v>3</v>
      </c>
      <c r="F635">
        <v>3</v>
      </c>
      <c r="G635">
        <v>1959</v>
      </c>
      <c r="H635" t="str">
        <f t="shared" si="28"/>
        <v>1950-1975</v>
      </c>
      <c r="I635" t="s">
        <v>17</v>
      </c>
      <c r="J635" t="s">
        <v>18</v>
      </c>
      <c r="K635" t="s">
        <v>12</v>
      </c>
      <c r="L635" s="4">
        <v>339176</v>
      </c>
      <c r="M635" t="str">
        <f t="shared" si="29"/>
        <v>Medium</v>
      </c>
    </row>
    <row r="636" spans="1:13" x14ac:dyDescent="0.35">
      <c r="A636">
        <v>635</v>
      </c>
      <c r="B636">
        <v>3447</v>
      </c>
      <c r="C636" t="str">
        <f t="shared" si="27"/>
        <v>Large</v>
      </c>
      <c r="D636">
        <v>5</v>
      </c>
      <c r="E636">
        <v>1</v>
      </c>
      <c r="F636">
        <v>3</v>
      </c>
      <c r="G636">
        <v>2022</v>
      </c>
      <c r="H636" t="str">
        <f t="shared" si="28"/>
        <v>Post-2000</v>
      </c>
      <c r="I636" t="s">
        <v>17</v>
      </c>
      <c r="J636" t="s">
        <v>15</v>
      </c>
      <c r="K636" t="s">
        <v>12</v>
      </c>
      <c r="L636" s="4">
        <v>535179</v>
      </c>
      <c r="M636" t="str">
        <f t="shared" si="29"/>
        <v>High</v>
      </c>
    </row>
    <row r="637" spans="1:13" x14ac:dyDescent="0.35">
      <c r="A637">
        <v>636</v>
      </c>
      <c r="B637">
        <v>2219</v>
      </c>
      <c r="C637" t="str">
        <f t="shared" si="27"/>
        <v>Medium</v>
      </c>
      <c r="D637">
        <v>1</v>
      </c>
      <c r="E637">
        <v>3</v>
      </c>
      <c r="F637">
        <v>1</v>
      </c>
      <c r="G637">
        <v>1995</v>
      </c>
      <c r="H637" t="str">
        <f t="shared" si="28"/>
        <v>1976-2000</v>
      </c>
      <c r="I637" t="s">
        <v>17</v>
      </c>
      <c r="J637" t="s">
        <v>18</v>
      </c>
      <c r="K637" t="s">
        <v>12</v>
      </c>
      <c r="L637" s="4">
        <v>198430</v>
      </c>
      <c r="M637" t="str">
        <f t="shared" si="29"/>
        <v>Low</v>
      </c>
    </row>
    <row r="638" spans="1:13" x14ac:dyDescent="0.35">
      <c r="A638">
        <v>637</v>
      </c>
      <c r="B638">
        <v>780</v>
      </c>
      <c r="C638" t="str">
        <f t="shared" si="27"/>
        <v>Small</v>
      </c>
      <c r="D638">
        <v>5</v>
      </c>
      <c r="E638">
        <v>4</v>
      </c>
      <c r="F638">
        <v>2</v>
      </c>
      <c r="G638">
        <v>2013</v>
      </c>
      <c r="H638" t="str">
        <f t="shared" si="28"/>
        <v>Post-2000</v>
      </c>
      <c r="I638" t="s">
        <v>10</v>
      </c>
      <c r="J638" t="s">
        <v>15</v>
      </c>
      <c r="K638" t="s">
        <v>12</v>
      </c>
      <c r="L638" s="4">
        <v>898142</v>
      </c>
      <c r="M638" t="str">
        <f t="shared" si="29"/>
        <v>Premium</v>
      </c>
    </row>
    <row r="639" spans="1:13" x14ac:dyDescent="0.35">
      <c r="A639">
        <v>638</v>
      </c>
      <c r="B639">
        <v>3766</v>
      </c>
      <c r="C639" t="str">
        <f t="shared" si="27"/>
        <v>Large</v>
      </c>
      <c r="D639">
        <v>2</v>
      </c>
      <c r="E639">
        <v>4</v>
      </c>
      <c r="F639">
        <v>3</v>
      </c>
      <c r="G639">
        <v>1914</v>
      </c>
      <c r="H639" t="str">
        <f t="shared" si="28"/>
        <v>Pre-1950</v>
      </c>
      <c r="I639" t="s">
        <v>14</v>
      </c>
      <c r="J639" t="s">
        <v>11</v>
      </c>
      <c r="K639" t="s">
        <v>16</v>
      </c>
      <c r="L639" s="4">
        <v>407470</v>
      </c>
      <c r="M639" t="str">
        <f t="shared" si="29"/>
        <v>High</v>
      </c>
    </row>
    <row r="640" spans="1:13" x14ac:dyDescent="0.35">
      <c r="A640">
        <v>639</v>
      </c>
      <c r="B640">
        <v>2387</v>
      </c>
      <c r="C640" t="str">
        <f t="shared" si="27"/>
        <v>Medium</v>
      </c>
      <c r="D640">
        <v>4</v>
      </c>
      <c r="E640">
        <v>2</v>
      </c>
      <c r="F640">
        <v>2</v>
      </c>
      <c r="G640">
        <v>1935</v>
      </c>
      <c r="H640" t="str">
        <f t="shared" si="28"/>
        <v>Pre-1950</v>
      </c>
      <c r="I640" t="s">
        <v>14</v>
      </c>
      <c r="J640" t="s">
        <v>18</v>
      </c>
      <c r="K640" t="s">
        <v>16</v>
      </c>
      <c r="L640" s="4">
        <v>398301</v>
      </c>
      <c r="M640" t="str">
        <f t="shared" si="29"/>
        <v>Medium</v>
      </c>
    </row>
    <row r="641" spans="1:13" x14ac:dyDescent="0.35">
      <c r="A641">
        <v>640</v>
      </c>
      <c r="B641">
        <v>3766</v>
      </c>
      <c r="C641" t="str">
        <f t="shared" si="27"/>
        <v>Large</v>
      </c>
      <c r="D641">
        <v>2</v>
      </c>
      <c r="E641">
        <v>2</v>
      </c>
      <c r="F641">
        <v>1</v>
      </c>
      <c r="G641">
        <v>2012</v>
      </c>
      <c r="H641" t="str">
        <f t="shared" si="28"/>
        <v>Post-2000</v>
      </c>
      <c r="I641" t="s">
        <v>14</v>
      </c>
      <c r="J641" t="s">
        <v>11</v>
      </c>
      <c r="K641" t="s">
        <v>16</v>
      </c>
      <c r="L641" s="4">
        <v>492037</v>
      </c>
      <c r="M641" t="str">
        <f t="shared" si="29"/>
        <v>High</v>
      </c>
    </row>
    <row r="642" spans="1:13" x14ac:dyDescent="0.35">
      <c r="A642">
        <v>641</v>
      </c>
      <c r="B642">
        <v>1166</v>
      </c>
      <c r="C642" t="str">
        <f t="shared" si="27"/>
        <v>Medium</v>
      </c>
      <c r="D642">
        <v>5</v>
      </c>
      <c r="E642">
        <v>1</v>
      </c>
      <c r="F642">
        <v>1</v>
      </c>
      <c r="G642">
        <v>1962</v>
      </c>
      <c r="H642" t="str">
        <f t="shared" si="28"/>
        <v>1950-1975</v>
      </c>
      <c r="I642" t="s">
        <v>19</v>
      </c>
      <c r="J642" t="s">
        <v>15</v>
      </c>
      <c r="K642" t="s">
        <v>16</v>
      </c>
      <c r="L642" s="4">
        <v>78365</v>
      </c>
      <c r="M642" t="str">
        <f t="shared" si="29"/>
        <v>Low</v>
      </c>
    </row>
    <row r="643" spans="1:13" x14ac:dyDescent="0.35">
      <c r="A643">
        <v>642</v>
      </c>
      <c r="B643">
        <v>4688</v>
      </c>
      <c r="C643" t="str">
        <f t="shared" ref="C643:C706" si="30">IF(B643&lt;=1000,"Small",IF(B643&lt;=2500,"Medium",IF(B643&lt;=4000,"Large",IF(B643&gt;=4000,"Extra Large"))))</f>
        <v>Extra Large</v>
      </c>
      <c r="D643">
        <v>1</v>
      </c>
      <c r="E643">
        <v>3</v>
      </c>
      <c r="F643">
        <v>1</v>
      </c>
      <c r="G643">
        <v>1968</v>
      </c>
      <c r="H643" t="str">
        <f t="shared" ref="H643:H706" si="31">IF(G643&lt;=1950,"Pre-1950",IF(G643&lt;=1975,"1950-1975",IF(G643&lt;=2000,"1976-2000",IF(G643&gt;=2000,"Post-2000"))))</f>
        <v>1950-1975</v>
      </c>
      <c r="I643" t="s">
        <v>10</v>
      </c>
      <c r="J643" t="s">
        <v>13</v>
      </c>
      <c r="K643" t="s">
        <v>12</v>
      </c>
      <c r="L643" s="4">
        <v>325333</v>
      </c>
      <c r="M643" t="str">
        <f t="shared" ref="M643:M706" si="32">IF(L643&lt;=200000,"Low",IF(L643&lt;=400000,"Medium",IF(L643&lt;=600000,"High",IF(L643&gt;=600000,"Premium",""))))</f>
        <v>Medium</v>
      </c>
    </row>
    <row r="644" spans="1:13" x14ac:dyDescent="0.35">
      <c r="A644">
        <v>643</v>
      </c>
      <c r="B644">
        <v>1171</v>
      </c>
      <c r="C644" t="str">
        <f t="shared" si="30"/>
        <v>Medium</v>
      </c>
      <c r="D644">
        <v>3</v>
      </c>
      <c r="E644">
        <v>4</v>
      </c>
      <c r="F644">
        <v>1</v>
      </c>
      <c r="G644">
        <v>1985</v>
      </c>
      <c r="H644" t="str">
        <f t="shared" si="31"/>
        <v>1976-2000</v>
      </c>
      <c r="I644" t="s">
        <v>14</v>
      </c>
      <c r="J644" t="s">
        <v>18</v>
      </c>
      <c r="K644" t="s">
        <v>12</v>
      </c>
      <c r="L644" s="4">
        <v>519965</v>
      </c>
      <c r="M644" t="str">
        <f t="shared" si="32"/>
        <v>High</v>
      </c>
    </row>
    <row r="645" spans="1:13" x14ac:dyDescent="0.35">
      <c r="A645">
        <v>644</v>
      </c>
      <c r="B645">
        <v>2469</v>
      </c>
      <c r="C645" t="str">
        <f t="shared" si="30"/>
        <v>Medium</v>
      </c>
      <c r="D645">
        <v>5</v>
      </c>
      <c r="E645">
        <v>2</v>
      </c>
      <c r="F645">
        <v>2</v>
      </c>
      <c r="G645">
        <v>1979</v>
      </c>
      <c r="H645" t="str">
        <f t="shared" si="31"/>
        <v>1976-2000</v>
      </c>
      <c r="I645" t="s">
        <v>14</v>
      </c>
      <c r="J645" t="s">
        <v>18</v>
      </c>
      <c r="K645" t="s">
        <v>12</v>
      </c>
      <c r="L645" s="4">
        <v>581536</v>
      </c>
      <c r="M645" t="str">
        <f t="shared" si="32"/>
        <v>High</v>
      </c>
    </row>
    <row r="646" spans="1:13" x14ac:dyDescent="0.35">
      <c r="A646">
        <v>645</v>
      </c>
      <c r="B646">
        <v>4656</v>
      </c>
      <c r="C646" t="str">
        <f t="shared" si="30"/>
        <v>Extra Large</v>
      </c>
      <c r="D646">
        <v>1</v>
      </c>
      <c r="E646">
        <v>1</v>
      </c>
      <c r="F646">
        <v>1</v>
      </c>
      <c r="G646">
        <v>1940</v>
      </c>
      <c r="H646" t="str">
        <f t="shared" si="31"/>
        <v>Pre-1950</v>
      </c>
      <c r="I646" t="s">
        <v>14</v>
      </c>
      <c r="J646" t="s">
        <v>11</v>
      </c>
      <c r="K646" t="s">
        <v>16</v>
      </c>
      <c r="L646" s="4">
        <v>54369</v>
      </c>
      <c r="M646" t="str">
        <f t="shared" si="32"/>
        <v>Low</v>
      </c>
    </row>
    <row r="647" spans="1:13" x14ac:dyDescent="0.35">
      <c r="A647">
        <v>646</v>
      </c>
      <c r="B647">
        <v>3622</v>
      </c>
      <c r="C647" t="str">
        <f t="shared" si="30"/>
        <v>Large</v>
      </c>
      <c r="D647">
        <v>4</v>
      </c>
      <c r="E647">
        <v>4</v>
      </c>
      <c r="F647">
        <v>1</v>
      </c>
      <c r="G647">
        <v>1973</v>
      </c>
      <c r="H647" t="str">
        <f t="shared" si="31"/>
        <v>1950-1975</v>
      </c>
      <c r="I647" t="s">
        <v>10</v>
      </c>
      <c r="J647" t="s">
        <v>11</v>
      </c>
      <c r="K647" t="s">
        <v>12</v>
      </c>
      <c r="L647" s="4">
        <v>506979</v>
      </c>
      <c r="M647" t="str">
        <f t="shared" si="32"/>
        <v>High</v>
      </c>
    </row>
    <row r="648" spans="1:13" x14ac:dyDescent="0.35">
      <c r="A648">
        <v>647</v>
      </c>
      <c r="B648">
        <v>4400</v>
      </c>
      <c r="C648" t="str">
        <f t="shared" si="30"/>
        <v>Extra Large</v>
      </c>
      <c r="D648">
        <v>2</v>
      </c>
      <c r="E648">
        <v>2</v>
      </c>
      <c r="F648">
        <v>3</v>
      </c>
      <c r="G648">
        <v>1923</v>
      </c>
      <c r="H648" t="str">
        <f t="shared" si="31"/>
        <v>Pre-1950</v>
      </c>
      <c r="I648" t="s">
        <v>14</v>
      </c>
      <c r="J648" t="s">
        <v>13</v>
      </c>
      <c r="K648" t="s">
        <v>12</v>
      </c>
      <c r="L648" s="4">
        <v>975554</v>
      </c>
      <c r="M648" t="str">
        <f t="shared" si="32"/>
        <v>Premium</v>
      </c>
    </row>
    <row r="649" spans="1:13" x14ac:dyDescent="0.35">
      <c r="A649">
        <v>648</v>
      </c>
      <c r="B649">
        <v>1023</v>
      </c>
      <c r="C649" t="str">
        <f t="shared" si="30"/>
        <v>Medium</v>
      </c>
      <c r="D649">
        <v>2</v>
      </c>
      <c r="E649">
        <v>4</v>
      </c>
      <c r="F649">
        <v>1</v>
      </c>
      <c r="G649">
        <v>1981</v>
      </c>
      <c r="H649" t="str">
        <f t="shared" si="31"/>
        <v>1976-2000</v>
      </c>
      <c r="I649" t="s">
        <v>14</v>
      </c>
      <c r="J649" t="s">
        <v>18</v>
      </c>
      <c r="K649" t="s">
        <v>16</v>
      </c>
      <c r="L649" s="4">
        <v>865037</v>
      </c>
      <c r="M649" t="str">
        <f t="shared" si="32"/>
        <v>Premium</v>
      </c>
    </row>
    <row r="650" spans="1:13" x14ac:dyDescent="0.35">
      <c r="A650">
        <v>649</v>
      </c>
      <c r="B650">
        <v>2893</v>
      </c>
      <c r="C650" t="str">
        <f t="shared" si="30"/>
        <v>Large</v>
      </c>
      <c r="D650">
        <v>2</v>
      </c>
      <c r="E650">
        <v>1</v>
      </c>
      <c r="F650">
        <v>3</v>
      </c>
      <c r="G650">
        <v>1948</v>
      </c>
      <c r="H650" t="str">
        <f t="shared" si="31"/>
        <v>Pre-1950</v>
      </c>
      <c r="I650" t="s">
        <v>10</v>
      </c>
      <c r="J650" t="s">
        <v>15</v>
      </c>
      <c r="K650" t="s">
        <v>16</v>
      </c>
      <c r="L650" s="4">
        <v>886048</v>
      </c>
      <c r="M650" t="str">
        <f t="shared" si="32"/>
        <v>Premium</v>
      </c>
    </row>
    <row r="651" spans="1:13" x14ac:dyDescent="0.35">
      <c r="A651">
        <v>650</v>
      </c>
      <c r="B651">
        <v>3617</v>
      </c>
      <c r="C651" t="str">
        <f t="shared" si="30"/>
        <v>Large</v>
      </c>
      <c r="D651">
        <v>4</v>
      </c>
      <c r="E651">
        <v>1</v>
      </c>
      <c r="F651">
        <v>1</v>
      </c>
      <c r="G651">
        <v>1917</v>
      </c>
      <c r="H651" t="str">
        <f t="shared" si="31"/>
        <v>Pre-1950</v>
      </c>
      <c r="I651" t="s">
        <v>19</v>
      </c>
      <c r="J651" t="s">
        <v>15</v>
      </c>
      <c r="K651" t="s">
        <v>16</v>
      </c>
      <c r="L651" s="4">
        <v>497695</v>
      </c>
      <c r="M651" t="str">
        <f t="shared" si="32"/>
        <v>High</v>
      </c>
    </row>
    <row r="652" spans="1:13" x14ac:dyDescent="0.35">
      <c r="A652">
        <v>651</v>
      </c>
      <c r="B652">
        <v>3093</v>
      </c>
      <c r="C652" t="str">
        <f t="shared" si="30"/>
        <v>Large</v>
      </c>
      <c r="D652">
        <v>1</v>
      </c>
      <c r="E652">
        <v>4</v>
      </c>
      <c r="F652">
        <v>1</v>
      </c>
      <c r="G652">
        <v>1906</v>
      </c>
      <c r="H652" t="str">
        <f t="shared" si="31"/>
        <v>Pre-1950</v>
      </c>
      <c r="I652" t="s">
        <v>17</v>
      </c>
      <c r="J652" t="s">
        <v>18</v>
      </c>
      <c r="K652" t="s">
        <v>16</v>
      </c>
      <c r="L652" s="4">
        <v>415863</v>
      </c>
      <c r="M652" t="str">
        <f t="shared" si="32"/>
        <v>High</v>
      </c>
    </row>
    <row r="653" spans="1:13" x14ac:dyDescent="0.35">
      <c r="A653">
        <v>652</v>
      </c>
      <c r="B653">
        <v>2468</v>
      </c>
      <c r="C653" t="str">
        <f t="shared" si="30"/>
        <v>Medium</v>
      </c>
      <c r="D653">
        <v>4</v>
      </c>
      <c r="E653">
        <v>3</v>
      </c>
      <c r="F653">
        <v>3</v>
      </c>
      <c r="G653">
        <v>1903</v>
      </c>
      <c r="H653" t="str">
        <f t="shared" si="31"/>
        <v>Pre-1950</v>
      </c>
      <c r="I653" t="s">
        <v>14</v>
      </c>
      <c r="J653" t="s">
        <v>18</v>
      </c>
      <c r="K653" t="s">
        <v>16</v>
      </c>
      <c r="L653" s="4">
        <v>221955</v>
      </c>
      <c r="M653" t="str">
        <f t="shared" si="32"/>
        <v>Medium</v>
      </c>
    </row>
    <row r="654" spans="1:13" x14ac:dyDescent="0.35">
      <c r="A654">
        <v>653</v>
      </c>
      <c r="B654">
        <v>2253</v>
      </c>
      <c r="C654" t="str">
        <f t="shared" si="30"/>
        <v>Medium</v>
      </c>
      <c r="D654">
        <v>2</v>
      </c>
      <c r="E654">
        <v>4</v>
      </c>
      <c r="F654">
        <v>1</v>
      </c>
      <c r="G654">
        <v>1989</v>
      </c>
      <c r="H654" t="str">
        <f t="shared" si="31"/>
        <v>1976-2000</v>
      </c>
      <c r="I654" t="s">
        <v>17</v>
      </c>
      <c r="J654" t="s">
        <v>18</v>
      </c>
      <c r="K654" t="s">
        <v>12</v>
      </c>
      <c r="L654" s="4">
        <v>607343</v>
      </c>
      <c r="M654" t="str">
        <f t="shared" si="32"/>
        <v>Premium</v>
      </c>
    </row>
    <row r="655" spans="1:13" x14ac:dyDescent="0.35">
      <c r="A655">
        <v>654</v>
      </c>
      <c r="B655">
        <v>2796</v>
      </c>
      <c r="C655" t="str">
        <f t="shared" si="30"/>
        <v>Large</v>
      </c>
      <c r="D655">
        <v>5</v>
      </c>
      <c r="E655">
        <v>2</v>
      </c>
      <c r="F655">
        <v>2</v>
      </c>
      <c r="G655">
        <v>1968</v>
      </c>
      <c r="H655" t="str">
        <f t="shared" si="31"/>
        <v>1950-1975</v>
      </c>
      <c r="I655" t="s">
        <v>19</v>
      </c>
      <c r="J655" t="s">
        <v>13</v>
      </c>
      <c r="K655" t="s">
        <v>12</v>
      </c>
      <c r="L655" s="4">
        <v>774091</v>
      </c>
      <c r="M655" t="str">
        <f t="shared" si="32"/>
        <v>Premium</v>
      </c>
    </row>
    <row r="656" spans="1:13" x14ac:dyDescent="0.35">
      <c r="A656">
        <v>655</v>
      </c>
      <c r="B656">
        <v>2761</v>
      </c>
      <c r="C656" t="str">
        <f t="shared" si="30"/>
        <v>Large</v>
      </c>
      <c r="D656">
        <v>3</v>
      </c>
      <c r="E656">
        <v>3</v>
      </c>
      <c r="F656">
        <v>2</v>
      </c>
      <c r="G656">
        <v>1959</v>
      </c>
      <c r="H656" t="str">
        <f t="shared" si="31"/>
        <v>1950-1975</v>
      </c>
      <c r="I656" t="s">
        <v>19</v>
      </c>
      <c r="J656" t="s">
        <v>15</v>
      </c>
      <c r="K656" t="s">
        <v>16</v>
      </c>
      <c r="L656" s="4">
        <v>428824</v>
      </c>
      <c r="M656" t="str">
        <f t="shared" si="32"/>
        <v>High</v>
      </c>
    </row>
    <row r="657" spans="1:13" x14ac:dyDescent="0.35">
      <c r="A657">
        <v>656</v>
      </c>
      <c r="B657">
        <v>2786</v>
      </c>
      <c r="C657" t="str">
        <f t="shared" si="30"/>
        <v>Large</v>
      </c>
      <c r="D657">
        <v>4</v>
      </c>
      <c r="E657">
        <v>2</v>
      </c>
      <c r="F657">
        <v>1</v>
      </c>
      <c r="G657">
        <v>1954</v>
      </c>
      <c r="H657" t="str">
        <f t="shared" si="31"/>
        <v>1950-1975</v>
      </c>
      <c r="I657" t="s">
        <v>14</v>
      </c>
      <c r="J657" t="s">
        <v>15</v>
      </c>
      <c r="K657" t="s">
        <v>12</v>
      </c>
      <c r="L657" s="4">
        <v>319594</v>
      </c>
      <c r="M657" t="str">
        <f t="shared" si="32"/>
        <v>Medium</v>
      </c>
    </row>
    <row r="658" spans="1:13" x14ac:dyDescent="0.35">
      <c r="A658">
        <v>657</v>
      </c>
      <c r="B658">
        <v>4702</v>
      </c>
      <c r="C658" t="str">
        <f t="shared" si="30"/>
        <v>Extra Large</v>
      </c>
      <c r="D658">
        <v>4</v>
      </c>
      <c r="E658">
        <v>4</v>
      </c>
      <c r="F658">
        <v>2</v>
      </c>
      <c r="G658">
        <v>1915</v>
      </c>
      <c r="H658" t="str">
        <f t="shared" si="31"/>
        <v>Pre-1950</v>
      </c>
      <c r="I658" t="s">
        <v>10</v>
      </c>
      <c r="J658" t="s">
        <v>11</v>
      </c>
      <c r="K658" t="s">
        <v>12</v>
      </c>
      <c r="L658" s="4">
        <v>183997</v>
      </c>
      <c r="M658" t="str">
        <f t="shared" si="32"/>
        <v>Low</v>
      </c>
    </row>
    <row r="659" spans="1:13" x14ac:dyDescent="0.35">
      <c r="A659">
        <v>658</v>
      </c>
      <c r="B659">
        <v>3378</v>
      </c>
      <c r="C659" t="str">
        <f t="shared" si="30"/>
        <v>Large</v>
      </c>
      <c r="D659">
        <v>1</v>
      </c>
      <c r="E659">
        <v>3</v>
      </c>
      <c r="F659">
        <v>3</v>
      </c>
      <c r="G659">
        <v>1998</v>
      </c>
      <c r="H659" t="str">
        <f t="shared" si="31"/>
        <v>1976-2000</v>
      </c>
      <c r="I659" t="s">
        <v>19</v>
      </c>
      <c r="J659" t="s">
        <v>11</v>
      </c>
      <c r="K659" t="s">
        <v>12</v>
      </c>
      <c r="L659" s="4">
        <v>523267</v>
      </c>
      <c r="M659" t="str">
        <f t="shared" si="32"/>
        <v>High</v>
      </c>
    </row>
    <row r="660" spans="1:13" x14ac:dyDescent="0.35">
      <c r="A660">
        <v>659</v>
      </c>
      <c r="B660">
        <v>4643</v>
      </c>
      <c r="C660" t="str">
        <f t="shared" si="30"/>
        <v>Extra Large</v>
      </c>
      <c r="D660">
        <v>1</v>
      </c>
      <c r="E660">
        <v>2</v>
      </c>
      <c r="F660">
        <v>1</v>
      </c>
      <c r="G660">
        <v>1989</v>
      </c>
      <c r="H660" t="str">
        <f t="shared" si="31"/>
        <v>1976-2000</v>
      </c>
      <c r="I660" t="s">
        <v>17</v>
      </c>
      <c r="J660" t="s">
        <v>18</v>
      </c>
      <c r="K660" t="s">
        <v>12</v>
      </c>
      <c r="L660" s="4">
        <v>100272</v>
      </c>
      <c r="M660" t="str">
        <f t="shared" si="32"/>
        <v>Low</v>
      </c>
    </row>
    <row r="661" spans="1:13" x14ac:dyDescent="0.35">
      <c r="A661">
        <v>660</v>
      </c>
      <c r="B661">
        <v>4144</v>
      </c>
      <c r="C661" t="str">
        <f t="shared" si="30"/>
        <v>Extra Large</v>
      </c>
      <c r="D661">
        <v>4</v>
      </c>
      <c r="E661">
        <v>4</v>
      </c>
      <c r="F661">
        <v>1</v>
      </c>
      <c r="G661">
        <v>1981</v>
      </c>
      <c r="H661" t="str">
        <f t="shared" si="31"/>
        <v>1976-2000</v>
      </c>
      <c r="I661" t="s">
        <v>17</v>
      </c>
      <c r="J661" t="s">
        <v>11</v>
      </c>
      <c r="K661" t="s">
        <v>16</v>
      </c>
      <c r="L661" s="4">
        <v>55310</v>
      </c>
      <c r="M661" t="str">
        <f t="shared" si="32"/>
        <v>Low</v>
      </c>
    </row>
    <row r="662" spans="1:13" x14ac:dyDescent="0.35">
      <c r="A662">
        <v>661</v>
      </c>
      <c r="B662">
        <v>4932</v>
      </c>
      <c r="C662" t="str">
        <f t="shared" si="30"/>
        <v>Extra Large</v>
      </c>
      <c r="D662">
        <v>2</v>
      </c>
      <c r="E662">
        <v>4</v>
      </c>
      <c r="F662">
        <v>3</v>
      </c>
      <c r="G662">
        <v>1928</v>
      </c>
      <c r="H662" t="str">
        <f t="shared" si="31"/>
        <v>Pre-1950</v>
      </c>
      <c r="I662" t="s">
        <v>17</v>
      </c>
      <c r="J662" t="s">
        <v>13</v>
      </c>
      <c r="K662" t="s">
        <v>12</v>
      </c>
      <c r="L662" s="4">
        <v>81817</v>
      </c>
      <c r="M662" t="str">
        <f t="shared" si="32"/>
        <v>Low</v>
      </c>
    </row>
    <row r="663" spans="1:13" x14ac:dyDescent="0.35">
      <c r="A663">
        <v>662</v>
      </c>
      <c r="B663">
        <v>2555</v>
      </c>
      <c r="C663" t="str">
        <f t="shared" si="30"/>
        <v>Large</v>
      </c>
      <c r="D663">
        <v>3</v>
      </c>
      <c r="E663">
        <v>3</v>
      </c>
      <c r="F663">
        <v>3</v>
      </c>
      <c r="G663">
        <v>1922</v>
      </c>
      <c r="H663" t="str">
        <f t="shared" si="31"/>
        <v>Pre-1950</v>
      </c>
      <c r="I663" t="s">
        <v>17</v>
      </c>
      <c r="J663" t="s">
        <v>15</v>
      </c>
      <c r="K663" t="s">
        <v>12</v>
      </c>
      <c r="L663" s="4">
        <v>558350</v>
      </c>
      <c r="M663" t="str">
        <f t="shared" si="32"/>
        <v>High</v>
      </c>
    </row>
    <row r="664" spans="1:13" x14ac:dyDescent="0.35">
      <c r="A664">
        <v>663</v>
      </c>
      <c r="B664">
        <v>1776</v>
      </c>
      <c r="C664" t="str">
        <f t="shared" si="30"/>
        <v>Medium</v>
      </c>
      <c r="D664">
        <v>1</v>
      </c>
      <c r="E664">
        <v>4</v>
      </c>
      <c r="F664">
        <v>3</v>
      </c>
      <c r="G664">
        <v>2016</v>
      </c>
      <c r="H664" t="str">
        <f t="shared" si="31"/>
        <v>Post-2000</v>
      </c>
      <c r="I664" t="s">
        <v>19</v>
      </c>
      <c r="J664" t="s">
        <v>15</v>
      </c>
      <c r="K664" t="s">
        <v>12</v>
      </c>
      <c r="L664" s="4">
        <v>536160</v>
      </c>
      <c r="M664" t="str">
        <f t="shared" si="32"/>
        <v>High</v>
      </c>
    </row>
    <row r="665" spans="1:13" x14ac:dyDescent="0.35">
      <c r="A665">
        <v>664</v>
      </c>
      <c r="B665">
        <v>3266</v>
      </c>
      <c r="C665" t="str">
        <f t="shared" si="30"/>
        <v>Large</v>
      </c>
      <c r="D665">
        <v>2</v>
      </c>
      <c r="E665">
        <v>1</v>
      </c>
      <c r="F665">
        <v>1</v>
      </c>
      <c r="G665">
        <v>1913</v>
      </c>
      <c r="H665" t="str">
        <f t="shared" si="31"/>
        <v>Pre-1950</v>
      </c>
      <c r="I665" t="s">
        <v>14</v>
      </c>
      <c r="J665" t="s">
        <v>11</v>
      </c>
      <c r="K665" t="s">
        <v>16</v>
      </c>
      <c r="L665" s="4">
        <v>487744</v>
      </c>
      <c r="M665" t="str">
        <f t="shared" si="32"/>
        <v>High</v>
      </c>
    </row>
    <row r="666" spans="1:13" x14ac:dyDescent="0.35">
      <c r="A666">
        <v>665</v>
      </c>
      <c r="B666">
        <v>802</v>
      </c>
      <c r="C666" t="str">
        <f t="shared" si="30"/>
        <v>Small</v>
      </c>
      <c r="D666">
        <v>5</v>
      </c>
      <c r="E666">
        <v>2</v>
      </c>
      <c r="F666">
        <v>3</v>
      </c>
      <c r="G666">
        <v>1978</v>
      </c>
      <c r="H666" t="str">
        <f t="shared" si="31"/>
        <v>1976-2000</v>
      </c>
      <c r="I666" t="s">
        <v>14</v>
      </c>
      <c r="J666" t="s">
        <v>18</v>
      </c>
      <c r="K666" t="s">
        <v>12</v>
      </c>
      <c r="L666" s="4">
        <v>790176</v>
      </c>
      <c r="M666" t="str">
        <f t="shared" si="32"/>
        <v>Premium</v>
      </c>
    </row>
    <row r="667" spans="1:13" x14ac:dyDescent="0.35">
      <c r="A667">
        <v>666</v>
      </c>
      <c r="B667">
        <v>1138</v>
      </c>
      <c r="C667" t="str">
        <f t="shared" si="30"/>
        <v>Medium</v>
      </c>
      <c r="D667">
        <v>1</v>
      </c>
      <c r="E667">
        <v>2</v>
      </c>
      <c r="F667">
        <v>3</v>
      </c>
      <c r="G667">
        <v>1948</v>
      </c>
      <c r="H667" t="str">
        <f t="shared" si="31"/>
        <v>Pre-1950</v>
      </c>
      <c r="I667" t="s">
        <v>17</v>
      </c>
      <c r="J667" t="s">
        <v>11</v>
      </c>
      <c r="K667" t="s">
        <v>16</v>
      </c>
      <c r="L667" s="4">
        <v>132641</v>
      </c>
      <c r="M667" t="str">
        <f t="shared" si="32"/>
        <v>Low</v>
      </c>
    </row>
    <row r="668" spans="1:13" x14ac:dyDescent="0.35">
      <c r="A668">
        <v>667</v>
      </c>
      <c r="B668">
        <v>555</v>
      </c>
      <c r="C668" t="str">
        <f t="shared" si="30"/>
        <v>Small</v>
      </c>
      <c r="D668">
        <v>2</v>
      </c>
      <c r="E668">
        <v>4</v>
      </c>
      <c r="F668">
        <v>2</v>
      </c>
      <c r="G668">
        <v>1932</v>
      </c>
      <c r="H668" t="str">
        <f t="shared" si="31"/>
        <v>Pre-1950</v>
      </c>
      <c r="I668" t="s">
        <v>14</v>
      </c>
      <c r="J668" t="s">
        <v>18</v>
      </c>
      <c r="K668" t="s">
        <v>16</v>
      </c>
      <c r="L668" s="4">
        <v>789443</v>
      </c>
      <c r="M668" t="str">
        <f t="shared" si="32"/>
        <v>Premium</v>
      </c>
    </row>
    <row r="669" spans="1:13" x14ac:dyDescent="0.35">
      <c r="A669">
        <v>668</v>
      </c>
      <c r="B669">
        <v>1025</v>
      </c>
      <c r="C669" t="str">
        <f t="shared" si="30"/>
        <v>Medium</v>
      </c>
      <c r="D669">
        <v>2</v>
      </c>
      <c r="E669">
        <v>4</v>
      </c>
      <c r="F669">
        <v>2</v>
      </c>
      <c r="G669">
        <v>1924</v>
      </c>
      <c r="H669" t="str">
        <f t="shared" si="31"/>
        <v>Pre-1950</v>
      </c>
      <c r="I669" t="s">
        <v>17</v>
      </c>
      <c r="J669" t="s">
        <v>13</v>
      </c>
      <c r="K669" t="s">
        <v>16</v>
      </c>
      <c r="L669" s="4">
        <v>781670</v>
      </c>
      <c r="M669" t="str">
        <f t="shared" si="32"/>
        <v>Premium</v>
      </c>
    </row>
    <row r="670" spans="1:13" x14ac:dyDescent="0.35">
      <c r="A670">
        <v>669</v>
      </c>
      <c r="B670">
        <v>4623</v>
      </c>
      <c r="C670" t="str">
        <f t="shared" si="30"/>
        <v>Extra Large</v>
      </c>
      <c r="D670">
        <v>3</v>
      </c>
      <c r="E670">
        <v>1</v>
      </c>
      <c r="F670">
        <v>1</v>
      </c>
      <c r="G670">
        <v>1920</v>
      </c>
      <c r="H670" t="str">
        <f t="shared" si="31"/>
        <v>Pre-1950</v>
      </c>
      <c r="I670" t="s">
        <v>17</v>
      </c>
      <c r="J670" t="s">
        <v>15</v>
      </c>
      <c r="K670" t="s">
        <v>16</v>
      </c>
      <c r="L670" s="4">
        <v>589745</v>
      </c>
      <c r="M670" t="str">
        <f t="shared" si="32"/>
        <v>High</v>
      </c>
    </row>
    <row r="671" spans="1:13" x14ac:dyDescent="0.35">
      <c r="A671">
        <v>670</v>
      </c>
      <c r="B671">
        <v>2625</v>
      </c>
      <c r="C671" t="str">
        <f t="shared" si="30"/>
        <v>Large</v>
      </c>
      <c r="D671">
        <v>3</v>
      </c>
      <c r="E671">
        <v>3</v>
      </c>
      <c r="F671">
        <v>2</v>
      </c>
      <c r="G671">
        <v>1916</v>
      </c>
      <c r="H671" t="str">
        <f t="shared" si="31"/>
        <v>Pre-1950</v>
      </c>
      <c r="I671" t="s">
        <v>10</v>
      </c>
      <c r="J671" t="s">
        <v>13</v>
      </c>
      <c r="K671" t="s">
        <v>12</v>
      </c>
      <c r="L671" s="4">
        <v>92311</v>
      </c>
      <c r="M671" t="str">
        <f t="shared" si="32"/>
        <v>Low</v>
      </c>
    </row>
    <row r="672" spans="1:13" x14ac:dyDescent="0.35">
      <c r="A672">
        <v>671</v>
      </c>
      <c r="B672">
        <v>3787</v>
      </c>
      <c r="C672" t="str">
        <f t="shared" si="30"/>
        <v>Large</v>
      </c>
      <c r="D672">
        <v>5</v>
      </c>
      <c r="E672">
        <v>4</v>
      </c>
      <c r="F672">
        <v>2</v>
      </c>
      <c r="G672">
        <v>1922</v>
      </c>
      <c r="H672" t="str">
        <f t="shared" si="31"/>
        <v>Pre-1950</v>
      </c>
      <c r="I672" t="s">
        <v>19</v>
      </c>
      <c r="J672" t="s">
        <v>15</v>
      </c>
      <c r="K672" t="s">
        <v>16</v>
      </c>
      <c r="L672" s="4">
        <v>971484</v>
      </c>
      <c r="M672" t="str">
        <f t="shared" si="32"/>
        <v>Premium</v>
      </c>
    </row>
    <row r="673" spans="1:13" x14ac:dyDescent="0.35">
      <c r="A673">
        <v>672</v>
      </c>
      <c r="B673">
        <v>864</v>
      </c>
      <c r="C673" t="str">
        <f t="shared" si="30"/>
        <v>Small</v>
      </c>
      <c r="D673">
        <v>2</v>
      </c>
      <c r="E673">
        <v>4</v>
      </c>
      <c r="F673">
        <v>3</v>
      </c>
      <c r="G673">
        <v>1956</v>
      </c>
      <c r="H673" t="str">
        <f t="shared" si="31"/>
        <v>1950-1975</v>
      </c>
      <c r="I673" t="s">
        <v>19</v>
      </c>
      <c r="J673" t="s">
        <v>13</v>
      </c>
      <c r="K673" t="s">
        <v>16</v>
      </c>
      <c r="L673" s="4">
        <v>201958</v>
      </c>
      <c r="M673" t="str">
        <f t="shared" si="32"/>
        <v>Medium</v>
      </c>
    </row>
    <row r="674" spans="1:13" x14ac:dyDescent="0.35">
      <c r="A674">
        <v>673</v>
      </c>
      <c r="B674">
        <v>2146</v>
      </c>
      <c r="C674" t="str">
        <f t="shared" si="30"/>
        <v>Medium</v>
      </c>
      <c r="D674">
        <v>2</v>
      </c>
      <c r="E674">
        <v>4</v>
      </c>
      <c r="F674">
        <v>3</v>
      </c>
      <c r="G674">
        <v>2006</v>
      </c>
      <c r="H674" t="str">
        <f t="shared" si="31"/>
        <v>Post-2000</v>
      </c>
      <c r="I674" t="s">
        <v>17</v>
      </c>
      <c r="J674" t="s">
        <v>11</v>
      </c>
      <c r="K674" t="s">
        <v>16</v>
      </c>
      <c r="L674" s="4">
        <v>520328</v>
      </c>
      <c r="M674" t="str">
        <f t="shared" si="32"/>
        <v>High</v>
      </c>
    </row>
    <row r="675" spans="1:13" x14ac:dyDescent="0.35">
      <c r="A675">
        <v>674</v>
      </c>
      <c r="B675">
        <v>1418</v>
      </c>
      <c r="C675" t="str">
        <f t="shared" si="30"/>
        <v>Medium</v>
      </c>
      <c r="D675">
        <v>3</v>
      </c>
      <c r="E675">
        <v>4</v>
      </c>
      <c r="F675">
        <v>2</v>
      </c>
      <c r="G675">
        <v>1980</v>
      </c>
      <c r="H675" t="str">
        <f t="shared" si="31"/>
        <v>1976-2000</v>
      </c>
      <c r="I675" t="s">
        <v>19</v>
      </c>
      <c r="J675" t="s">
        <v>13</v>
      </c>
      <c r="K675" t="s">
        <v>16</v>
      </c>
      <c r="L675" s="4">
        <v>494093</v>
      </c>
      <c r="M675" t="str">
        <f t="shared" si="32"/>
        <v>High</v>
      </c>
    </row>
    <row r="676" spans="1:13" x14ac:dyDescent="0.35">
      <c r="A676">
        <v>675</v>
      </c>
      <c r="B676">
        <v>3297</v>
      </c>
      <c r="C676" t="str">
        <f t="shared" si="30"/>
        <v>Large</v>
      </c>
      <c r="D676">
        <v>1</v>
      </c>
      <c r="E676">
        <v>2</v>
      </c>
      <c r="F676">
        <v>2</v>
      </c>
      <c r="G676">
        <v>1957</v>
      </c>
      <c r="H676" t="str">
        <f t="shared" si="31"/>
        <v>1950-1975</v>
      </c>
      <c r="I676" t="s">
        <v>14</v>
      </c>
      <c r="J676" t="s">
        <v>13</v>
      </c>
      <c r="K676" t="s">
        <v>16</v>
      </c>
      <c r="L676" s="4">
        <v>697861</v>
      </c>
      <c r="M676" t="str">
        <f t="shared" si="32"/>
        <v>Premium</v>
      </c>
    </row>
    <row r="677" spans="1:13" x14ac:dyDescent="0.35">
      <c r="A677">
        <v>676</v>
      </c>
      <c r="B677">
        <v>2031</v>
      </c>
      <c r="C677" t="str">
        <f t="shared" si="30"/>
        <v>Medium</v>
      </c>
      <c r="D677">
        <v>1</v>
      </c>
      <c r="E677">
        <v>4</v>
      </c>
      <c r="F677">
        <v>2</v>
      </c>
      <c r="G677">
        <v>1913</v>
      </c>
      <c r="H677" t="str">
        <f t="shared" si="31"/>
        <v>Pre-1950</v>
      </c>
      <c r="I677" t="s">
        <v>17</v>
      </c>
      <c r="J677" t="s">
        <v>11</v>
      </c>
      <c r="K677" t="s">
        <v>12</v>
      </c>
      <c r="L677" s="4">
        <v>409571</v>
      </c>
      <c r="M677" t="str">
        <f t="shared" si="32"/>
        <v>High</v>
      </c>
    </row>
    <row r="678" spans="1:13" x14ac:dyDescent="0.35">
      <c r="A678">
        <v>677</v>
      </c>
      <c r="B678">
        <v>3845</v>
      </c>
      <c r="C678" t="str">
        <f t="shared" si="30"/>
        <v>Large</v>
      </c>
      <c r="D678">
        <v>4</v>
      </c>
      <c r="E678">
        <v>2</v>
      </c>
      <c r="F678">
        <v>1</v>
      </c>
      <c r="G678">
        <v>1992</v>
      </c>
      <c r="H678" t="str">
        <f t="shared" si="31"/>
        <v>1976-2000</v>
      </c>
      <c r="I678" t="s">
        <v>10</v>
      </c>
      <c r="J678" t="s">
        <v>15</v>
      </c>
      <c r="K678" t="s">
        <v>16</v>
      </c>
      <c r="L678" s="4">
        <v>872613</v>
      </c>
      <c r="M678" t="str">
        <f t="shared" si="32"/>
        <v>Premium</v>
      </c>
    </row>
    <row r="679" spans="1:13" x14ac:dyDescent="0.35">
      <c r="A679">
        <v>678</v>
      </c>
      <c r="B679">
        <v>2406</v>
      </c>
      <c r="C679" t="str">
        <f t="shared" si="30"/>
        <v>Medium</v>
      </c>
      <c r="D679">
        <v>3</v>
      </c>
      <c r="E679">
        <v>4</v>
      </c>
      <c r="F679">
        <v>1</v>
      </c>
      <c r="G679">
        <v>1919</v>
      </c>
      <c r="H679" t="str">
        <f t="shared" si="31"/>
        <v>Pre-1950</v>
      </c>
      <c r="I679" t="s">
        <v>14</v>
      </c>
      <c r="J679" t="s">
        <v>15</v>
      </c>
      <c r="K679" t="s">
        <v>12</v>
      </c>
      <c r="L679" s="4">
        <v>214334</v>
      </c>
      <c r="M679" t="str">
        <f t="shared" si="32"/>
        <v>Medium</v>
      </c>
    </row>
    <row r="680" spans="1:13" x14ac:dyDescent="0.35">
      <c r="A680">
        <v>679</v>
      </c>
      <c r="B680">
        <v>3586</v>
      </c>
      <c r="C680" t="str">
        <f t="shared" si="30"/>
        <v>Large</v>
      </c>
      <c r="D680">
        <v>4</v>
      </c>
      <c r="E680">
        <v>3</v>
      </c>
      <c r="F680">
        <v>1</v>
      </c>
      <c r="G680">
        <v>1929</v>
      </c>
      <c r="H680" t="str">
        <f t="shared" si="31"/>
        <v>Pre-1950</v>
      </c>
      <c r="I680" t="s">
        <v>10</v>
      </c>
      <c r="J680" t="s">
        <v>11</v>
      </c>
      <c r="K680" t="s">
        <v>12</v>
      </c>
      <c r="L680" s="4">
        <v>968451</v>
      </c>
      <c r="M680" t="str">
        <f t="shared" si="32"/>
        <v>Premium</v>
      </c>
    </row>
    <row r="681" spans="1:13" x14ac:dyDescent="0.35">
      <c r="A681">
        <v>680</v>
      </c>
      <c r="B681">
        <v>2575</v>
      </c>
      <c r="C681" t="str">
        <f t="shared" si="30"/>
        <v>Large</v>
      </c>
      <c r="D681">
        <v>3</v>
      </c>
      <c r="E681">
        <v>1</v>
      </c>
      <c r="F681">
        <v>2</v>
      </c>
      <c r="G681">
        <v>1918</v>
      </c>
      <c r="H681" t="str">
        <f t="shared" si="31"/>
        <v>Pre-1950</v>
      </c>
      <c r="I681" t="s">
        <v>10</v>
      </c>
      <c r="J681" t="s">
        <v>13</v>
      </c>
      <c r="K681" t="s">
        <v>16</v>
      </c>
      <c r="L681" s="4">
        <v>443238</v>
      </c>
      <c r="M681" t="str">
        <f t="shared" si="32"/>
        <v>High</v>
      </c>
    </row>
    <row r="682" spans="1:13" x14ac:dyDescent="0.35">
      <c r="A682">
        <v>681</v>
      </c>
      <c r="B682">
        <v>1213</v>
      </c>
      <c r="C682" t="str">
        <f t="shared" si="30"/>
        <v>Medium</v>
      </c>
      <c r="D682">
        <v>5</v>
      </c>
      <c r="E682">
        <v>3</v>
      </c>
      <c r="F682">
        <v>2</v>
      </c>
      <c r="G682">
        <v>1952</v>
      </c>
      <c r="H682" t="str">
        <f t="shared" si="31"/>
        <v>1950-1975</v>
      </c>
      <c r="I682" t="s">
        <v>19</v>
      </c>
      <c r="J682" t="s">
        <v>13</v>
      </c>
      <c r="K682" t="s">
        <v>12</v>
      </c>
      <c r="L682" s="4">
        <v>837560</v>
      </c>
      <c r="M682" t="str">
        <f t="shared" si="32"/>
        <v>Premium</v>
      </c>
    </row>
    <row r="683" spans="1:13" x14ac:dyDescent="0.35">
      <c r="A683">
        <v>682</v>
      </c>
      <c r="B683">
        <v>1562</v>
      </c>
      <c r="C683" t="str">
        <f t="shared" si="30"/>
        <v>Medium</v>
      </c>
      <c r="D683">
        <v>2</v>
      </c>
      <c r="E683">
        <v>4</v>
      </c>
      <c r="F683">
        <v>1</v>
      </c>
      <c r="G683">
        <v>2002</v>
      </c>
      <c r="H683" t="str">
        <f t="shared" si="31"/>
        <v>Post-2000</v>
      </c>
      <c r="I683" t="s">
        <v>19</v>
      </c>
      <c r="J683" t="s">
        <v>13</v>
      </c>
      <c r="K683" t="s">
        <v>12</v>
      </c>
      <c r="L683" s="4">
        <v>653810</v>
      </c>
      <c r="M683" t="str">
        <f t="shared" si="32"/>
        <v>Premium</v>
      </c>
    </row>
    <row r="684" spans="1:13" x14ac:dyDescent="0.35">
      <c r="A684">
        <v>683</v>
      </c>
      <c r="B684">
        <v>2476</v>
      </c>
      <c r="C684" t="str">
        <f t="shared" si="30"/>
        <v>Medium</v>
      </c>
      <c r="D684">
        <v>5</v>
      </c>
      <c r="E684">
        <v>4</v>
      </c>
      <c r="F684">
        <v>1</v>
      </c>
      <c r="G684">
        <v>1955</v>
      </c>
      <c r="H684" t="str">
        <f t="shared" si="31"/>
        <v>1950-1975</v>
      </c>
      <c r="I684" t="s">
        <v>17</v>
      </c>
      <c r="J684" t="s">
        <v>18</v>
      </c>
      <c r="K684" t="s">
        <v>12</v>
      </c>
      <c r="L684" s="4">
        <v>213394</v>
      </c>
      <c r="M684" t="str">
        <f t="shared" si="32"/>
        <v>Medium</v>
      </c>
    </row>
    <row r="685" spans="1:13" x14ac:dyDescent="0.35">
      <c r="A685">
        <v>684</v>
      </c>
      <c r="B685">
        <v>1796</v>
      </c>
      <c r="C685" t="str">
        <f t="shared" si="30"/>
        <v>Medium</v>
      </c>
      <c r="D685">
        <v>3</v>
      </c>
      <c r="E685">
        <v>4</v>
      </c>
      <c r="F685">
        <v>2</v>
      </c>
      <c r="G685">
        <v>1976</v>
      </c>
      <c r="H685" t="str">
        <f t="shared" si="31"/>
        <v>1976-2000</v>
      </c>
      <c r="I685" t="s">
        <v>19</v>
      </c>
      <c r="J685" t="s">
        <v>15</v>
      </c>
      <c r="K685" t="s">
        <v>16</v>
      </c>
      <c r="L685" s="4">
        <v>98929</v>
      </c>
      <c r="M685" t="str">
        <f t="shared" si="32"/>
        <v>Low</v>
      </c>
    </row>
    <row r="686" spans="1:13" x14ac:dyDescent="0.35">
      <c r="A686">
        <v>685</v>
      </c>
      <c r="B686">
        <v>625</v>
      </c>
      <c r="C686" t="str">
        <f t="shared" si="30"/>
        <v>Small</v>
      </c>
      <c r="D686">
        <v>2</v>
      </c>
      <c r="E686">
        <v>3</v>
      </c>
      <c r="F686">
        <v>3</v>
      </c>
      <c r="G686">
        <v>1981</v>
      </c>
      <c r="H686" t="str">
        <f t="shared" si="31"/>
        <v>1976-2000</v>
      </c>
      <c r="I686" t="s">
        <v>10</v>
      </c>
      <c r="J686" t="s">
        <v>13</v>
      </c>
      <c r="K686" t="s">
        <v>16</v>
      </c>
      <c r="L686" s="4">
        <v>655984</v>
      </c>
      <c r="M686" t="str">
        <f t="shared" si="32"/>
        <v>Premium</v>
      </c>
    </row>
    <row r="687" spans="1:13" x14ac:dyDescent="0.35">
      <c r="A687">
        <v>686</v>
      </c>
      <c r="B687">
        <v>4096</v>
      </c>
      <c r="C687" t="str">
        <f t="shared" si="30"/>
        <v>Extra Large</v>
      </c>
      <c r="D687">
        <v>1</v>
      </c>
      <c r="E687">
        <v>4</v>
      </c>
      <c r="F687">
        <v>1</v>
      </c>
      <c r="G687">
        <v>1922</v>
      </c>
      <c r="H687" t="str">
        <f t="shared" si="31"/>
        <v>Pre-1950</v>
      </c>
      <c r="I687" t="s">
        <v>10</v>
      </c>
      <c r="J687" t="s">
        <v>15</v>
      </c>
      <c r="K687" t="s">
        <v>16</v>
      </c>
      <c r="L687" s="4">
        <v>427389</v>
      </c>
      <c r="M687" t="str">
        <f t="shared" si="32"/>
        <v>High</v>
      </c>
    </row>
    <row r="688" spans="1:13" x14ac:dyDescent="0.35">
      <c r="A688">
        <v>687</v>
      </c>
      <c r="B688">
        <v>3783</v>
      </c>
      <c r="C688" t="str">
        <f t="shared" si="30"/>
        <v>Large</v>
      </c>
      <c r="D688">
        <v>1</v>
      </c>
      <c r="E688">
        <v>3</v>
      </c>
      <c r="F688">
        <v>2</v>
      </c>
      <c r="G688">
        <v>1961</v>
      </c>
      <c r="H688" t="str">
        <f t="shared" si="31"/>
        <v>1950-1975</v>
      </c>
      <c r="I688" t="s">
        <v>14</v>
      </c>
      <c r="J688" t="s">
        <v>13</v>
      </c>
      <c r="K688" t="s">
        <v>16</v>
      </c>
      <c r="L688" s="4">
        <v>846240</v>
      </c>
      <c r="M688" t="str">
        <f t="shared" si="32"/>
        <v>Premium</v>
      </c>
    </row>
    <row r="689" spans="1:13" x14ac:dyDescent="0.35">
      <c r="A689">
        <v>688</v>
      </c>
      <c r="B689">
        <v>2103</v>
      </c>
      <c r="C689" t="str">
        <f t="shared" si="30"/>
        <v>Medium</v>
      </c>
      <c r="D689">
        <v>4</v>
      </c>
      <c r="E689">
        <v>2</v>
      </c>
      <c r="F689">
        <v>2</v>
      </c>
      <c r="G689">
        <v>2009</v>
      </c>
      <c r="H689" t="str">
        <f t="shared" si="31"/>
        <v>Post-2000</v>
      </c>
      <c r="I689" t="s">
        <v>10</v>
      </c>
      <c r="J689" t="s">
        <v>11</v>
      </c>
      <c r="K689" t="s">
        <v>16</v>
      </c>
      <c r="L689" s="4">
        <v>669436</v>
      </c>
      <c r="M689" t="str">
        <f t="shared" si="32"/>
        <v>Premium</v>
      </c>
    </row>
    <row r="690" spans="1:13" x14ac:dyDescent="0.35">
      <c r="A690">
        <v>689</v>
      </c>
      <c r="B690">
        <v>566</v>
      </c>
      <c r="C690" t="str">
        <f t="shared" si="30"/>
        <v>Small</v>
      </c>
      <c r="D690">
        <v>3</v>
      </c>
      <c r="E690">
        <v>1</v>
      </c>
      <c r="F690">
        <v>3</v>
      </c>
      <c r="G690">
        <v>1932</v>
      </c>
      <c r="H690" t="str">
        <f t="shared" si="31"/>
        <v>Pre-1950</v>
      </c>
      <c r="I690" t="s">
        <v>17</v>
      </c>
      <c r="J690" t="s">
        <v>11</v>
      </c>
      <c r="K690" t="s">
        <v>16</v>
      </c>
      <c r="L690" s="4">
        <v>496098</v>
      </c>
      <c r="M690" t="str">
        <f t="shared" si="32"/>
        <v>High</v>
      </c>
    </row>
    <row r="691" spans="1:13" x14ac:dyDescent="0.35">
      <c r="A691">
        <v>690</v>
      </c>
      <c r="B691">
        <v>732</v>
      </c>
      <c r="C691" t="str">
        <f t="shared" si="30"/>
        <v>Small</v>
      </c>
      <c r="D691">
        <v>3</v>
      </c>
      <c r="E691">
        <v>1</v>
      </c>
      <c r="F691">
        <v>2</v>
      </c>
      <c r="G691">
        <v>2002</v>
      </c>
      <c r="H691" t="str">
        <f t="shared" si="31"/>
        <v>Post-2000</v>
      </c>
      <c r="I691" t="s">
        <v>17</v>
      </c>
      <c r="J691" t="s">
        <v>15</v>
      </c>
      <c r="K691" t="s">
        <v>16</v>
      </c>
      <c r="L691" s="4">
        <v>858157</v>
      </c>
      <c r="M691" t="str">
        <f t="shared" si="32"/>
        <v>Premium</v>
      </c>
    </row>
    <row r="692" spans="1:13" x14ac:dyDescent="0.35">
      <c r="A692">
        <v>691</v>
      </c>
      <c r="B692">
        <v>2656</v>
      </c>
      <c r="C692" t="str">
        <f t="shared" si="30"/>
        <v>Large</v>
      </c>
      <c r="D692">
        <v>1</v>
      </c>
      <c r="E692">
        <v>3</v>
      </c>
      <c r="F692">
        <v>2</v>
      </c>
      <c r="G692">
        <v>2003</v>
      </c>
      <c r="H692" t="str">
        <f t="shared" si="31"/>
        <v>Post-2000</v>
      </c>
      <c r="I692" t="s">
        <v>19</v>
      </c>
      <c r="J692" t="s">
        <v>15</v>
      </c>
      <c r="K692" t="s">
        <v>12</v>
      </c>
      <c r="L692" s="4">
        <v>384678</v>
      </c>
      <c r="M692" t="str">
        <f t="shared" si="32"/>
        <v>Medium</v>
      </c>
    </row>
    <row r="693" spans="1:13" x14ac:dyDescent="0.35">
      <c r="A693">
        <v>692</v>
      </c>
      <c r="B693">
        <v>1669</v>
      </c>
      <c r="C693" t="str">
        <f t="shared" si="30"/>
        <v>Medium</v>
      </c>
      <c r="D693">
        <v>5</v>
      </c>
      <c r="E693">
        <v>2</v>
      </c>
      <c r="F693">
        <v>1</v>
      </c>
      <c r="G693">
        <v>1917</v>
      </c>
      <c r="H693" t="str">
        <f t="shared" si="31"/>
        <v>Pre-1950</v>
      </c>
      <c r="I693" t="s">
        <v>19</v>
      </c>
      <c r="J693" t="s">
        <v>11</v>
      </c>
      <c r="K693" t="s">
        <v>12</v>
      </c>
      <c r="L693" s="4">
        <v>352094</v>
      </c>
      <c r="M693" t="str">
        <f t="shared" si="32"/>
        <v>Medium</v>
      </c>
    </row>
    <row r="694" spans="1:13" x14ac:dyDescent="0.35">
      <c r="A694">
        <v>693</v>
      </c>
      <c r="B694">
        <v>2658</v>
      </c>
      <c r="C694" t="str">
        <f t="shared" si="30"/>
        <v>Large</v>
      </c>
      <c r="D694">
        <v>2</v>
      </c>
      <c r="E694">
        <v>3</v>
      </c>
      <c r="F694">
        <v>1</v>
      </c>
      <c r="G694">
        <v>1972</v>
      </c>
      <c r="H694" t="str">
        <f t="shared" si="31"/>
        <v>1950-1975</v>
      </c>
      <c r="I694" t="s">
        <v>19</v>
      </c>
      <c r="J694" t="s">
        <v>18</v>
      </c>
      <c r="K694" t="s">
        <v>16</v>
      </c>
      <c r="L694" s="4">
        <v>794314</v>
      </c>
      <c r="M694" t="str">
        <f t="shared" si="32"/>
        <v>Premium</v>
      </c>
    </row>
    <row r="695" spans="1:13" x14ac:dyDescent="0.35">
      <c r="A695">
        <v>694</v>
      </c>
      <c r="B695">
        <v>4706</v>
      </c>
      <c r="C695" t="str">
        <f t="shared" si="30"/>
        <v>Extra Large</v>
      </c>
      <c r="D695">
        <v>5</v>
      </c>
      <c r="E695">
        <v>2</v>
      </c>
      <c r="F695">
        <v>3</v>
      </c>
      <c r="G695">
        <v>1932</v>
      </c>
      <c r="H695" t="str">
        <f t="shared" si="31"/>
        <v>Pre-1950</v>
      </c>
      <c r="I695" t="s">
        <v>17</v>
      </c>
      <c r="J695" t="s">
        <v>11</v>
      </c>
      <c r="K695" t="s">
        <v>12</v>
      </c>
      <c r="L695" s="4">
        <v>133576</v>
      </c>
      <c r="M695" t="str">
        <f t="shared" si="32"/>
        <v>Low</v>
      </c>
    </row>
    <row r="696" spans="1:13" x14ac:dyDescent="0.35">
      <c r="A696">
        <v>695</v>
      </c>
      <c r="B696">
        <v>1993</v>
      </c>
      <c r="C696" t="str">
        <f t="shared" si="30"/>
        <v>Medium</v>
      </c>
      <c r="D696">
        <v>5</v>
      </c>
      <c r="E696">
        <v>4</v>
      </c>
      <c r="F696">
        <v>3</v>
      </c>
      <c r="G696">
        <v>1931</v>
      </c>
      <c r="H696" t="str">
        <f t="shared" si="31"/>
        <v>Pre-1950</v>
      </c>
      <c r="I696" t="s">
        <v>10</v>
      </c>
      <c r="J696" t="s">
        <v>13</v>
      </c>
      <c r="K696" t="s">
        <v>16</v>
      </c>
      <c r="L696" s="4">
        <v>70557</v>
      </c>
      <c r="M696" t="str">
        <f t="shared" si="32"/>
        <v>Low</v>
      </c>
    </row>
    <row r="697" spans="1:13" x14ac:dyDescent="0.35">
      <c r="A697">
        <v>696</v>
      </c>
      <c r="B697">
        <v>4507</v>
      </c>
      <c r="C697" t="str">
        <f t="shared" si="30"/>
        <v>Extra Large</v>
      </c>
      <c r="D697">
        <v>1</v>
      </c>
      <c r="E697">
        <v>2</v>
      </c>
      <c r="F697">
        <v>2</v>
      </c>
      <c r="G697">
        <v>1960</v>
      </c>
      <c r="H697" t="str">
        <f t="shared" si="31"/>
        <v>1950-1975</v>
      </c>
      <c r="I697" t="s">
        <v>19</v>
      </c>
      <c r="J697" t="s">
        <v>18</v>
      </c>
      <c r="K697" t="s">
        <v>16</v>
      </c>
      <c r="L697" s="4">
        <v>596113</v>
      </c>
      <c r="M697" t="str">
        <f t="shared" si="32"/>
        <v>High</v>
      </c>
    </row>
    <row r="698" spans="1:13" x14ac:dyDescent="0.35">
      <c r="A698">
        <v>697</v>
      </c>
      <c r="B698">
        <v>2972</v>
      </c>
      <c r="C698" t="str">
        <f t="shared" si="30"/>
        <v>Large</v>
      </c>
      <c r="D698">
        <v>1</v>
      </c>
      <c r="E698">
        <v>2</v>
      </c>
      <c r="F698">
        <v>1</v>
      </c>
      <c r="G698">
        <v>1953</v>
      </c>
      <c r="H698" t="str">
        <f t="shared" si="31"/>
        <v>1950-1975</v>
      </c>
      <c r="I698" t="s">
        <v>14</v>
      </c>
      <c r="J698" t="s">
        <v>11</v>
      </c>
      <c r="K698" t="s">
        <v>16</v>
      </c>
      <c r="L698" s="4">
        <v>321142</v>
      </c>
      <c r="M698" t="str">
        <f t="shared" si="32"/>
        <v>Medium</v>
      </c>
    </row>
    <row r="699" spans="1:13" x14ac:dyDescent="0.35">
      <c r="A699">
        <v>698</v>
      </c>
      <c r="B699">
        <v>3160</v>
      </c>
      <c r="C699" t="str">
        <f t="shared" si="30"/>
        <v>Large</v>
      </c>
      <c r="D699">
        <v>1</v>
      </c>
      <c r="E699">
        <v>2</v>
      </c>
      <c r="F699">
        <v>3</v>
      </c>
      <c r="G699">
        <v>1916</v>
      </c>
      <c r="H699" t="str">
        <f t="shared" si="31"/>
        <v>Pre-1950</v>
      </c>
      <c r="I699" t="s">
        <v>19</v>
      </c>
      <c r="J699" t="s">
        <v>18</v>
      </c>
      <c r="K699" t="s">
        <v>12</v>
      </c>
      <c r="L699" s="4">
        <v>86080</v>
      </c>
      <c r="M699" t="str">
        <f t="shared" si="32"/>
        <v>Low</v>
      </c>
    </row>
    <row r="700" spans="1:13" x14ac:dyDescent="0.35">
      <c r="A700">
        <v>699</v>
      </c>
      <c r="B700">
        <v>3239</v>
      </c>
      <c r="C700" t="str">
        <f t="shared" si="30"/>
        <v>Large</v>
      </c>
      <c r="D700">
        <v>4</v>
      </c>
      <c r="E700">
        <v>1</v>
      </c>
      <c r="F700">
        <v>3</v>
      </c>
      <c r="G700">
        <v>1918</v>
      </c>
      <c r="H700" t="str">
        <f t="shared" si="31"/>
        <v>Pre-1950</v>
      </c>
      <c r="I700" t="s">
        <v>17</v>
      </c>
      <c r="J700" t="s">
        <v>18</v>
      </c>
      <c r="K700" t="s">
        <v>16</v>
      </c>
      <c r="L700" s="4">
        <v>833103</v>
      </c>
      <c r="M700" t="str">
        <f t="shared" si="32"/>
        <v>Premium</v>
      </c>
    </row>
    <row r="701" spans="1:13" x14ac:dyDescent="0.35">
      <c r="A701">
        <v>700</v>
      </c>
      <c r="B701">
        <v>2261</v>
      </c>
      <c r="C701" t="str">
        <f t="shared" si="30"/>
        <v>Medium</v>
      </c>
      <c r="D701">
        <v>5</v>
      </c>
      <c r="E701">
        <v>2</v>
      </c>
      <c r="F701">
        <v>3</v>
      </c>
      <c r="G701">
        <v>1990</v>
      </c>
      <c r="H701" t="str">
        <f t="shared" si="31"/>
        <v>1976-2000</v>
      </c>
      <c r="I701" t="s">
        <v>19</v>
      </c>
      <c r="J701" t="s">
        <v>18</v>
      </c>
      <c r="K701" t="s">
        <v>16</v>
      </c>
      <c r="L701" s="4">
        <v>238869</v>
      </c>
      <c r="M701" t="str">
        <f t="shared" si="32"/>
        <v>Medium</v>
      </c>
    </row>
    <row r="702" spans="1:13" x14ac:dyDescent="0.35">
      <c r="A702">
        <v>701</v>
      </c>
      <c r="B702">
        <v>4014</v>
      </c>
      <c r="C702" t="str">
        <f t="shared" si="30"/>
        <v>Extra Large</v>
      </c>
      <c r="D702">
        <v>3</v>
      </c>
      <c r="E702">
        <v>4</v>
      </c>
      <c r="F702">
        <v>2</v>
      </c>
      <c r="G702">
        <v>1969</v>
      </c>
      <c r="H702" t="str">
        <f t="shared" si="31"/>
        <v>1950-1975</v>
      </c>
      <c r="I702" t="s">
        <v>10</v>
      </c>
      <c r="J702" t="s">
        <v>15</v>
      </c>
      <c r="K702" t="s">
        <v>16</v>
      </c>
      <c r="L702" s="4">
        <v>721162</v>
      </c>
      <c r="M702" t="str">
        <f t="shared" si="32"/>
        <v>Premium</v>
      </c>
    </row>
    <row r="703" spans="1:13" x14ac:dyDescent="0.35">
      <c r="A703">
        <v>702</v>
      </c>
      <c r="B703">
        <v>2475</v>
      </c>
      <c r="C703" t="str">
        <f t="shared" si="30"/>
        <v>Medium</v>
      </c>
      <c r="D703">
        <v>2</v>
      </c>
      <c r="E703">
        <v>4</v>
      </c>
      <c r="F703">
        <v>1</v>
      </c>
      <c r="G703">
        <v>1998</v>
      </c>
      <c r="H703" t="str">
        <f t="shared" si="31"/>
        <v>1976-2000</v>
      </c>
      <c r="I703" t="s">
        <v>19</v>
      </c>
      <c r="J703" t="s">
        <v>11</v>
      </c>
      <c r="K703" t="s">
        <v>16</v>
      </c>
      <c r="L703" s="4">
        <v>978671</v>
      </c>
      <c r="M703" t="str">
        <f t="shared" si="32"/>
        <v>Premium</v>
      </c>
    </row>
    <row r="704" spans="1:13" x14ac:dyDescent="0.35">
      <c r="A704">
        <v>703</v>
      </c>
      <c r="B704">
        <v>2862</v>
      </c>
      <c r="C704" t="str">
        <f t="shared" si="30"/>
        <v>Large</v>
      </c>
      <c r="D704">
        <v>4</v>
      </c>
      <c r="E704">
        <v>4</v>
      </c>
      <c r="F704">
        <v>3</v>
      </c>
      <c r="G704">
        <v>2019</v>
      </c>
      <c r="H704" t="str">
        <f t="shared" si="31"/>
        <v>Post-2000</v>
      </c>
      <c r="I704" t="s">
        <v>17</v>
      </c>
      <c r="J704" t="s">
        <v>15</v>
      </c>
      <c r="K704" t="s">
        <v>12</v>
      </c>
      <c r="L704" s="4">
        <v>543844</v>
      </c>
      <c r="M704" t="str">
        <f t="shared" si="32"/>
        <v>High</v>
      </c>
    </row>
    <row r="705" spans="1:13" x14ac:dyDescent="0.35">
      <c r="A705">
        <v>704</v>
      </c>
      <c r="B705">
        <v>1376</v>
      </c>
      <c r="C705" t="str">
        <f t="shared" si="30"/>
        <v>Medium</v>
      </c>
      <c r="D705">
        <v>3</v>
      </c>
      <c r="E705">
        <v>2</v>
      </c>
      <c r="F705">
        <v>1</v>
      </c>
      <c r="G705">
        <v>2000</v>
      </c>
      <c r="H705" t="str">
        <f t="shared" si="31"/>
        <v>1976-2000</v>
      </c>
      <c r="I705" t="s">
        <v>17</v>
      </c>
      <c r="J705" t="s">
        <v>15</v>
      </c>
      <c r="K705" t="s">
        <v>16</v>
      </c>
      <c r="L705" s="4">
        <v>616695</v>
      </c>
      <c r="M705" t="str">
        <f t="shared" si="32"/>
        <v>Premium</v>
      </c>
    </row>
    <row r="706" spans="1:13" x14ac:dyDescent="0.35">
      <c r="A706">
        <v>705</v>
      </c>
      <c r="B706">
        <v>4312</v>
      </c>
      <c r="C706" t="str">
        <f t="shared" si="30"/>
        <v>Extra Large</v>
      </c>
      <c r="D706">
        <v>5</v>
      </c>
      <c r="E706">
        <v>3</v>
      </c>
      <c r="F706">
        <v>3</v>
      </c>
      <c r="G706">
        <v>1933</v>
      </c>
      <c r="H706" t="str">
        <f t="shared" si="31"/>
        <v>Pre-1950</v>
      </c>
      <c r="I706" t="s">
        <v>14</v>
      </c>
      <c r="J706" t="s">
        <v>13</v>
      </c>
      <c r="K706" t="s">
        <v>12</v>
      </c>
      <c r="L706" s="4">
        <v>170283</v>
      </c>
      <c r="M706" t="str">
        <f t="shared" si="32"/>
        <v>Low</v>
      </c>
    </row>
    <row r="707" spans="1:13" x14ac:dyDescent="0.35">
      <c r="A707">
        <v>706</v>
      </c>
      <c r="B707">
        <v>3948</v>
      </c>
      <c r="C707" t="str">
        <f t="shared" ref="C707:C770" si="33">IF(B707&lt;=1000,"Small",IF(B707&lt;=2500,"Medium",IF(B707&lt;=4000,"Large",IF(B707&gt;=4000,"Extra Large"))))</f>
        <v>Large</v>
      </c>
      <c r="D707">
        <v>1</v>
      </c>
      <c r="E707">
        <v>3</v>
      </c>
      <c r="F707">
        <v>3</v>
      </c>
      <c r="G707">
        <v>1983</v>
      </c>
      <c r="H707" t="str">
        <f t="shared" ref="H707:H770" si="34">IF(G707&lt;=1950,"Pre-1950",IF(G707&lt;=1975,"1950-1975",IF(G707&lt;=2000,"1976-2000",IF(G707&gt;=2000,"Post-2000"))))</f>
        <v>1976-2000</v>
      </c>
      <c r="I707" t="s">
        <v>17</v>
      </c>
      <c r="J707" t="s">
        <v>13</v>
      </c>
      <c r="K707" t="s">
        <v>12</v>
      </c>
      <c r="L707" s="4">
        <v>63338</v>
      </c>
      <c r="M707" t="str">
        <f t="shared" ref="M707:M770" si="35">IF(L707&lt;=200000,"Low",IF(L707&lt;=400000,"Medium",IF(L707&lt;=600000,"High",IF(L707&gt;=600000,"Premium",""))))</f>
        <v>Low</v>
      </c>
    </row>
    <row r="708" spans="1:13" x14ac:dyDescent="0.35">
      <c r="A708">
        <v>707</v>
      </c>
      <c r="B708">
        <v>1812</v>
      </c>
      <c r="C708" t="str">
        <f t="shared" si="33"/>
        <v>Medium</v>
      </c>
      <c r="D708">
        <v>5</v>
      </c>
      <c r="E708">
        <v>4</v>
      </c>
      <c r="F708">
        <v>1</v>
      </c>
      <c r="G708">
        <v>1924</v>
      </c>
      <c r="H708" t="str">
        <f t="shared" si="34"/>
        <v>Pre-1950</v>
      </c>
      <c r="I708" t="s">
        <v>14</v>
      </c>
      <c r="J708" t="s">
        <v>18</v>
      </c>
      <c r="K708" t="s">
        <v>16</v>
      </c>
      <c r="L708" s="4">
        <v>650577</v>
      </c>
      <c r="M708" t="str">
        <f t="shared" si="35"/>
        <v>Premium</v>
      </c>
    </row>
    <row r="709" spans="1:13" x14ac:dyDescent="0.35">
      <c r="A709">
        <v>708</v>
      </c>
      <c r="B709">
        <v>1960</v>
      </c>
      <c r="C709" t="str">
        <f t="shared" si="33"/>
        <v>Medium</v>
      </c>
      <c r="D709">
        <v>2</v>
      </c>
      <c r="E709">
        <v>1</v>
      </c>
      <c r="F709">
        <v>1</v>
      </c>
      <c r="G709">
        <v>1967</v>
      </c>
      <c r="H709" t="str">
        <f t="shared" si="34"/>
        <v>1950-1975</v>
      </c>
      <c r="I709" t="s">
        <v>10</v>
      </c>
      <c r="J709" t="s">
        <v>18</v>
      </c>
      <c r="K709" t="s">
        <v>16</v>
      </c>
      <c r="L709" s="4">
        <v>514736</v>
      </c>
      <c r="M709" t="str">
        <f t="shared" si="35"/>
        <v>High</v>
      </c>
    </row>
    <row r="710" spans="1:13" x14ac:dyDescent="0.35">
      <c r="A710">
        <v>709</v>
      </c>
      <c r="B710">
        <v>3209</v>
      </c>
      <c r="C710" t="str">
        <f t="shared" si="33"/>
        <v>Large</v>
      </c>
      <c r="D710">
        <v>4</v>
      </c>
      <c r="E710">
        <v>3</v>
      </c>
      <c r="F710">
        <v>1</v>
      </c>
      <c r="G710">
        <v>1973</v>
      </c>
      <c r="H710" t="str">
        <f t="shared" si="34"/>
        <v>1950-1975</v>
      </c>
      <c r="I710" t="s">
        <v>17</v>
      </c>
      <c r="J710" t="s">
        <v>13</v>
      </c>
      <c r="K710" t="s">
        <v>12</v>
      </c>
      <c r="L710" s="4">
        <v>724255</v>
      </c>
      <c r="M710" t="str">
        <f t="shared" si="35"/>
        <v>Premium</v>
      </c>
    </row>
    <row r="711" spans="1:13" x14ac:dyDescent="0.35">
      <c r="A711">
        <v>710</v>
      </c>
      <c r="B711">
        <v>2824</v>
      </c>
      <c r="C711" t="str">
        <f t="shared" si="33"/>
        <v>Large</v>
      </c>
      <c r="D711">
        <v>4</v>
      </c>
      <c r="E711">
        <v>2</v>
      </c>
      <c r="F711">
        <v>2</v>
      </c>
      <c r="G711">
        <v>1973</v>
      </c>
      <c r="H711" t="str">
        <f t="shared" si="34"/>
        <v>1950-1975</v>
      </c>
      <c r="I711" t="s">
        <v>19</v>
      </c>
      <c r="J711" t="s">
        <v>13</v>
      </c>
      <c r="K711" t="s">
        <v>12</v>
      </c>
      <c r="L711" s="4">
        <v>228982</v>
      </c>
      <c r="M711" t="str">
        <f t="shared" si="35"/>
        <v>Medium</v>
      </c>
    </row>
    <row r="712" spans="1:13" x14ac:dyDescent="0.35">
      <c r="A712">
        <v>711</v>
      </c>
      <c r="B712">
        <v>2233</v>
      </c>
      <c r="C712" t="str">
        <f t="shared" si="33"/>
        <v>Medium</v>
      </c>
      <c r="D712">
        <v>2</v>
      </c>
      <c r="E712">
        <v>3</v>
      </c>
      <c r="F712">
        <v>3</v>
      </c>
      <c r="G712">
        <v>1987</v>
      </c>
      <c r="H712" t="str">
        <f t="shared" si="34"/>
        <v>1976-2000</v>
      </c>
      <c r="I712" t="s">
        <v>10</v>
      </c>
      <c r="J712" t="s">
        <v>11</v>
      </c>
      <c r="K712" t="s">
        <v>12</v>
      </c>
      <c r="L712" s="4">
        <v>967461</v>
      </c>
      <c r="M712" t="str">
        <f t="shared" si="35"/>
        <v>Premium</v>
      </c>
    </row>
    <row r="713" spans="1:13" x14ac:dyDescent="0.35">
      <c r="A713">
        <v>712</v>
      </c>
      <c r="B713">
        <v>2105</v>
      </c>
      <c r="C713" t="str">
        <f t="shared" si="33"/>
        <v>Medium</v>
      </c>
      <c r="D713">
        <v>3</v>
      </c>
      <c r="E713">
        <v>4</v>
      </c>
      <c r="F713">
        <v>2</v>
      </c>
      <c r="G713">
        <v>1984</v>
      </c>
      <c r="H713" t="str">
        <f t="shared" si="34"/>
        <v>1976-2000</v>
      </c>
      <c r="I713" t="s">
        <v>19</v>
      </c>
      <c r="J713" t="s">
        <v>18</v>
      </c>
      <c r="K713" t="s">
        <v>12</v>
      </c>
      <c r="L713" s="4">
        <v>159367</v>
      </c>
      <c r="M713" t="str">
        <f t="shared" si="35"/>
        <v>Low</v>
      </c>
    </row>
    <row r="714" spans="1:13" x14ac:dyDescent="0.35">
      <c r="A714">
        <v>713</v>
      </c>
      <c r="B714">
        <v>3063</v>
      </c>
      <c r="C714" t="str">
        <f t="shared" si="33"/>
        <v>Large</v>
      </c>
      <c r="D714">
        <v>3</v>
      </c>
      <c r="E714">
        <v>1</v>
      </c>
      <c r="F714">
        <v>1</v>
      </c>
      <c r="G714">
        <v>1910</v>
      </c>
      <c r="H714" t="str">
        <f t="shared" si="34"/>
        <v>Pre-1950</v>
      </c>
      <c r="I714" t="s">
        <v>19</v>
      </c>
      <c r="J714" t="s">
        <v>18</v>
      </c>
      <c r="K714" t="s">
        <v>16</v>
      </c>
      <c r="L714" s="4">
        <v>378042</v>
      </c>
      <c r="M714" t="str">
        <f t="shared" si="35"/>
        <v>Medium</v>
      </c>
    </row>
    <row r="715" spans="1:13" x14ac:dyDescent="0.35">
      <c r="A715">
        <v>714</v>
      </c>
      <c r="B715">
        <v>3921</v>
      </c>
      <c r="C715" t="str">
        <f t="shared" si="33"/>
        <v>Large</v>
      </c>
      <c r="D715">
        <v>4</v>
      </c>
      <c r="E715">
        <v>3</v>
      </c>
      <c r="F715">
        <v>3</v>
      </c>
      <c r="G715">
        <v>1990</v>
      </c>
      <c r="H715" t="str">
        <f t="shared" si="34"/>
        <v>1976-2000</v>
      </c>
      <c r="I715" t="s">
        <v>19</v>
      </c>
      <c r="J715" t="s">
        <v>13</v>
      </c>
      <c r="K715" t="s">
        <v>12</v>
      </c>
      <c r="L715" s="4">
        <v>970958</v>
      </c>
      <c r="M715" t="str">
        <f t="shared" si="35"/>
        <v>Premium</v>
      </c>
    </row>
    <row r="716" spans="1:13" x14ac:dyDescent="0.35">
      <c r="A716">
        <v>715</v>
      </c>
      <c r="B716">
        <v>4017</v>
      </c>
      <c r="C716" t="str">
        <f t="shared" si="33"/>
        <v>Extra Large</v>
      </c>
      <c r="D716">
        <v>4</v>
      </c>
      <c r="E716">
        <v>3</v>
      </c>
      <c r="F716">
        <v>2</v>
      </c>
      <c r="G716">
        <v>1915</v>
      </c>
      <c r="H716" t="str">
        <f t="shared" si="34"/>
        <v>Pre-1950</v>
      </c>
      <c r="I716" t="s">
        <v>10</v>
      </c>
      <c r="J716" t="s">
        <v>11</v>
      </c>
      <c r="K716" t="s">
        <v>12</v>
      </c>
      <c r="L716" s="4">
        <v>691774</v>
      </c>
      <c r="M716" t="str">
        <f t="shared" si="35"/>
        <v>Premium</v>
      </c>
    </row>
    <row r="717" spans="1:13" x14ac:dyDescent="0.35">
      <c r="A717">
        <v>716</v>
      </c>
      <c r="B717">
        <v>2897</v>
      </c>
      <c r="C717" t="str">
        <f t="shared" si="33"/>
        <v>Large</v>
      </c>
      <c r="D717">
        <v>1</v>
      </c>
      <c r="E717">
        <v>4</v>
      </c>
      <c r="F717">
        <v>3</v>
      </c>
      <c r="G717">
        <v>1989</v>
      </c>
      <c r="H717" t="str">
        <f t="shared" si="34"/>
        <v>1976-2000</v>
      </c>
      <c r="I717" t="s">
        <v>10</v>
      </c>
      <c r="J717" t="s">
        <v>13</v>
      </c>
      <c r="K717" t="s">
        <v>12</v>
      </c>
      <c r="L717" s="4">
        <v>398684</v>
      </c>
      <c r="M717" t="str">
        <f t="shared" si="35"/>
        <v>Medium</v>
      </c>
    </row>
    <row r="718" spans="1:13" x14ac:dyDescent="0.35">
      <c r="A718">
        <v>717</v>
      </c>
      <c r="B718">
        <v>4235</v>
      </c>
      <c r="C718" t="str">
        <f t="shared" si="33"/>
        <v>Extra Large</v>
      </c>
      <c r="D718">
        <v>3</v>
      </c>
      <c r="E718">
        <v>1</v>
      </c>
      <c r="F718">
        <v>2</v>
      </c>
      <c r="G718">
        <v>1960</v>
      </c>
      <c r="H718" t="str">
        <f t="shared" si="34"/>
        <v>1950-1975</v>
      </c>
      <c r="I718" t="s">
        <v>17</v>
      </c>
      <c r="J718" t="s">
        <v>13</v>
      </c>
      <c r="K718" t="s">
        <v>12</v>
      </c>
      <c r="L718" s="4">
        <v>544775</v>
      </c>
      <c r="M718" t="str">
        <f t="shared" si="35"/>
        <v>High</v>
      </c>
    </row>
    <row r="719" spans="1:13" x14ac:dyDescent="0.35">
      <c r="A719">
        <v>718</v>
      </c>
      <c r="B719">
        <v>3370</v>
      </c>
      <c r="C719" t="str">
        <f t="shared" si="33"/>
        <v>Large</v>
      </c>
      <c r="D719">
        <v>2</v>
      </c>
      <c r="E719">
        <v>1</v>
      </c>
      <c r="F719">
        <v>1</v>
      </c>
      <c r="G719">
        <v>1993</v>
      </c>
      <c r="H719" t="str">
        <f t="shared" si="34"/>
        <v>1976-2000</v>
      </c>
      <c r="I719" t="s">
        <v>19</v>
      </c>
      <c r="J719" t="s">
        <v>15</v>
      </c>
      <c r="K719" t="s">
        <v>16</v>
      </c>
      <c r="L719" s="4">
        <v>788497</v>
      </c>
      <c r="M719" t="str">
        <f t="shared" si="35"/>
        <v>Premium</v>
      </c>
    </row>
    <row r="720" spans="1:13" x14ac:dyDescent="0.35">
      <c r="A720">
        <v>719</v>
      </c>
      <c r="B720">
        <v>1660</v>
      </c>
      <c r="C720" t="str">
        <f t="shared" si="33"/>
        <v>Medium</v>
      </c>
      <c r="D720">
        <v>3</v>
      </c>
      <c r="E720">
        <v>4</v>
      </c>
      <c r="F720">
        <v>2</v>
      </c>
      <c r="G720">
        <v>2012</v>
      </c>
      <c r="H720" t="str">
        <f t="shared" si="34"/>
        <v>Post-2000</v>
      </c>
      <c r="I720" t="s">
        <v>14</v>
      </c>
      <c r="J720" t="s">
        <v>18</v>
      </c>
      <c r="K720" t="s">
        <v>16</v>
      </c>
      <c r="L720" s="4">
        <v>493853</v>
      </c>
      <c r="M720" t="str">
        <f t="shared" si="35"/>
        <v>High</v>
      </c>
    </row>
    <row r="721" spans="1:13" x14ac:dyDescent="0.35">
      <c r="A721">
        <v>720</v>
      </c>
      <c r="B721">
        <v>742</v>
      </c>
      <c r="C721" t="str">
        <f t="shared" si="33"/>
        <v>Small</v>
      </c>
      <c r="D721">
        <v>1</v>
      </c>
      <c r="E721">
        <v>2</v>
      </c>
      <c r="F721">
        <v>3</v>
      </c>
      <c r="G721">
        <v>1979</v>
      </c>
      <c r="H721" t="str">
        <f t="shared" si="34"/>
        <v>1976-2000</v>
      </c>
      <c r="I721" t="s">
        <v>17</v>
      </c>
      <c r="J721" t="s">
        <v>11</v>
      </c>
      <c r="K721" t="s">
        <v>16</v>
      </c>
      <c r="L721" s="4">
        <v>830343</v>
      </c>
      <c r="M721" t="str">
        <f t="shared" si="35"/>
        <v>Premium</v>
      </c>
    </row>
    <row r="722" spans="1:13" x14ac:dyDescent="0.35">
      <c r="A722">
        <v>721</v>
      </c>
      <c r="B722">
        <v>3090</v>
      </c>
      <c r="C722" t="str">
        <f t="shared" si="33"/>
        <v>Large</v>
      </c>
      <c r="D722">
        <v>4</v>
      </c>
      <c r="E722">
        <v>3</v>
      </c>
      <c r="F722">
        <v>3</v>
      </c>
      <c r="G722">
        <v>1906</v>
      </c>
      <c r="H722" t="str">
        <f t="shared" si="34"/>
        <v>Pre-1950</v>
      </c>
      <c r="I722" t="s">
        <v>10</v>
      </c>
      <c r="J722" t="s">
        <v>15</v>
      </c>
      <c r="K722" t="s">
        <v>12</v>
      </c>
      <c r="L722" s="4">
        <v>710709</v>
      </c>
      <c r="M722" t="str">
        <f t="shared" si="35"/>
        <v>Premium</v>
      </c>
    </row>
    <row r="723" spans="1:13" x14ac:dyDescent="0.35">
      <c r="A723">
        <v>722</v>
      </c>
      <c r="B723">
        <v>1563</v>
      </c>
      <c r="C723" t="str">
        <f t="shared" si="33"/>
        <v>Medium</v>
      </c>
      <c r="D723">
        <v>4</v>
      </c>
      <c r="E723">
        <v>2</v>
      </c>
      <c r="F723">
        <v>3</v>
      </c>
      <c r="G723">
        <v>1915</v>
      </c>
      <c r="H723" t="str">
        <f t="shared" si="34"/>
        <v>Pre-1950</v>
      </c>
      <c r="I723" t="s">
        <v>14</v>
      </c>
      <c r="J723" t="s">
        <v>18</v>
      </c>
      <c r="K723" t="s">
        <v>12</v>
      </c>
      <c r="L723" s="4">
        <v>961848</v>
      </c>
      <c r="M723" t="str">
        <f t="shared" si="35"/>
        <v>Premium</v>
      </c>
    </row>
    <row r="724" spans="1:13" x14ac:dyDescent="0.35">
      <c r="A724">
        <v>723</v>
      </c>
      <c r="B724">
        <v>4824</v>
      </c>
      <c r="C724" t="str">
        <f t="shared" si="33"/>
        <v>Extra Large</v>
      </c>
      <c r="D724">
        <v>1</v>
      </c>
      <c r="E724">
        <v>3</v>
      </c>
      <c r="F724">
        <v>3</v>
      </c>
      <c r="G724">
        <v>1998</v>
      </c>
      <c r="H724" t="str">
        <f t="shared" si="34"/>
        <v>1976-2000</v>
      </c>
      <c r="I724" t="s">
        <v>10</v>
      </c>
      <c r="J724" t="s">
        <v>13</v>
      </c>
      <c r="K724" t="s">
        <v>16</v>
      </c>
      <c r="L724" s="4">
        <v>876395</v>
      </c>
      <c r="M724" t="str">
        <f t="shared" si="35"/>
        <v>Premium</v>
      </c>
    </row>
    <row r="725" spans="1:13" x14ac:dyDescent="0.35">
      <c r="A725">
        <v>724</v>
      </c>
      <c r="B725">
        <v>3095</v>
      </c>
      <c r="C725" t="str">
        <f t="shared" si="33"/>
        <v>Large</v>
      </c>
      <c r="D725">
        <v>2</v>
      </c>
      <c r="E725">
        <v>3</v>
      </c>
      <c r="F725">
        <v>1</v>
      </c>
      <c r="G725">
        <v>2021</v>
      </c>
      <c r="H725" t="str">
        <f t="shared" si="34"/>
        <v>Post-2000</v>
      </c>
      <c r="I725" t="s">
        <v>14</v>
      </c>
      <c r="J725" t="s">
        <v>11</v>
      </c>
      <c r="K725" t="s">
        <v>16</v>
      </c>
      <c r="L725" s="4">
        <v>450966</v>
      </c>
      <c r="M725" t="str">
        <f t="shared" si="35"/>
        <v>High</v>
      </c>
    </row>
    <row r="726" spans="1:13" x14ac:dyDescent="0.35">
      <c r="A726">
        <v>725</v>
      </c>
      <c r="B726">
        <v>1419</v>
      </c>
      <c r="C726" t="str">
        <f t="shared" si="33"/>
        <v>Medium</v>
      </c>
      <c r="D726">
        <v>4</v>
      </c>
      <c r="E726">
        <v>2</v>
      </c>
      <c r="F726">
        <v>2</v>
      </c>
      <c r="G726">
        <v>1915</v>
      </c>
      <c r="H726" t="str">
        <f t="shared" si="34"/>
        <v>Pre-1950</v>
      </c>
      <c r="I726" t="s">
        <v>17</v>
      </c>
      <c r="J726" t="s">
        <v>18</v>
      </c>
      <c r="K726" t="s">
        <v>12</v>
      </c>
      <c r="L726" s="4">
        <v>407073</v>
      </c>
      <c r="M726" t="str">
        <f t="shared" si="35"/>
        <v>High</v>
      </c>
    </row>
    <row r="727" spans="1:13" x14ac:dyDescent="0.35">
      <c r="A727">
        <v>726</v>
      </c>
      <c r="B727">
        <v>505</v>
      </c>
      <c r="C727" t="str">
        <f t="shared" si="33"/>
        <v>Small</v>
      </c>
      <c r="D727">
        <v>5</v>
      </c>
      <c r="E727">
        <v>4</v>
      </c>
      <c r="F727">
        <v>1</v>
      </c>
      <c r="G727">
        <v>1939</v>
      </c>
      <c r="H727" t="str">
        <f t="shared" si="34"/>
        <v>Pre-1950</v>
      </c>
      <c r="I727" t="s">
        <v>14</v>
      </c>
      <c r="J727" t="s">
        <v>13</v>
      </c>
      <c r="K727" t="s">
        <v>16</v>
      </c>
      <c r="L727" s="4">
        <v>727823</v>
      </c>
      <c r="M727" t="str">
        <f t="shared" si="35"/>
        <v>Premium</v>
      </c>
    </row>
    <row r="728" spans="1:13" x14ac:dyDescent="0.35">
      <c r="A728">
        <v>727</v>
      </c>
      <c r="B728">
        <v>967</v>
      </c>
      <c r="C728" t="str">
        <f t="shared" si="33"/>
        <v>Small</v>
      </c>
      <c r="D728">
        <v>4</v>
      </c>
      <c r="E728">
        <v>4</v>
      </c>
      <c r="F728">
        <v>1</v>
      </c>
      <c r="G728">
        <v>1911</v>
      </c>
      <c r="H728" t="str">
        <f t="shared" si="34"/>
        <v>Pre-1950</v>
      </c>
      <c r="I728" t="s">
        <v>17</v>
      </c>
      <c r="J728" t="s">
        <v>15</v>
      </c>
      <c r="K728" t="s">
        <v>12</v>
      </c>
      <c r="L728" s="4">
        <v>649223</v>
      </c>
      <c r="M728" t="str">
        <f t="shared" si="35"/>
        <v>Premium</v>
      </c>
    </row>
    <row r="729" spans="1:13" x14ac:dyDescent="0.35">
      <c r="A729">
        <v>728</v>
      </c>
      <c r="B729">
        <v>4670</v>
      </c>
      <c r="C729" t="str">
        <f t="shared" si="33"/>
        <v>Extra Large</v>
      </c>
      <c r="D729">
        <v>5</v>
      </c>
      <c r="E729">
        <v>3</v>
      </c>
      <c r="F729">
        <v>1</v>
      </c>
      <c r="G729">
        <v>1934</v>
      </c>
      <c r="H729" t="str">
        <f t="shared" si="34"/>
        <v>Pre-1950</v>
      </c>
      <c r="I729" t="s">
        <v>10</v>
      </c>
      <c r="J729" t="s">
        <v>11</v>
      </c>
      <c r="K729" t="s">
        <v>12</v>
      </c>
      <c r="L729" s="4">
        <v>764152</v>
      </c>
      <c r="M729" t="str">
        <f t="shared" si="35"/>
        <v>Premium</v>
      </c>
    </row>
    <row r="730" spans="1:13" x14ac:dyDescent="0.35">
      <c r="A730">
        <v>729</v>
      </c>
      <c r="B730">
        <v>503</v>
      </c>
      <c r="C730" t="str">
        <f t="shared" si="33"/>
        <v>Small</v>
      </c>
      <c r="D730">
        <v>1</v>
      </c>
      <c r="E730">
        <v>4</v>
      </c>
      <c r="F730">
        <v>3</v>
      </c>
      <c r="G730">
        <v>2012</v>
      </c>
      <c r="H730" t="str">
        <f t="shared" si="34"/>
        <v>Post-2000</v>
      </c>
      <c r="I730" t="s">
        <v>14</v>
      </c>
      <c r="J730" t="s">
        <v>18</v>
      </c>
      <c r="K730" t="s">
        <v>12</v>
      </c>
      <c r="L730" s="4">
        <v>850118</v>
      </c>
      <c r="M730" t="str">
        <f t="shared" si="35"/>
        <v>Premium</v>
      </c>
    </row>
    <row r="731" spans="1:13" x14ac:dyDescent="0.35">
      <c r="A731">
        <v>730</v>
      </c>
      <c r="B731">
        <v>1145</v>
      </c>
      <c r="C731" t="str">
        <f t="shared" si="33"/>
        <v>Medium</v>
      </c>
      <c r="D731">
        <v>1</v>
      </c>
      <c r="E731">
        <v>3</v>
      </c>
      <c r="F731">
        <v>3</v>
      </c>
      <c r="G731">
        <v>1920</v>
      </c>
      <c r="H731" t="str">
        <f t="shared" si="34"/>
        <v>Pre-1950</v>
      </c>
      <c r="I731" t="s">
        <v>19</v>
      </c>
      <c r="J731" t="s">
        <v>15</v>
      </c>
      <c r="K731" t="s">
        <v>12</v>
      </c>
      <c r="L731" s="4">
        <v>549555</v>
      </c>
      <c r="M731" t="str">
        <f t="shared" si="35"/>
        <v>High</v>
      </c>
    </row>
    <row r="732" spans="1:13" x14ac:dyDescent="0.35">
      <c r="A732">
        <v>731</v>
      </c>
      <c r="B732">
        <v>617</v>
      </c>
      <c r="C732" t="str">
        <f t="shared" si="33"/>
        <v>Small</v>
      </c>
      <c r="D732">
        <v>4</v>
      </c>
      <c r="E732">
        <v>4</v>
      </c>
      <c r="F732">
        <v>3</v>
      </c>
      <c r="G732">
        <v>1949</v>
      </c>
      <c r="H732" t="str">
        <f t="shared" si="34"/>
        <v>Pre-1950</v>
      </c>
      <c r="I732" t="s">
        <v>19</v>
      </c>
      <c r="J732" t="s">
        <v>13</v>
      </c>
      <c r="K732" t="s">
        <v>12</v>
      </c>
      <c r="L732" s="4">
        <v>113528</v>
      </c>
      <c r="M732" t="str">
        <f t="shared" si="35"/>
        <v>Low</v>
      </c>
    </row>
    <row r="733" spans="1:13" x14ac:dyDescent="0.35">
      <c r="A733">
        <v>732</v>
      </c>
      <c r="B733">
        <v>3428</v>
      </c>
      <c r="C733" t="str">
        <f t="shared" si="33"/>
        <v>Large</v>
      </c>
      <c r="D733">
        <v>3</v>
      </c>
      <c r="E733">
        <v>3</v>
      </c>
      <c r="F733">
        <v>2</v>
      </c>
      <c r="G733">
        <v>1942</v>
      </c>
      <c r="H733" t="str">
        <f t="shared" si="34"/>
        <v>Pre-1950</v>
      </c>
      <c r="I733" t="s">
        <v>10</v>
      </c>
      <c r="J733" t="s">
        <v>13</v>
      </c>
      <c r="K733" t="s">
        <v>12</v>
      </c>
      <c r="L733" s="4">
        <v>674099</v>
      </c>
      <c r="M733" t="str">
        <f t="shared" si="35"/>
        <v>Premium</v>
      </c>
    </row>
    <row r="734" spans="1:13" x14ac:dyDescent="0.35">
      <c r="A734">
        <v>733</v>
      </c>
      <c r="B734">
        <v>3051</v>
      </c>
      <c r="C734" t="str">
        <f t="shared" si="33"/>
        <v>Large</v>
      </c>
      <c r="D734">
        <v>5</v>
      </c>
      <c r="E734">
        <v>4</v>
      </c>
      <c r="F734">
        <v>3</v>
      </c>
      <c r="G734">
        <v>1999</v>
      </c>
      <c r="H734" t="str">
        <f t="shared" si="34"/>
        <v>1976-2000</v>
      </c>
      <c r="I734" t="s">
        <v>14</v>
      </c>
      <c r="J734" t="s">
        <v>18</v>
      </c>
      <c r="K734" t="s">
        <v>16</v>
      </c>
      <c r="L734" s="4">
        <v>558907</v>
      </c>
      <c r="M734" t="str">
        <f t="shared" si="35"/>
        <v>High</v>
      </c>
    </row>
    <row r="735" spans="1:13" x14ac:dyDescent="0.35">
      <c r="A735">
        <v>734</v>
      </c>
      <c r="B735">
        <v>4789</v>
      </c>
      <c r="C735" t="str">
        <f t="shared" si="33"/>
        <v>Extra Large</v>
      </c>
      <c r="D735">
        <v>2</v>
      </c>
      <c r="E735">
        <v>1</v>
      </c>
      <c r="F735">
        <v>2</v>
      </c>
      <c r="G735">
        <v>2011</v>
      </c>
      <c r="H735" t="str">
        <f t="shared" si="34"/>
        <v>Post-2000</v>
      </c>
      <c r="I735" t="s">
        <v>19</v>
      </c>
      <c r="J735" t="s">
        <v>13</v>
      </c>
      <c r="K735" t="s">
        <v>16</v>
      </c>
      <c r="L735" s="4">
        <v>334931</v>
      </c>
      <c r="M735" t="str">
        <f t="shared" si="35"/>
        <v>Medium</v>
      </c>
    </row>
    <row r="736" spans="1:13" x14ac:dyDescent="0.35">
      <c r="A736">
        <v>735</v>
      </c>
      <c r="B736">
        <v>1346</v>
      </c>
      <c r="C736" t="str">
        <f t="shared" si="33"/>
        <v>Medium</v>
      </c>
      <c r="D736">
        <v>4</v>
      </c>
      <c r="E736">
        <v>2</v>
      </c>
      <c r="F736">
        <v>3</v>
      </c>
      <c r="G736">
        <v>1916</v>
      </c>
      <c r="H736" t="str">
        <f t="shared" si="34"/>
        <v>Pre-1950</v>
      </c>
      <c r="I736" t="s">
        <v>17</v>
      </c>
      <c r="J736" t="s">
        <v>11</v>
      </c>
      <c r="K736" t="s">
        <v>16</v>
      </c>
      <c r="L736" s="4">
        <v>982280</v>
      </c>
      <c r="M736" t="str">
        <f t="shared" si="35"/>
        <v>Premium</v>
      </c>
    </row>
    <row r="737" spans="1:13" x14ac:dyDescent="0.35">
      <c r="A737">
        <v>736</v>
      </c>
      <c r="B737">
        <v>3262</v>
      </c>
      <c r="C737" t="str">
        <f t="shared" si="33"/>
        <v>Large</v>
      </c>
      <c r="D737">
        <v>2</v>
      </c>
      <c r="E737">
        <v>1</v>
      </c>
      <c r="F737">
        <v>3</v>
      </c>
      <c r="G737">
        <v>1931</v>
      </c>
      <c r="H737" t="str">
        <f t="shared" si="34"/>
        <v>Pre-1950</v>
      </c>
      <c r="I737" t="s">
        <v>14</v>
      </c>
      <c r="J737" t="s">
        <v>18</v>
      </c>
      <c r="K737" t="s">
        <v>12</v>
      </c>
      <c r="L737" s="4">
        <v>427757</v>
      </c>
      <c r="M737" t="str">
        <f t="shared" si="35"/>
        <v>High</v>
      </c>
    </row>
    <row r="738" spans="1:13" x14ac:dyDescent="0.35">
      <c r="A738">
        <v>737</v>
      </c>
      <c r="B738">
        <v>1641</v>
      </c>
      <c r="C738" t="str">
        <f t="shared" si="33"/>
        <v>Medium</v>
      </c>
      <c r="D738">
        <v>4</v>
      </c>
      <c r="E738">
        <v>2</v>
      </c>
      <c r="F738">
        <v>1</v>
      </c>
      <c r="G738">
        <v>1940</v>
      </c>
      <c r="H738" t="str">
        <f t="shared" si="34"/>
        <v>Pre-1950</v>
      </c>
      <c r="I738" t="s">
        <v>14</v>
      </c>
      <c r="J738" t="s">
        <v>15</v>
      </c>
      <c r="K738" t="s">
        <v>16</v>
      </c>
      <c r="L738" s="4">
        <v>762787</v>
      </c>
      <c r="M738" t="str">
        <f t="shared" si="35"/>
        <v>Premium</v>
      </c>
    </row>
    <row r="739" spans="1:13" x14ac:dyDescent="0.35">
      <c r="A739">
        <v>738</v>
      </c>
      <c r="B739">
        <v>2310</v>
      </c>
      <c r="C739" t="str">
        <f t="shared" si="33"/>
        <v>Medium</v>
      </c>
      <c r="D739">
        <v>3</v>
      </c>
      <c r="E739">
        <v>2</v>
      </c>
      <c r="F739">
        <v>1</v>
      </c>
      <c r="G739">
        <v>1905</v>
      </c>
      <c r="H739" t="str">
        <f t="shared" si="34"/>
        <v>Pre-1950</v>
      </c>
      <c r="I739" t="s">
        <v>19</v>
      </c>
      <c r="J739" t="s">
        <v>18</v>
      </c>
      <c r="K739" t="s">
        <v>12</v>
      </c>
      <c r="L739" s="4">
        <v>834429</v>
      </c>
      <c r="M739" t="str">
        <f t="shared" si="35"/>
        <v>Premium</v>
      </c>
    </row>
    <row r="740" spans="1:13" x14ac:dyDescent="0.35">
      <c r="A740">
        <v>739</v>
      </c>
      <c r="B740">
        <v>1223</v>
      </c>
      <c r="C740" t="str">
        <f t="shared" si="33"/>
        <v>Medium</v>
      </c>
      <c r="D740">
        <v>3</v>
      </c>
      <c r="E740">
        <v>3</v>
      </c>
      <c r="F740">
        <v>1</v>
      </c>
      <c r="G740">
        <v>1987</v>
      </c>
      <c r="H740" t="str">
        <f t="shared" si="34"/>
        <v>1976-2000</v>
      </c>
      <c r="I740" t="s">
        <v>17</v>
      </c>
      <c r="J740" t="s">
        <v>18</v>
      </c>
      <c r="K740" t="s">
        <v>12</v>
      </c>
      <c r="L740" s="4">
        <v>154887</v>
      </c>
      <c r="M740" t="str">
        <f t="shared" si="35"/>
        <v>Low</v>
      </c>
    </row>
    <row r="741" spans="1:13" x14ac:dyDescent="0.35">
      <c r="A741">
        <v>740</v>
      </c>
      <c r="B741">
        <v>724</v>
      </c>
      <c r="C741" t="str">
        <f t="shared" si="33"/>
        <v>Small</v>
      </c>
      <c r="D741">
        <v>3</v>
      </c>
      <c r="E741">
        <v>2</v>
      </c>
      <c r="F741">
        <v>2</v>
      </c>
      <c r="G741">
        <v>1926</v>
      </c>
      <c r="H741" t="str">
        <f t="shared" si="34"/>
        <v>Pre-1950</v>
      </c>
      <c r="I741" t="s">
        <v>17</v>
      </c>
      <c r="J741" t="s">
        <v>15</v>
      </c>
      <c r="K741" t="s">
        <v>12</v>
      </c>
      <c r="L741" s="4">
        <v>111086</v>
      </c>
      <c r="M741" t="str">
        <f t="shared" si="35"/>
        <v>Low</v>
      </c>
    </row>
    <row r="742" spans="1:13" x14ac:dyDescent="0.35">
      <c r="A742">
        <v>741</v>
      </c>
      <c r="B742">
        <v>4708</v>
      </c>
      <c r="C742" t="str">
        <f t="shared" si="33"/>
        <v>Extra Large</v>
      </c>
      <c r="D742">
        <v>3</v>
      </c>
      <c r="E742">
        <v>1</v>
      </c>
      <c r="F742">
        <v>2</v>
      </c>
      <c r="G742">
        <v>1919</v>
      </c>
      <c r="H742" t="str">
        <f t="shared" si="34"/>
        <v>Pre-1950</v>
      </c>
      <c r="I742" t="s">
        <v>17</v>
      </c>
      <c r="J742" t="s">
        <v>13</v>
      </c>
      <c r="K742" t="s">
        <v>12</v>
      </c>
      <c r="L742" s="4">
        <v>938663</v>
      </c>
      <c r="M742" t="str">
        <f t="shared" si="35"/>
        <v>Premium</v>
      </c>
    </row>
    <row r="743" spans="1:13" x14ac:dyDescent="0.35">
      <c r="A743">
        <v>742</v>
      </c>
      <c r="B743">
        <v>2548</v>
      </c>
      <c r="C743" t="str">
        <f t="shared" si="33"/>
        <v>Large</v>
      </c>
      <c r="D743">
        <v>1</v>
      </c>
      <c r="E743">
        <v>1</v>
      </c>
      <c r="F743">
        <v>3</v>
      </c>
      <c r="G743">
        <v>1924</v>
      </c>
      <c r="H743" t="str">
        <f t="shared" si="34"/>
        <v>Pre-1950</v>
      </c>
      <c r="I743" t="s">
        <v>14</v>
      </c>
      <c r="J743" t="s">
        <v>15</v>
      </c>
      <c r="K743" t="s">
        <v>16</v>
      </c>
      <c r="L743" s="4">
        <v>305494</v>
      </c>
      <c r="M743" t="str">
        <f t="shared" si="35"/>
        <v>Medium</v>
      </c>
    </row>
    <row r="744" spans="1:13" x14ac:dyDescent="0.35">
      <c r="A744">
        <v>743</v>
      </c>
      <c r="B744">
        <v>4915</v>
      </c>
      <c r="C744" t="str">
        <f t="shared" si="33"/>
        <v>Extra Large</v>
      </c>
      <c r="D744">
        <v>1</v>
      </c>
      <c r="E744">
        <v>4</v>
      </c>
      <c r="F744">
        <v>2</v>
      </c>
      <c r="G744">
        <v>1965</v>
      </c>
      <c r="H744" t="str">
        <f t="shared" si="34"/>
        <v>1950-1975</v>
      </c>
      <c r="I744" t="s">
        <v>10</v>
      </c>
      <c r="J744" t="s">
        <v>11</v>
      </c>
      <c r="K744" t="s">
        <v>16</v>
      </c>
      <c r="L744" s="4">
        <v>558889</v>
      </c>
      <c r="M744" t="str">
        <f t="shared" si="35"/>
        <v>High</v>
      </c>
    </row>
    <row r="745" spans="1:13" x14ac:dyDescent="0.35">
      <c r="A745">
        <v>744</v>
      </c>
      <c r="B745">
        <v>2073</v>
      </c>
      <c r="C745" t="str">
        <f t="shared" si="33"/>
        <v>Medium</v>
      </c>
      <c r="D745">
        <v>5</v>
      </c>
      <c r="E745">
        <v>1</v>
      </c>
      <c r="F745">
        <v>3</v>
      </c>
      <c r="G745">
        <v>1908</v>
      </c>
      <c r="H745" t="str">
        <f t="shared" si="34"/>
        <v>Pre-1950</v>
      </c>
      <c r="I745" t="s">
        <v>14</v>
      </c>
      <c r="J745" t="s">
        <v>13</v>
      </c>
      <c r="K745" t="s">
        <v>16</v>
      </c>
      <c r="L745" s="4">
        <v>637596</v>
      </c>
      <c r="M745" t="str">
        <f t="shared" si="35"/>
        <v>Premium</v>
      </c>
    </row>
    <row r="746" spans="1:13" x14ac:dyDescent="0.35">
      <c r="A746">
        <v>745</v>
      </c>
      <c r="B746">
        <v>2328</v>
      </c>
      <c r="C746" t="str">
        <f t="shared" si="33"/>
        <v>Medium</v>
      </c>
      <c r="D746">
        <v>2</v>
      </c>
      <c r="E746">
        <v>4</v>
      </c>
      <c r="F746">
        <v>2</v>
      </c>
      <c r="G746">
        <v>1991</v>
      </c>
      <c r="H746" t="str">
        <f t="shared" si="34"/>
        <v>1976-2000</v>
      </c>
      <c r="I746" t="s">
        <v>14</v>
      </c>
      <c r="J746" t="s">
        <v>18</v>
      </c>
      <c r="K746" t="s">
        <v>12</v>
      </c>
      <c r="L746" s="4">
        <v>327941</v>
      </c>
      <c r="M746" t="str">
        <f t="shared" si="35"/>
        <v>Medium</v>
      </c>
    </row>
    <row r="747" spans="1:13" x14ac:dyDescent="0.35">
      <c r="A747">
        <v>746</v>
      </c>
      <c r="B747">
        <v>2417</v>
      </c>
      <c r="C747" t="str">
        <f t="shared" si="33"/>
        <v>Medium</v>
      </c>
      <c r="D747">
        <v>4</v>
      </c>
      <c r="E747">
        <v>2</v>
      </c>
      <c r="F747">
        <v>2</v>
      </c>
      <c r="G747">
        <v>1952</v>
      </c>
      <c r="H747" t="str">
        <f t="shared" si="34"/>
        <v>1950-1975</v>
      </c>
      <c r="I747" t="s">
        <v>19</v>
      </c>
      <c r="J747" t="s">
        <v>13</v>
      </c>
      <c r="K747" t="s">
        <v>16</v>
      </c>
      <c r="L747" s="4">
        <v>317446</v>
      </c>
      <c r="M747" t="str">
        <f t="shared" si="35"/>
        <v>Medium</v>
      </c>
    </row>
    <row r="748" spans="1:13" x14ac:dyDescent="0.35">
      <c r="A748">
        <v>747</v>
      </c>
      <c r="B748">
        <v>4734</v>
      </c>
      <c r="C748" t="str">
        <f t="shared" si="33"/>
        <v>Extra Large</v>
      </c>
      <c r="D748">
        <v>4</v>
      </c>
      <c r="E748">
        <v>1</v>
      </c>
      <c r="F748">
        <v>2</v>
      </c>
      <c r="G748">
        <v>1960</v>
      </c>
      <c r="H748" t="str">
        <f t="shared" si="34"/>
        <v>1950-1975</v>
      </c>
      <c r="I748" t="s">
        <v>10</v>
      </c>
      <c r="J748" t="s">
        <v>13</v>
      </c>
      <c r="K748" t="s">
        <v>16</v>
      </c>
      <c r="L748" s="4">
        <v>506388</v>
      </c>
      <c r="M748" t="str">
        <f t="shared" si="35"/>
        <v>High</v>
      </c>
    </row>
    <row r="749" spans="1:13" x14ac:dyDescent="0.35">
      <c r="A749">
        <v>748</v>
      </c>
      <c r="B749">
        <v>2526</v>
      </c>
      <c r="C749" t="str">
        <f t="shared" si="33"/>
        <v>Large</v>
      </c>
      <c r="D749">
        <v>1</v>
      </c>
      <c r="E749">
        <v>2</v>
      </c>
      <c r="F749">
        <v>1</v>
      </c>
      <c r="G749">
        <v>1937</v>
      </c>
      <c r="H749" t="str">
        <f t="shared" si="34"/>
        <v>Pre-1950</v>
      </c>
      <c r="I749" t="s">
        <v>17</v>
      </c>
      <c r="J749" t="s">
        <v>11</v>
      </c>
      <c r="K749" t="s">
        <v>16</v>
      </c>
      <c r="L749" s="4">
        <v>612347</v>
      </c>
      <c r="M749" t="str">
        <f t="shared" si="35"/>
        <v>Premium</v>
      </c>
    </row>
    <row r="750" spans="1:13" x14ac:dyDescent="0.35">
      <c r="A750">
        <v>749</v>
      </c>
      <c r="B750">
        <v>4244</v>
      </c>
      <c r="C750" t="str">
        <f t="shared" si="33"/>
        <v>Extra Large</v>
      </c>
      <c r="D750">
        <v>4</v>
      </c>
      <c r="E750">
        <v>1</v>
      </c>
      <c r="F750">
        <v>2</v>
      </c>
      <c r="G750">
        <v>1902</v>
      </c>
      <c r="H750" t="str">
        <f t="shared" si="34"/>
        <v>Pre-1950</v>
      </c>
      <c r="I750" t="s">
        <v>19</v>
      </c>
      <c r="J750" t="s">
        <v>13</v>
      </c>
      <c r="K750" t="s">
        <v>12</v>
      </c>
      <c r="L750" s="4">
        <v>181980</v>
      </c>
      <c r="M750" t="str">
        <f t="shared" si="35"/>
        <v>Low</v>
      </c>
    </row>
    <row r="751" spans="1:13" x14ac:dyDescent="0.35">
      <c r="A751">
        <v>750</v>
      </c>
      <c r="B751">
        <v>1401</v>
      </c>
      <c r="C751" t="str">
        <f t="shared" si="33"/>
        <v>Medium</v>
      </c>
      <c r="D751">
        <v>1</v>
      </c>
      <c r="E751">
        <v>1</v>
      </c>
      <c r="F751">
        <v>1</v>
      </c>
      <c r="G751">
        <v>1983</v>
      </c>
      <c r="H751" t="str">
        <f t="shared" si="34"/>
        <v>1976-2000</v>
      </c>
      <c r="I751" t="s">
        <v>14</v>
      </c>
      <c r="J751" t="s">
        <v>13</v>
      </c>
      <c r="K751" t="s">
        <v>16</v>
      </c>
      <c r="L751" s="4">
        <v>765612</v>
      </c>
      <c r="M751" t="str">
        <f t="shared" si="35"/>
        <v>Premium</v>
      </c>
    </row>
    <row r="752" spans="1:13" x14ac:dyDescent="0.35">
      <c r="A752">
        <v>751</v>
      </c>
      <c r="B752">
        <v>2539</v>
      </c>
      <c r="C752" t="str">
        <f t="shared" si="33"/>
        <v>Large</v>
      </c>
      <c r="D752">
        <v>5</v>
      </c>
      <c r="E752">
        <v>4</v>
      </c>
      <c r="F752">
        <v>1</v>
      </c>
      <c r="G752">
        <v>1969</v>
      </c>
      <c r="H752" t="str">
        <f t="shared" si="34"/>
        <v>1950-1975</v>
      </c>
      <c r="I752" t="s">
        <v>10</v>
      </c>
      <c r="J752" t="s">
        <v>13</v>
      </c>
      <c r="K752" t="s">
        <v>12</v>
      </c>
      <c r="L752" s="4">
        <v>523875</v>
      </c>
      <c r="M752" t="str">
        <f t="shared" si="35"/>
        <v>High</v>
      </c>
    </row>
    <row r="753" spans="1:13" x14ac:dyDescent="0.35">
      <c r="A753">
        <v>752</v>
      </c>
      <c r="B753">
        <v>509</v>
      </c>
      <c r="C753" t="str">
        <f t="shared" si="33"/>
        <v>Small</v>
      </c>
      <c r="D753">
        <v>2</v>
      </c>
      <c r="E753">
        <v>2</v>
      </c>
      <c r="F753">
        <v>2</v>
      </c>
      <c r="G753">
        <v>2002</v>
      </c>
      <c r="H753" t="str">
        <f t="shared" si="34"/>
        <v>Post-2000</v>
      </c>
      <c r="I753" t="s">
        <v>17</v>
      </c>
      <c r="J753" t="s">
        <v>18</v>
      </c>
      <c r="K753" t="s">
        <v>16</v>
      </c>
      <c r="L753" s="4">
        <v>193949</v>
      </c>
      <c r="M753" t="str">
        <f t="shared" si="35"/>
        <v>Low</v>
      </c>
    </row>
    <row r="754" spans="1:13" x14ac:dyDescent="0.35">
      <c r="A754">
        <v>753</v>
      </c>
      <c r="B754">
        <v>760</v>
      </c>
      <c r="C754" t="str">
        <f t="shared" si="33"/>
        <v>Small</v>
      </c>
      <c r="D754">
        <v>5</v>
      </c>
      <c r="E754">
        <v>1</v>
      </c>
      <c r="F754">
        <v>3</v>
      </c>
      <c r="G754">
        <v>1996</v>
      </c>
      <c r="H754" t="str">
        <f t="shared" si="34"/>
        <v>1976-2000</v>
      </c>
      <c r="I754" t="s">
        <v>17</v>
      </c>
      <c r="J754" t="s">
        <v>13</v>
      </c>
      <c r="K754" t="s">
        <v>12</v>
      </c>
      <c r="L754" s="4">
        <v>326383</v>
      </c>
      <c r="M754" t="str">
        <f t="shared" si="35"/>
        <v>Medium</v>
      </c>
    </row>
    <row r="755" spans="1:13" x14ac:dyDescent="0.35">
      <c r="A755">
        <v>754</v>
      </c>
      <c r="B755">
        <v>2173</v>
      </c>
      <c r="C755" t="str">
        <f t="shared" si="33"/>
        <v>Medium</v>
      </c>
      <c r="D755">
        <v>3</v>
      </c>
      <c r="E755">
        <v>3</v>
      </c>
      <c r="F755">
        <v>3</v>
      </c>
      <c r="G755">
        <v>1954</v>
      </c>
      <c r="H755" t="str">
        <f t="shared" si="34"/>
        <v>1950-1975</v>
      </c>
      <c r="I755" t="s">
        <v>14</v>
      </c>
      <c r="J755" t="s">
        <v>15</v>
      </c>
      <c r="K755" t="s">
        <v>16</v>
      </c>
      <c r="L755" s="4">
        <v>77313</v>
      </c>
      <c r="M755" t="str">
        <f t="shared" si="35"/>
        <v>Low</v>
      </c>
    </row>
    <row r="756" spans="1:13" x14ac:dyDescent="0.35">
      <c r="A756">
        <v>755</v>
      </c>
      <c r="B756">
        <v>2719</v>
      </c>
      <c r="C756" t="str">
        <f t="shared" si="33"/>
        <v>Large</v>
      </c>
      <c r="D756">
        <v>3</v>
      </c>
      <c r="E756">
        <v>2</v>
      </c>
      <c r="F756">
        <v>3</v>
      </c>
      <c r="G756">
        <v>1900</v>
      </c>
      <c r="H756" t="str">
        <f t="shared" si="34"/>
        <v>Pre-1950</v>
      </c>
      <c r="I756" t="s">
        <v>17</v>
      </c>
      <c r="J756" t="s">
        <v>13</v>
      </c>
      <c r="K756" t="s">
        <v>16</v>
      </c>
      <c r="L756" s="4">
        <v>92103</v>
      </c>
      <c r="M756" t="str">
        <f t="shared" si="35"/>
        <v>Low</v>
      </c>
    </row>
    <row r="757" spans="1:13" x14ac:dyDescent="0.35">
      <c r="A757">
        <v>756</v>
      </c>
      <c r="B757">
        <v>2560</v>
      </c>
      <c r="C757" t="str">
        <f t="shared" si="33"/>
        <v>Large</v>
      </c>
      <c r="D757">
        <v>3</v>
      </c>
      <c r="E757">
        <v>2</v>
      </c>
      <c r="F757">
        <v>2</v>
      </c>
      <c r="G757">
        <v>2000</v>
      </c>
      <c r="H757" t="str">
        <f t="shared" si="34"/>
        <v>1976-2000</v>
      </c>
      <c r="I757" t="s">
        <v>17</v>
      </c>
      <c r="J757" t="s">
        <v>11</v>
      </c>
      <c r="K757" t="s">
        <v>16</v>
      </c>
      <c r="L757" s="4">
        <v>229480</v>
      </c>
      <c r="M757" t="str">
        <f t="shared" si="35"/>
        <v>Medium</v>
      </c>
    </row>
    <row r="758" spans="1:13" x14ac:dyDescent="0.35">
      <c r="A758">
        <v>757</v>
      </c>
      <c r="B758">
        <v>4213</v>
      </c>
      <c r="C758" t="str">
        <f t="shared" si="33"/>
        <v>Extra Large</v>
      </c>
      <c r="D758">
        <v>5</v>
      </c>
      <c r="E758">
        <v>2</v>
      </c>
      <c r="F758">
        <v>3</v>
      </c>
      <c r="G758">
        <v>1969</v>
      </c>
      <c r="H758" t="str">
        <f t="shared" si="34"/>
        <v>1950-1975</v>
      </c>
      <c r="I758" t="s">
        <v>10</v>
      </c>
      <c r="J758" t="s">
        <v>13</v>
      </c>
      <c r="K758" t="s">
        <v>12</v>
      </c>
      <c r="L758" s="4">
        <v>526467</v>
      </c>
      <c r="M758" t="str">
        <f t="shared" si="35"/>
        <v>High</v>
      </c>
    </row>
    <row r="759" spans="1:13" x14ac:dyDescent="0.35">
      <c r="A759">
        <v>758</v>
      </c>
      <c r="B759">
        <v>2119</v>
      </c>
      <c r="C759" t="str">
        <f t="shared" si="33"/>
        <v>Medium</v>
      </c>
      <c r="D759">
        <v>4</v>
      </c>
      <c r="E759">
        <v>4</v>
      </c>
      <c r="F759">
        <v>1</v>
      </c>
      <c r="G759">
        <v>1944</v>
      </c>
      <c r="H759" t="str">
        <f t="shared" si="34"/>
        <v>Pre-1950</v>
      </c>
      <c r="I759" t="s">
        <v>19</v>
      </c>
      <c r="J759" t="s">
        <v>13</v>
      </c>
      <c r="K759" t="s">
        <v>16</v>
      </c>
      <c r="L759" s="4">
        <v>138771</v>
      </c>
      <c r="M759" t="str">
        <f t="shared" si="35"/>
        <v>Low</v>
      </c>
    </row>
    <row r="760" spans="1:13" x14ac:dyDescent="0.35">
      <c r="A760">
        <v>759</v>
      </c>
      <c r="B760">
        <v>820</v>
      </c>
      <c r="C760" t="str">
        <f t="shared" si="33"/>
        <v>Small</v>
      </c>
      <c r="D760">
        <v>2</v>
      </c>
      <c r="E760">
        <v>3</v>
      </c>
      <c r="F760">
        <v>3</v>
      </c>
      <c r="G760">
        <v>1997</v>
      </c>
      <c r="H760" t="str">
        <f t="shared" si="34"/>
        <v>1976-2000</v>
      </c>
      <c r="I760" t="s">
        <v>10</v>
      </c>
      <c r="J760" t="s">
        <v>18</v>
      </c>
      <c r="K760" t="s">
        <v>16</v>
      </c>
      <c r="L760" s="4">
        <v>176228</v>
      </c>
      <c r="M760" t="str">
        <f t="shared" si="35"/>
        <v>Low</v>
      </c>
    </row>
    <row r="761" spans="1:13" x14ac:dyDescent="0.35">
      <c r="A761">
        <v>760</v>
      </c>
      <c r="B761">
        <v>1842</v>
      </c>
      <c r="C761" t="str">
        <f t="shared" si="33"/>
        <v>Medium</v>
      </c>
      <c r="D761">
        <v>3</v>
      </c>
      <c r="E761">
        <v>2</v>
      </c>
      <c r="F761">
        <v>2</v>
      </c>
      <c r="G761">
        <v>1946</v>
      </c>
      <c r="H761" t="str">
        <f t="shared" si="34"/>
        <v>Pre-1950</v>
      </c>
      <c r="I761" t="s">
        <v>19</v>
      </c>
      <c r="J761" t="s">
        <v>15</v>
      </c>
      <c r="K761" t="s">
        <v>12</v>
      </c>
      <c r="L761" s="4">
        <v>141665</v>
      </c>
      <c r="M761" t="str">
        <f t="shared" si="35"/>
        <v>Low</v>
      </c>
    </row>
    <row r="762" spans="1:13" x14ac:dyDescent="0.35">
      <c r="A762">
        <v>761</v>
      </c>
      <c r="B762">
        <v>2876</v>
      </c>
      <c r="C762" t="str">
        <f t="shared" si="33"/>
        <v>Large</v>
      </c>
      <c r="D762">
        <v>3</v>
      </c>
      <c r="E762">
        <v>1</v>
      </c>
      <c r="F762">
        <v>3</v>
      </c>
      <c r="G762">
        <v>1978</v>
      </c>
      <c r="H762" t="str">
        <f t="shared" si="34"/>
        <v>1976-2000</v>
      </c>
      <c r="I762" t="s">
        <v>19</v>
      </c>
      <c r="J762" t="s">
        <v>13</v>
      </c>
      <c r="K762" t="s">
        <v>12</v>
      </c>
      <c r="L762" s="4">
        <v>846966</v>
      </c>
      <c r="M762" t="str">
        <f t="shared" si="35"/>
        <v>Premium</v>
      </c>
    </row>
    <row r="763" spans="1:13" x14ac:dyDescent="0.35">
      <c r="A763">
        <v>762</v>
      </c>
      <c r="B763">
        <v>3332</v>
      </c>
      <c r="C763" t="str">
        <f t="shared" si="33"/>
        <v>Large</v>
      </c>
      <c r="D763">
        <v>3</v>
      </c>
      <c r="E763">
        <v>1</v>
      </c>
      <c r="F763">
        <v>1</v>
      </c>
      <c r="G763">
        <v>2008</v>
      </c>
      <c r="H763" t="str">
        <f t="shared" si="34"/>
        <v>Post-2000</v>
      </c>
      <c r="I763" t="s">
        <v>19</v>
      </c>
      <c r="J763" t="s">
        <v>15</v>
      </c>
      <c r="K763" t="s">
        <v>12</v>
      </c>
      <c r="L763" s="4">
        <v>879492</v>
      </c>
      <c r="M763" t="str">
        <f t="shared" si="35"/>
        <v>Premium</v>
      </c>
    </row>
    <row r="764" spans="1:13" x14ac:dyDescent="0.35">
      <c r="A764">
        <v>763</v>
      </c>
      <c r="B764">
        <v>3324</v>
      </c>
      <c r="C764" t="str">
        <f t="shared" si="33"/>
        <v>Large</v>
      </c>
      <c r="D764">
        <v>2</v>
      </c>
      <c r="E764">
        <v>4</v>
      </c>
      <c r="F764">
        <v>2</v>
      </c>
      <c r="G764">
        <v>1925</v>
      </c>
      <c r="H764" t="str">
        <f t="shared" si="34"/>
        <v>Pre-1950</v>
      </c>
      <c r="I764" t="s">
        <v>17</v>
      </c>
      <c r="J764" t="s">
        <v>11</v>
      </c>
      <c r="K764" t="s">
        <v>12</v>
      </c>
      <c r="L764" s="4">
        <v>853621</v>
      </c>
      <c r="M764" t="str">
        <f t="shared" si="35"/>
        <v>Premium</v>
      </c>
    </row>
    <row r="765" spans="1:13" x14ac:dyDescent="0.35">
      <c r="A765">
        <v>764</v>
      </c>
      <c r="B765">
        <v>2494</v>
      </c>
      <c r="C765" t="str">
        <f t="shared" si="33"/>
        <v>Medium</v>
      </c>
      <c r="D765">
        <v>3</v>
      </c>
      <c r="E765">
        <v>1</v>
      </c>
      <c r="F765">
        <v>3</v>
      </c>
      <c r="G765">
        <v>2020</v>
      </c>
      <c r="H765" t="str">
        <f t="shared" si="34"/>
        <v>Post-2000</v>
      </c>
      <c r="I765" t="s">
        <v>10</v>
      </c>
      <c r="J765" t="s">
        <v>18</v>
      </c>
      <c r="K765" t="s">
        <v>16</v>
      </c>
      <c r="L765" s="4">
        <v>964863</v>
      </c>
      <c r="M765" t="str">
        <f t="shared" si="35"/>
        <v>Premium</v>
      </c>
    </row>
    <row r="766" spans="1:13" x14ac:dyDescent="0.35">
      <c r="A766">
        <v>765</v>
      </c>
      <c r="B766">
        <v>3458</v>
      </c>
      <c r="C766" t="str">
        <f t="shared" si="33"/>
        <v>Large</v>
      </c>
      <c r="D766">
        <v>2</v>
      </c>
      <c r="E766">
        <v>2</v>
      </c>
      <c r="F766">
        <v>2</v>
      </c>
      <c r="G766">
        <v>1913</v>
      </c>
      <c r="H766" t="str">
        <f t="shared" si="34"/>
        <v>Pre-1950</v>
      </c>
      <c r="I766" t="s">
        <v>17</v>
      </c>
      <c r="J766" t="s">
        <v>15</v>
      </c>
      <c r="K766" t="s">
        <v>16</v>
      </c>
      <c r="L766" s="4">
        <v>660355</v>
      </c>
      <c r="M766" t="str">
        <f t="shared" si="35"/>
        <v>Premium</v>
      </c>
    </row>
    <row r="767" spans="1:13" x14ac:dyDescent="0.35">
      <c r="A767">
        <v>766</v>
      </c>
      <c r="B767">
        <v>2538</v>
      </c>
      <c r="C767" t="str">
        <f t="shared" si="33"/>
        <v>Large</v>
      </c>
      <c r="D767">
        <v>3</v>
      </c>
      <c r="E767">
        <v>1</v>
      </c>
      <c r="F767">
        <v>2</v>
      </c>
      <c r="G767">
        <v>2021</v>
      </c>
      <c r="H767" t="str">
        <f t="shared" si="34"/>
        <v>Post-2000</v>
      </c>
      <c r="I767" t="s">
        <v>14</v>
      </c>
      <c r="J767" t="s">
        <v>18</v>
      </c>
      <c r="K767" t="s">
        <v>12</v>
      </c>
      <c r="L767" s="4">
        <v>847399</v>
      </c>
      <c r="M767" t="str">
        <f t="shared" si="35"/>
        <v>Premium</v>
      </c>
    </row>
    <row r="768" spans="1:13" x14ac:dyDescent="0.35">
      <c r="A768">
        <v>767</v>
      </c>
      <c r="B768">
        <v>3990</v>
      </c>
      <c r="C768" t="str">
        <f t="shared" si="33"/>
        <v>Large</v>
      </c>
      <c r="D768">
        <v>5</v>
      </c>
      <c r="E768">
        <v>2</v>
      </c>
      <c r="F768">
        <v>2</v>
      </c>
      <c r="G768">
        <v>1953</v>
      </c>
      <c r="H768" t="str">
        <f t="shared" si="34"/>
        <v>1950-1975</v>
      </c>
      <c r="I768" t="s">
        <v>10</v>
      </c>
      <c r="J768" t="s">
        <v>13</v>
      </c>
      <c r="K768" t="s">
        <v>16</v>
      </c>
      <c r="L768" s="4">
        <v>787351</v>
      </c>
      <c r="M768" t="str">
        <f t="shared" si="35"/>
        <v>Premium</v>
      </c>
    </row>
    <row r="769" spans="1:13" x14ac:dyDescent="0.35">
      <c r="A769">
        <v>768</v>
      </c>
      <c r="B769">
        <v>4177</v>
      </c>
      <c r="C769" t="str">
        <f t="shared" si="33"/>
        <v>Extra Large</v>
      </c>
      <c r="D769">
        <v>5</v>
      </c>
      <c r="E769">
        <v>1</v>
      </c>
      <c r="F769">
        <v>3</v>
      </c>
      <c r="G769">
        <v>1970</v>
      </c>
      <c r="H769" t="str">
        <f t="shared" si="34"/>
        <v>1950-1975</v>
      </c>
      <c r="I769" t="s">
        <v>19</v>
      </c>
      <c r="J769" t="s">
        <v>11</v>
      </c>
      <c r="K769" t="s">
        <v>12</v>
      </c>
      <c r="L769" s="4">
        <v>901995</v>
      </c>
      <c r="M769" t="str">
        <f t="shared" si="35"/>
        <v>Premium</v>
      </c>
    </row>
    <row r="770" spans="1:13" x14ac:dyDescent="0.35">
      <c r="A770">
        <v>769</v>
      </c>
      <c r="B770">
        <v>1618</v>
      </c>
      <c r="C770" t="str">
        <f t="shared" si="33"/>
        <v>Medium</v>
      </c>
      <c r="D770">
        <v>2</v>
      </c>
      <c r="E770">
        <v>3</v>
      </c>
      <c r="F770">
        <v>2</v>
      </c>
      <c r="G770">
        <v>1945</v>
      </c>
      <c r="H770" t="str">
        <f t="shared" si="34"/>
        <v>Pre-1950</v>
      </c>
      <c r="I770" t="s">
        <v>17</v>
      </c>
      <c r="J770" t="s">
        <v>18</v>
      </c>
      <c r="K770" t="s">
        <v>16</v>
      </c>
      <c r="L770" s="4">
        <v>320804</v>
      </c>
      <c r="M770" t="str">
        <f t="shared" si="35"/>
        <v>Medium</v>
      </c>
    </row>
    <row r="771" spans="1:13" x14ac:dyDescent="0.35">
      <c r="A771">
        <v>770</v>
      </c>
      <c r="B771">
        <v>2104</v>
      </c>
      <c r="C771" t="str">
        <f t="shared" ref="C771:C834" si="36">IF(B771&lt;=1000,"Small",IF(B771&lt;=2500,"Medium",IF(B771&lt;=4000,"Large",IF(B771&gt;=4000,"Extra Large"))))</f>
        <v>Medium</v>
      </c>
      <c r="D771">
        <v>5</v>
      </c>
      <c r="E771">
        <v>4</v>
      </c>
      <c r="F771">
        <v>3</v>
      </c>
      <c r="G771">
        <v>2021</v>
      </c>
      <c r="H771" t="str">
        <f t="shared" ref="H771:H834" si="37">IF(G771&lt;=1950,"Pre-1950",IF(G771&lt;=1975,"1950-1975",IF(G771&lt;=2000,"1976-2000",IF(G771&gt;=2000,"Post-2000"))))</f>
        <v>Post-2000</v>
      </c>
      <c r="I771" t="s">
        <v>17</v>
      </c>
      <c r="J771" t="s">
        <v>13</v>
      </c>
      <c r="K771" t="s">
        <v>12</v>
      </c>
      <c r="L771" s="4">
        <v>430815</v>
      </c>
      <c r="M771" t="str">
        <f t="shared" ref="M771:M834" si="38">IF(L771&lt;=200000,"Low",IF(L771&lt;=400000,"Medium",IF(L771&lt;=600000,"High",IF(L771&gt;=600000,"Premium",""))))</f>
        <v>High</v>
      </c>
    </row>
    <row r="772" spans="1:13" x14ac:dyDescent="0.35">
      <c r="A772">
        <v>771</v>
      </c>
      <c r="B772">
        <v>4527</v>
      </c>
      <c r="C772" t="str">
        <f t="shared" si="36"/>
        <v>Extra Large</v>
      </c>
      <c r="D772">
        <v>2</v>
      </c>
      <c r="E772">
        <v>4</v>
      </c>
      <c r="F772">
        <v>1</v>
      </c>
      <c r="G772">
        <v>1930</v>
      </c>
      <c r="H772" t="str">
        <f t="shared" si="37"/>
        <v>Pre-1950</v>
      </c>
      <c r="I772" t="s">
        <v>10</v>
      </c>
      <c r="J772" t="s">
        <v>15</v>
      </c>
      <c r="K772" t="s">
        <v>16</v>
      </c>
      <c r="L772" s="4">
        <v>534091</v>
      </c>
      <c r="M772" t="str">
        <f t="shared" si="38"/>
        <v>High</v>
      </c>
    </row>
    <row r="773" spans="1:13" x14ac:dyDescent="0.35">
      <c r="A773">
        <v>772</v>
      </c>
      <c r="B773">
        <v>735</v>
      </c>
      <c r="C773" t="str">
        <f t="shared" si="36"/>
        <v>Small</v>
      </c>
      <c r="D773">
        <v>5</v>
      </c>
      <c r="E773">
        <v>3</v>
      </c>
      <c r="F773">
        <v>3</v>
      </c>
      <c r="G773">
        <v>1987</v>
      </c>
      <c r="H773" t="str">
        <f t="shared" si="37"/>
        <v>1976-2000</v>
      </c>
      <c r="I773" t="s">
        <v>10</v>
      </c>
      <c r="J773" t="s">
        <v>11</v>
      </c>
      <c r="K773" t="s">
        <v>12</v>
      </c>
      <c r="L773" s="4">
        <v>179909</v>
      </c>
      <c r="M773" t="str">
        <f t="shared" si="38"/>
        <v>Low</v>
      </c>
    </row>
    <row r="774" spans="1:13" x14ac:dyDescent="0.35">
      <c r="A774">
        <v>773</v>
      </c>
      <c r="B774">
        <v>2469</v>
      </c>
      <c r="C774" t="str">
        <f t="shared" si="36"/>
        <v>Medium</v>
      </c>
      <c r="D774">
        <v>5</v>
      </c>
      <c r="E774">
        <v>3</v>
      </c>
      <c r="F774">
        <v>1</v>
      </c>
      <c r="G774">
        <v>1958</v>
      </c>
      <c r="H774" t="str">
        <f t="shared" si="37"/>
        <v>1950-1975</v>
      </c>
      <c r="I774" t="s">
        <v>19</v>
      </c>
      <c r="J774" t="s">
        <v>11</v>
      </c>
      <c r="K774" t="s">
        <v>12</v>
      </c>
      <c r="L774" s="4">
        <v>483039</v>
      </c>
      <c r="M774" t="str">
        <f t="shared" si="38"/>
        <v>High</v>
      </c>
    </row>
    <row r="775" spans="1:13" x14ac:dyDescent="0.35">
      <c r="A775">
        <v>774</v>
      </c>
      <c r="B775">
        <v>4929</v>
      </c>
      <c r="C775" t="str">
        <f t="shared" si="36"/>
        <v>Extra Large</v>
      </c>
      <c r="D775">
        <v>2</v>
      </c>
      <c r="E775">
        <v>4</v>
      </c>
      <c r="F775">
        <v>3</v>
      </c>
      <c r="G775">
        <v>1994</v>
      </c>
      <c r="H775" t="str">
        <f t="shared" si="37"/>
        <v>1976-2000</v>
      </c>
      <c r="I775" t="s">
        <v>19</v>
      </c>
      <c r="J775" t="s">
        <v>15</v>
      </c>
      <c r="K775" t="s">
        <v>16</v>
      </c>
      <c r="L775" s="4">
        <v>499058</v>
      </c>
      <c r="M775" t="str">
        <f t="shared" si="38"/>
        <v>High</v>
      </c>
    </row>
    <row r="776" spans="1:13" x14ac:dyDescent="0.35">
      <c r="A776">
        <v>775</v>
      </c>
      <c r="B776">
        <v>2408</v>
      </c>
      <c r="C776" t="str">
        <f t="shared" si="36"/>
        <v>Medium</v>
      </c>
      <c r="D776">
        <v>4</v>
      </c>
      <c r="E776">
        <v>3</v>
      </c>
      <c r="F776">
        <v>2</v>
      </c>
      <c r="G776">
        <v>1928</v>
      </c>
      <c r="H776" t="str">
        <f t="shared" si="37"/>
        <v>Pre-1950</v>
      </c>
      <c r="I776" t="s">
        <v>14</v>
      </c>
      <c r="J776" t="s">
        <v>15</v>
      </c>
      <c r="K776" t="s">
        <v>16</v>
      </c>
      <c r="L776" s="4">
        <v>190688</v>
      </c>
      <c r="M776" t="str">
        <f t="shared" si="38"/>
        <v>Low</v>
      </c>
    </row>
    <row r="777" spans="1:13" x14ac:dyDescent="0.35">
      <c r="A777">
        <v>776</v>
      </c>
      <c r="B777">
        <v>875</v>
      </c>
      <c r="C777" t="str">
        <f t="shared" si="36"/>
        <v>Small</v>
      </c>
      <c r="D777">
        <v>5</v>
      </c>
      <c r="E777">
        <v>2</v>
      </c>
      <c r="F777">
        <v>3</v>
      </c>
      <c r="G777">
        <v>2005</v>
      </c>
      <c r="H777" t="str">
        <f t="shared" si="37"/>
        <v>Post-2000</v>
      </c>
      <c r="I777" t="s">
        <v>19</v>
      </c>
      <c r="J777" t="s">
        <v>11</v>
      </c>
      <c r="K777" t="s">
        <v>16</v>
      </c>
      <c r="L777" s="4">
        <v>125976</v>
      </c>
      <c r="M777" t="str">
        <f t="shared" si="38"/>
        <v>Low</v>
      </c>
    </row>
    <row r="778" spans="1:13" x14ac:dyDescent="0.35">
      <c r="A778">
        <v>777</v>
      </c>
      <c r="B778">
        <v>4030</v>
      </c>
      <c r="C778" t="str">
        <f t="shared" si="36"/>
        <v>Extra Large</v>
      </c>
      <c r="D778">
        <v>3</v>
      </c>
      <c r="E778">
        <v>1</v>
      </c>
      <c r="F778">
        <v>2</v>
      </c>
      <c r="G778">
        <v>1995</v>
      </c>
      <c r="H778" t="str">
        <f t="shared" si="37"/>
        <v>1976-2000</v>
      </c>
      <c r="I778" t="s">
        <v>17</v>
      </c>
      <c r="J778" t="s">
        <v>18</v>
      </c>
      <c r="K778" t="s">
        <v>12</v>
      </c>
      <c r="L778" s="4">
        <v>807496</v>
      </c>
      <c r="M778" t="str">
        <f t="shared" si="38"/>
        <v>Premium</v>
      </c>
    </row>
    <row r="779" spans="1:13" x14ac:dyDescent="0.35">
      <c r="A779">
        <v>778</v>
      </c>
      <c r="B779">
        <v>3135</v>
      </c>
      <c r="C779" t="str">
        <f t="shared" si="36"/>
        <v>Large</v>
      </c>
      <c r="D779">
        <v>4</v>
      </c>
      <c r="E779">
        <v>4</v>
      </c>
      <c r="F779">
        <v>1</v>
      </c>
      <c r="G779">
        <v>1916</v>
      </c>
      <c r="H779" t="str">
        <f t="shared" si="37"/>
        <v>Pre-1950</v>
      </c>
      <c r="I779" t="s">
        <v>14</v>
      </c>
      <c r="J779" t="s">
        <v>11</v>
      </c>
      <c r="K779" t="s">
        <v>16</v>
      </c>
      <c r="L779" s="4">
        <v>229810</v>
      </c>
      <c r="M779" t="str">
        <f t="shared" si="38"/>
        <v>Medium</v>
      </c>
    </row>
    <row r="780" spans="1:13" x14ac:dyDescent="0.35">
      <c r="A780">
        <v>779</v>
      </c>
      <c r="B780">
        <v>2070</v>
      </c>
      <c r="C780" t="str">
        <f t="shared" si="36"/>
        <v>Medium</v>
      </c>
      <c r="D780">
        <v>2</v>
      </c>
      <c r="E780">
        <v>3</v>
      </c>
      <c r="F780">
        <v>3</v>
      </c>
      <c r="G780">
        <v>1913</v>
      </c>
      <c r="H780" t="str">
        <f t="shared" si="37"/>
        <v>Pre-1950</v>
      </c>
      <c r="I780" t="s">
        <v>14</v>
      </c>
      <c r="J780" t="s">
        <v>15</v>
      </c>
      <c r="K780" t="s">
        <v>12</v>
      </c>
      <c r="L780" s="4">
        <v>325251</v>
      </c>
      <c r="M780" t="str">
        <f t="shared" si="38"/>
        <v>Medium</v>
      </c>
    </row>
    <row r="781" spans="1:13" x14ac:dyDescent="0.35">
      <c r="A781">
        <v>780</v>
      </c>
      <c r="B781">
        <v>3060</v>
      </c>
      <c r="C781" t="str">
        <f t="shared" si="36"/>
        <v>Large</v>
      </c>
      <c r="D781">
        <v>4</v>
      </c>
      <c r="E781">
        <v>2</v>
      </c>
      <c r="F781">
        <v>2</v>
      </c>
      <c r="G781">
        <v>2003</v>
      </c>
      <c r="H781" t="str">
        <f t="shared" si="37"/>
        <v>Post-2000</v>
      </c>
      <c r="I781" t="s">
        <v>14</v>
      </c>
      <c r="J781" t="s">
        <v>18</v>
      </c>
      <c r="K781" t="s">
        <v>16</v>
      </c>
      <c r="L781" s="4">
        <v>766764</v>
      </c>
      <c r="M781" t="str">
        <f t="shared" si="38"/>
        <v>Premium</v>
      </c>
    </row>
    <row r="782" spans="1:13" x14ac:dyDescent="0.35">
      <c r="A782">
        <v>781</v>
      </c>
      <c r="B782">
        <v>3891</v>
      </c>
      <c r="C782" t="str">
        <f t="shared" si="36"/>
        <v>Large</v>
      </c>
      <c r="D782">
        <v>1</v>
      </c>
      <c r="E782">
        <v>4</v>
      </c>
      <c r="F782">
        <v>1</v>
      </c>
      <c r="G782">
        <v>1935</v>
      </c>
      <c r="H782" t="str">
        <f t="shared" si="37"/>
        <v>Pre-1950</v>
      </c>
      <c r="I782" t="s">
        <v>10</v>
      </c>
      <c r="J782" t="s">
        <v>13</v>
      </c>
      <c r="K782" t="s">
        <v>16</v>
      </c>
      <c r="L782" s="4">
        <v>668470</v>
      </c>
      <c r="M782" t="str">
        <f t="shared" si="38"/>
        <v>Premium</v>
      </c>
    </row>
    <row r="783" spans="1:13" x14ac:dyDescent="0.35">
      <c r="A783">
        <v>782</v>
      </c>
      <c r="B783">
        <v>3465</v>
      </c>
      <c r="C783" t="str">
        <f t="shared" si="36"/>
        <v>Large</v>
      </c>
      <c r="D783">
        <v>1</v>
      </c>
      <c r="E783">
        <v>3</v>
      </c>
      <c r="F783">
        <v>1</v>
      </c>
      <c r="G783">
        <v>1957</v>
      </c>
      <c r="H783" t="str">
        <f t="shared" si="37"/>
        <v>1950-1975</v>
      </c>
      <c r="I783" t="s">
        <v>19</v>
      </c>
      <c r="J783" t="s">
        <v>11</v>
      </c>
      <c r="K783" t="s">
        <v>12</v>
      </c>
      <c r="L783" s="4">
        <v>817441</v>
      </c>
      <c r="M783" t="str">
        <f t="shared" si="38"/>
        <v>Premium</v>
      </c>
    </row>
    <row r="784" spans="1:13" x14ac:dyDescent="0.35">
      <c r="A784">
        <v>783</v>
      </c>
      <c r="B784">
        <v>4143</v>
      </c>
      <c r="C784" t="str">
        <f t="shared" si="36"/>
        <v>Extra Large</v>
      </c>
      <c r="D784">
        <v>5</v>
      </c>
      <c r="E784">
        <v>4</v>
      </c>
      <c r="F784">
        <v>3</v>
      </c>
      <c r="G784">
        <v>2011</v>
      </c>
      <c r="H784" t="str">
        <f t="shared" si="37"/>
        <v>Post-2000</v>
      </c>
      <c r="I784" t="s">
        <v>14</v>
      </c>
      <c r="J784" t="s">
        <v>15</v>
      </c>
      <c r="K784" t="s">
        <v>12</v>
      </c>
      <c r="L784" s="4">
        <v>928219</v>
      </c>
      <c r="M784" t="str">
        <f t="shared" si="38"/>
        <v>Premium</v>
      </c>
    </row>
    <row r="785" spans="1:13" x14ac:dyDescent="0.35">
      <c r="A785">
        <v>784</v>
      </c>
      <c r="B785">
        <v>4350</v>
      </c>
      <c r="C785" t="str">
        <f t="shared" si="36"/>
        <v>Extra Large</v>
      </c>
      <c r="D785">
        <v>5</v>
      </c>
      <c r="E785">
        <v>3</v>
      </c>
      <c r="F785">
        <v>1</v>
      </c>
      <c r="G785">
        <v>1923</v>
      </c>
      <c r="H785" t="str">
        <f t="shared" si="37"/>
        <v>Pre-1950</v>
      </c>
      <c r="I785" t="s">
        <v>10</v>
      </c>
      <c r="J785" t="s">
        <v>13</v>
      </c>
      <c r="K785" t="s">
        <v>16</v>
      </c>
      <c r="L785" s="4">
        <v>852386</v>
      </c>
      <c r="M785" t="str">
        <f t="shared" si="38"/>
        <v>Premium</v>
      </c>
    </row>
    <row r="786" spans="1:13" x14ac:dyDescent="0.35">
      <c r="A786">
        <v>785</v>
      </c>
      <c r="B786">
        <v>1372</v>
      </c>
      <c r="C786" t="str">
        <f t="shared" si="36"/>
        <v>Medium</v>
      </c>
      <c r="D786">
        <v>3</v>
      </c>
      <c r="E786">
        <v>4</v>
      </c>
      <c r="F786">
        <v>2</v>
      </c>
      <c r="G786">
        <v>2008</v>
      </c>
      <c r="H786" t="str">
        <f t="shared" si="37"/>
        <v>Post-2000</v>
      </c>
      <c r="I786" t="s">
        <v>10</v>
      </c>
      <c r="J786" t="s">
        <v>11</v>
      </c>
      <c r="K786" t="s">
        <v>12</v>
      </c>
      <c r="L786" s="4">
        <v>329087</v>
      </c>
      <c r="M786" t="str">
        <f t="shared" si="38"/>
        <v>Medium</v>
      </c>
    </row>
    <row r="787" spans="1:13" x14ac:dyDescent="0.35">
      <c r="A787">
        <v>786</v>
      </c>
      <c r="B787">
        <v>1752</v>
      </c>
      <c r="C787" t="str">
        <f t="shared" si="36"/>
        <v>Medium</v>
      </c>
      <c r="D787">
        <v>4</v>
      </c>
      <c r="E787">
        <v>2</v>
      </c>
      <c r="F787">
        <v>1</v>
      </c>
      <c r="G787">
        <v>1962</v>
      </c>
      <c r="H787" t="str">
        <f t="shared" si="37"/>
        <v>1950-1975</v>
      </c>
      <c r="I787" t="s">
        <v>14</v>
      </c>
      <c r="J787" t="s">
        <v>11</v>
      </c>
      <c r="K787" t="s">
        <v>12</v>
      </c>
      <c r="L787" s="4">
        <v>90725</v>
      </c>
      <c r="M787" t="str">
        <f t="shared" si="38"/>
        <v>Low</v>
      </c>
    </row>
    <row r="788" spans="1:13" x14ac:dyDescent="0.35">
      <c r="A788">
        <v>787</v>
      </c>
      <c r="B788">
        <v>1814</v>
      </c>
      <c r="C788" t="str">
        <f t="shared" si="36"/>
        <v>Medium</v>
      </c>
      <c r="D788">
        <v>1</v>
      </c>
      <c r="E788">
        <v>2</v>
      </c>
      <c r="F788">
        <v>1</v>
      </c>
      <c r="G788">
        <v>2017</v>
      </c>
      <c r="H788" t="str">
        <f t="shared" si="37"/>
        <v>Post-2000</v>
      </c>
      <c r="I788" t="s">
        <v>14</v>
      </c>
      <c r="J788" t="s">
        <v>18</v>
      </c>
      <c r="K788" t="s">
        <v>16</v>
      </c>
      <c r="L788" s="4">
        <v>881866</v>
      </c>
      <c r="M788" t="str">
        <f t="shared" si="38"/>
        <v>Premium</v>
      </c>
    </row>
    <row r="789" spans="1:13" x14ac:dyDescent="0.35">
      <c r="A789">
        <v>788</v>
      </c>
      <c r="B789">
        <v>3398</v>
      </c>
      <c r="C789" t="str">
        <f t="shared" si="36"/>
        <v>Large</v>
      </c>
      <c r="D789">
        <v>5</v>
      </c>
      <c r="E789">
        <v>1</v>
      </c>
      <c r="F789">
        <v>2</v>
      </c>
      <c r="G789">
        <v>1990</v>
      </c>
      <c r="H789" t="str">
        <f t="shared" si="37"/>
        <v>1976-2000</v>
      </c>
      <c r="I789" t="s">
        <v>17</v>
      </c>
      <c r="J789" t="s">
        <v>15</v>
      </c>
      <c r="K789" t="s">
        <v>12</v>
      </c>
      <c r="L789" s="4">
        <v>922183</v>
      </c>
      <c r="M789" t="str">
        <f t="shared" si="38"/>
        <v>Premium</v>
      </c>
    </row>
    <row r="790" spans="1:13" x14ac:dyDescent="0.35">
      <c r="A790">
        <v>789</v>
      </c>
      <c r="B790">
        <v>577</v>
      </c>
      <c r="C790" t="str">
        <f t="shared" si="36"/>
        <v>Small</v>
      </c>
      <c r="D790">
        <v>4</v>
      </c>
      <c r="E790">
        <v>4</v>
      </c>
      <c r="F790">
        <v>1</v>
      </c>
      <c r="G790">
        <v>1924</v>
      </c>
      <c r="H790" t="str">
        <f t="shared" si="37"/>
        <v>Pre-1950</v>
      </c>
      <c r="I790" t="s">
        <v>14</v>
      </c>
      <c r="J790" t="s">
        <v>13</v>
      </c>
      <c r="K790" t="s">
        <v>16</v>
      </c>
      <c r="L790" s="4">
        <v>584398</v>
      </c>
      <c r="M790" t="str">
        <f t="shared" si="38"/>
        <v>High</v>
      </c>
    </row>
    <row r="791" spans="1:13" x14ac:dyDescent="0.35">
      <c r="A791">
        <v>790</v>
      </c>
      <c r="B791">
        <v>3121</v>
      </c>
      <c r="C791" t="str">
        <f t="shared" si="36"/>
        <v>Large</v>
      </c>
      <c r="D791">
        <v>5</v>
      </c>
      <c r="E791">
        <v>1</v>
      </c>
      <c r="F791">
        <v>1</v>
      </c>
      <c r="G791">
        <v>1958</v>
      </c>
      <c r="H791" t="str">
        <f t="shared" si="37"/>
        <v>1950-1975</v>
      </c>
      <c r="I791" t="s">
        <v>17</v>
      </c>
      <c r="J791" t="s">
        <v>11</v>
      </c>
      <c r="K791" t="s">
        <v>16</v>
      </c>
      <c r="L791" s="4">
        <v>548864</v>
      </c>
      <c r="M791" t="str">
        <f t="shared" si="38"/>
        <v>High</v>
      </c>
    </row>
    <row r="792" spans="1:13" x14ac:dyDescent="0.35">
      <c r="A792">
        <v>791</v>
      </c>
      <c r="B792">
        <v>4727</v>
      </c>
      <c r="C792" t="str">
        <f t="shared" si="36"/>
        <v>Extra Large</v>
      </c>
      <c r="D792">
        <v>5</v>
      </c>
      <c r="E792">
        <v>4</v>
      </c>
      <c r="F792">
        <v>1</v>
      </c>
      <c r="G792">
        <v>1931</v>
      </c>
      <c r="H792" t="str">
        <f t="shared" si="37"/>
        <v>Pre-1950</v>
      </c>
      <c r="I792" t="s">
        <v>14</v>
      </c>
      <c r="J792" t="s">
        <v>18</v>
      </c>
      <c r="K792" t="s">
        <v>12</v>
      </c>
      <c r="L792" s="4">
        <v>328606</v>
      </c>
      <c r="M792" t="str">
        <f t="shared" si="38"/>
        <v>Medium</v>
      </c>
    </row>
    <row r="793" spans="1:13" x14ac:dyDescent="0.35">
      <c r="A793">
        <v>792</v>
      </c>
      <c r="B793">
        <v>1100</v>
      </c>
      <c r="C793" t="str">
        <f t="shared" si="36"/>
        <v>Medium</v>
      </c>
      <c r="D793">
        <v>1</v>
      </c>
      <c r="E793">
        <v>3</v>
      </c>
      <c r="F793">
        <v>1</v>
      </c>
      <c r="G793">
        <v>2015</v>
      </c>
      <c r="H793" t="str">
        <f t="shared" si="37"/>
        <v>Post-2000</v>
      </c>
      <c r="I793" t="s">
        <v>14</v>
      </c>
      <c r="J793" t="s">
        <v>13</v>
      </c>
      <c r="K793" t="s">
        <v>16</v>
      </c>
      <c r="L793" s="4">
        <v>391376</v>
      </c>
      <c r="M793" t="str">
        <f t="shared" si="38"/>
        <v>Medium</v>
      </c>
    </row>
    <row r="794" spans="1:13" x14ac:dyDescent="0.35">
      <c r="A794">
        <v>793</v>
      </c>
      <c r="B794">
        <v>1565</v>
      </c>
      <c r="C794" t="str">
        <f t="shared" si="36"/>
        <v>Medium</v>
      </c>
      <c r="D794">
        <v>1</v>
      </c>
      <c r="E794">
        <v>3</v>
      </c>
      <c r="F794">
        <v>2</v>
      </c>
      <c r="G794">
        <v>1981</v>
      </c>
      <c r="H794" t="str">
        <f t="shared" si="37"/>
        <v>1976-2000</v>
      </c>
      <c r="I794" t="s">
        <v>19</v>
      </c>
      <c r="J794" t="s">
        <v>13</v>
      </c>
      <c r="K794" t="s">
        <v>12</v>
      </c>
      <c r="L794" s="4">
        <v>759441</v>
      </c>
      <c r="M794" t="str">
        <f t="shared" si="38"/>
        <v>Premium</v>
      </c>
    </row>
    <row r="795" spans="1:13" x14ac:dyDescent="0.35">
      <c r="A795">
        <v>794</v>
      </c>
      <c r="B795">
        <v>2636</v>
      </c>
      <c r="C795" t="str">
        <f t="shared" si="36"/>
        <v>Large</v>
      </c>
      <c r="D795">
        <v>5</v>
      </c>
      <c r="E795">
        <v>1</v>
      </c>
      <c r="F795">
        <v>1</v>
      </c>
      <c r="G795">
        <v>2009</v>
      </c>
      <c r="H795" t="str">
        <f t="shared" si="37"/>
        <v>Post-2000</v>
      </c>
      <c r="I795" t="s">
        <v>14</v>
      </c>
      <c r="J795" t="s">
        <v>11</v>
      </c>
      <c r="K795" t="s">
        <v>16</v>
      </c>
      <c r="L795" s="4">
        <v>496015</v>
      </c>
      <c r="M795" t="str">
        <f t="shared" si="38"/>
        <v>High</v>
      </c>
    </row>
    <row r="796" spans="1:13" x14ac:dyDescent="0.35">
      <c r="A796">
        <v>795</v>
      </c>
      <c r="B796">
        <v>2949</v>
      </c>
      <c r="C796" t="str">
        <f t="shared" si="36"/>
        <v>Large</v>
      </c>
      <c r="D796">
        <v>2</v>
      </c>
      <c r="E796">
        <v>4</v>
      </c>
      <c r="F796">
        <v>2</v>
      </c>
      <c r="G796">
        <v>1917</v>
      </c>
      <c r="H796" t="str">
        <f t="shared" si="37"/>
        <v>Pre-1950</v>
      </c>
      <c r="I796" t="s">
        <v>14</v>
      </c>
      <c r="J796" t="s">
        <v>13</v>
      </c>
      <c r="K796" t="s">
        <v>12</v>
      </c>
      <c r="L796" s="4">
        <v>640855</v>
      </c>
      <c r="M796" t="str">
        <f t="shared" si="38"/>
        <v>Premium</v>
      </c>
    </row>
    <row r="797" spans="1:13" x14ac:dyDescent="0.35">
      <c r="A797">
        <v>796</v>
      </c>
      <c r="B797">
        <v>2843</v>
      </c>
      <c r="C797" t="str">
        <f t="shared" si="36"/>
        <v>Large</v>
      </c>
      <c r="D797">
        <v>5</v>
      </c>
      <c r="E797">
        <v>1</v>
      </c>
      <c r="F797">
        <v>1</v>
      </c>
      <c r="G797">
        <v>1936</v>
      </c>
      <c r="H797" t="str">
        <f t="shared" si="37"/>
        <v>Pre-1950</v>
      </c>
      <c r="I797" t="s">
        <v>17</v>
      </c>
      <c r="J797" t="s">
        <v>11</v>
      </c>
      <c r="K797" t="s">
        <v>12</v>
      </c>
      <c r="L797" s="4">
        <v>532517</v>
      </c>
      <c r="M797" t="str">
        <f t="shared" si="38"/>
        <v>High</v>
      </c>
    </row>
    <row r="798" spans="1:13" x14ac:dyDescent="0.35">
      <c r="A798">
        <v>797</v>
      </c>
      <c r="B798">
        <v>2363</v>
      </c>
      <c r="C798" t="str">
        <f t="shared" si="36"/>
        <v>Medium</v>
      </c>
      <c r="D798">
        <v>5</v>
      </c>
      <c r="E798">
        <v>2</v>
      </c>
      <c r="F798">
        <v>1</v>
      </c>
      <c r="G798">
        <v>1925</v>
      </c>
      <c r="H798" t="str">
        <f t="shared" si="37"/>
        <v>Pre-1950</v>
      </c>
      <c r="I798" t="s">
        <v>17</v>
      </c>
      <c r="J798" t="s">
        <v>18</v>
      </c>
      <c r="K798" t="s">
        <v>12</v>
      </c>
      <c r="L798" s="4">
        <v>756584</v>
      </c>
      <c r="M798" t="str">
        <f t="shared" si="38"/>
        <v>Premium</v>
      </c>
    </row>
    <row r="799" spans="1:13" x14ac:dyDescent="0.35">
      <c r="A799">
        <v>798</v>
      </c>
      <c r="B799">
        <v>1818</v>
      </c>
      <c r="C799" t="str">
        <f t="shared" si="36"/>
        <v>Medium</v>
      </c>
      <c r="D799">
        <v>3</v>
      </c>
      <c r="E799">
        <v>1</v>
      </c>
      <c r="F799">
        <v>1</v>
      </c>
      <c r="G799">
        <v>1908</v>
      </c>
      <c r="H799" t="str">
        <f t="shared" si="37"/>
        <v>Pre-1950</v>
      </c>
      <c r="I799" t="s">
        <v>19</v>
      </c>
      <c r="J799" t="s">
        <v>18</v>
      </c>
      <c r="K799" t="s">
        <v>12</v>
      </c>
      <c r="L799" s="4">
        <v>439569</v>
      </c>
      <c r="M799" t="str">
        <f t="shared" si="38"/>
        <v>High</v>
      </c>
    </row>
    <row r="800" spans="1:13" x14ac:dyDescent="0.35">
      <c r="A800">
        <v>799</v>
      </c>
      <c r="B800">
        <v>4097</v>
      </c>
      <c r="C800" t="str">
        <f t="shared" si="36"/>
        <v>Extra Large</v>
      </c>
      <c r="D800">
        <v>3</v>
      </c>
      <c r="E800">
        <v>1</v>
      </c>
      <c r="F800">
        <v>1</v>
      </c>
      <c r="G800">
        <v>2023</v>
      </c>
      <c r="H800" t="str">
        <f t="shared" si="37"/>
        <v>Post-2000</v>
      </c>
      <c r="I800" t="s">
        <v>14</v>
      </c>
      <c r="J800" t="s">
        <v>13</v>
      </c>
      <c r="K800" t="s">
        <v>12</v>
      </c>
      <c r="L800" s="4">
        <v>892495</v>
      </c>
      <c r="M800" t="str">
        <f t="shared" si="38"/>
        <v>Premium</v>
      </c>
    </row>
    <row r="801" spans="1:13" x14ac:dyDescent="0.35">
      <c r="A801">
        <v>800</v>
      </c>
      <c r="B801">
        <v>4262</v>
      </c>
      <c r="C801" t="str">
        <f t="shared" si="36"/>
        <v>Extra Large</v>
      </c>
      <c r="D801">
        <v>3</v>
      </c>
      <c r="E801">
        <v>3</v>
      </c>
      <c r="F801">
        <v>2</v>
      </c>
      <c r="G801">
        <v>1998</v>
      </c>
      <c r="H801" t="str">
        <f t="shared" si="37"/>
        <v>1976-2000</v>
      </c>
      <c r="I801" t="s">
        <v>14</v>
      </c>
      <c r="J801" t="s">
        <v>11</v>
      </c>
      <c r="K801" t="s">
        <v>16</v>
      </c>
      <c r="L801" s="4">
        <v>163394</v>
      </c>
      <c r="M801" t="str">
        <f t="shared" si="38"/>
        <v>Low</v>
      </c>
    </row>
    <row r="802" spans="1:13" x14ac:dyDescent="0.35">
      <c r="A802">
        <v>801</v>
      </c>
      <c r="B802">
        <v>2690</v>
      </c>
      <c r="C802" t="str">
        <f t="shared" si="36"/>
        <v>Large</v>
      </c>
      <c r="D802">
        <v>2</v>
      </c>
      <c r="E802">
        <v>1</v>
      </c>
      <c r="F802">
        <v>2</v>
      </c>
      <c r="G802">
        <v>1963</v>
      </c>
      <c r="H802" t="str">
        <f t="shared" si="37"/>
        <v>1950-1975</v>
      </c>
      <c r="I802" t="s">
        <v>17</v>
      </c>
      <c r="J802" t="s">
        <v>15</v>
      </c>
      <c r="K802" t="s">
        <v>16</v>
      </c>
      <c r="L802" s="4">
        <v>891672</v>
      </c>
      <c r="M802" t="str">
        <f t="shared" si="38"/>
        <v>Premium</v>
      </c>
    </row>
    <row r="803" spans="1:13" x14ac:dyDescent="0.35">
      <c r="A803">
        <v>802</v>
      </c>
      <c r="B803">
        <v>1492</v>
      </c>
      <c r="C803" t="str">
        <f t="shared" si="36"/>
        <v>Medium</v>
      </c>
      <c r="D803">
        <v>2</v>
      </c>
      <c r="E803">
        <v>4</v>
      </c>
      <c r="F803">
        <v>2</v>
      </c>
      <c r="G803">
        <v>1971</v>
      </c>
      <c r="H803" t="str">
        <f t="shared" si="37"/>
        <v>1950-1975</v>
      </c>
      <c r="I803" t="s">
        <v>10</v>
      </c>
      <c r="J803" t="s">
        <v>18</v>
      </c>
      <c r="K803" t="s">
        <v>12</v>
      </c>
      <c r="L803" s="4">
        <v>917784</v>
      </c>
      <c r="M803" t="str">
        <f t="shared" si="38"/>
        <v>Premium</v>
      </c>
    </row>
    <row r="804" spans="1:13" x14ac:dyDescent="0.35">
      <c r="A804">
        <v>803</v>
      </c>
      <c r="B804">
        <v>3212</v>
      </c>
      <c r="C804" t="str">
        <f t="shared" si="36"/>
        <v>Large</v>
      </c>
      <c r="D804">
        <v>5</v>
      </c>
      <c r="E804">
        <v>3</v>
      </c>
      <c r="F804">
        <v>3</v>
      </c>
      <c r="G804">
        <v>1919</v>
      </c>
      <c r="H804" t="str">
        <f t="shared" si="37"/>
        <v>Pre-1950</v>
      </c>
      <c r="I804" t="s">
        <v>10</v>
      </c>
      <c r="J804" t="s">
        <v>11</v>
      </c>
      <c r="K804" t="s">
        <v>16</v>
      </c>
      <c r="L804" s="4">
        <v>198940</v>
      </c>
      <c r="M804" t="str">
        <f t="shared" si="38"/>
        <v>Low</v>
      </c>
    </row>
    <row r="805" spans="1:13" x14ac:dyDescent="0.35">
      <c r="A805">
        <v>804</v>
      </c>
      <c r="B805">
        <v>2692</v>
      </c>
      <c r="C805" t="str">
        <f t="shared" si="36"/>
        <v>Large</v>
      </c>
      <c r="D805">
        <v>3</v>
      </c>
      <c r="E805">
        <v>1</v>
      </c>
      <c r="F805">
        <v>1</v>
      </c>
      <c r="G805">
        <v>1953</v>
      </c>
      <c r="H805" t="str">
        <f t="shared" si="37"/>
        <v>1950-1975</v>
      </c>
      <c r="I805" t="s">
        <v>10</v>
      </c>
      <c r="J805" t="s">
        <v>11</v>
      </c>
      <c r="K805" t="s">
        <v>12</v>
      </c>
      <c r="L805" s="4">
        <v>393133</v>
      </c>
      <c r="M805" t="str">
        <f t="shared" si="38"/>
        <v>Medium</v>
      </c>
    </row>
    <row r="806" spans="1:13" x14ac:dyDescent="0.35">
      <c r="A806">
        <v>805</v>
      </c>
      <c r="B806">
        <v>1748</v>
      </c>
      <c r="C806" t="str">
        <f t="shared" si="36"/>
        <v>Medium</v>
      </c>
      <c r="D806">
        <v>2</v>
      </c>
      <c r="E806">
        <v>2</v>
      </c>
      <c r="F806">
        <v>1</v>
      </c>
      <c r="G806">
        <v>2005</v>
      </c>
      <c r="H806" t="str">
        <f t="shared" si="37"/>
        <v>Post-2000</v>
      </c>
      <c r="I806" t="s">
        <v>17</v>
      </c>
      <c r="J806" t="s">
        <v>11</v>
      </c>
      <c r="K806" t="s">
        <v>12</v>
      </c>
      <c r="L806" s="4">
        <v>72222</v>
      </c>
      <c r="M806" t="str">
        <f t="shared" si="38"/>
        <v>Low</v>
      </c>
    </row>
    <row r="807" spans="1:13" x14ac:dyDescent="0.35">
      <c r="A807">
        <v>806</v>
      </c>
      <c r="B807">
        <v>3554</v>
      </c>
      <c r="C807" t="str">
        <f t="shared" si="36"/>
        <v>Large</v>
      </c>
      <c r="D807">
        <v>1</v>
      </c>
      <c r="E807">
        <v>1</v>
      </c>
      <c r="F807">
        <v>2</v>
      </c>
      <c r="G807">
        <v>1985</v>
      </c>
      <c r="H807" t="str">
        <f t="shared" si="37"/>
        <v>1976-2000</v>
      </c>
      <c r="I807" t="s">
        <v>17</v>
      </c>
      <c r="J807" t="s">
        <v>13</v>
      </c>
      <c r="K807" t="s">
        <v>16</v>
      </c>
      <c r="L807" s="4">
        <v>129794</v>
      </c>
      <c r="M807" t="str">
        <f t="shared" si="38"/>
        <v>Low</v>
      </c>
    </row>
    <row r="808" spans="1:13" x14ac:dyDescent="0.35">
      <c r="A808">
        <v>807</v>
      </c>
      <c r="B808">
        <v>4533</v>
      </c>
      <c r="C808" t="str">
        <f t="shared" si="36"/>
        <v>Extra Large</v>
      </c>
      <c r="D808">
        <v>5</v>
      </c>
      <c r="E808">
        <v>1</v>
      </c>
      <c r="F808">
        <v>3</v>
      </c>
      <c r="G808">
        <v>1982</v>
      </c>
      <c r="H808" t="str">
        <f t="shared" si="37"/>
        <v>1976-2000</v>
      </c>
      <c r="I808" t="s">
        <v>10</v>
      </c>
      <c r="J808" t="s">
        <v>15</v>
      </c>
      <c r="K808" t="s">
        <v>16</v>
      </c>
      <c r="L808" s="4">
        <v>638212</v>
      </c>
      <c r="M808" t="str">
        <f t="shared" si="38"/>
        <v>Premium</v>
      </c>
    </row>
    <row r="809" spans="1:13" x14ac:dyDescent="0.35">
      <c r="A809">
        <v>808</v>
      </c>
      <c r="B809">
        <v>2497</v>
      </c>
      <c r="C809" t="str">
        <f t="shared" si="36"/>
        <v>Medium</v>
      </c>
      <c r="D809">
        <v>4</v>
      </c>
      <c r="E809">
        <v>1</v>
      </c>
      <c r="F809">
        <v>1</v>
      </c>
      <c r="G809">
        <v>1929</v>
      </c>
      <c r="H809" t="str">
        <f t="shared" si="37"/>
        <v>Pre-1950</v>
      </c>
      <c r="I809" t="s">
        <v>10</v>
      </c>
      <c r="J809" t="s">
        <v>13</v>
      </c>
      <c r="K809" t="s">
        <v>12</v>
      </c>
      <c r="L809" s="4">
        <v>674142</v>
      </c>
      <c r="M809" t="str">
        <f t="shared" si="38"/>
        <v>Premium</v>
      </c>
    </row>
    <row r="810" spans="1:13" x14ac:dyDescent="0.35">
      <c r="A810">
        <v>809</v>
      </c>
      <c r="B810">
        <v>4187</v>
      </c>
      <c r="C810" t="str">
        <f t="shared" si="36"/>
        <v>Extra Large</v>
      </c>
      <c r="D810">
        <v>5</v>
      </c>
      <c r="E810">
        <v>3</v>
      </c>
      <c r="F810">
        <v>2</v>
      </c>
      <c r="G810">
        <v>1952</v>
      </c>
      <c r="H810" t="str">
        <f t="shared" si="37"/>
        <v>1950-1975</v>
      </c>
      <c r="I810" t="s">
        <v>14</v>
      </c>
      <c r="J810" t="s">
        <v>18</v>
      </c>
      <c r="K810" t="s">
        <v>12</v>
      </c>
      <c r="L810" s="4">
        <v>914945</v>
      </c>
      <c r="M810" t="str">
        <f t="shared" si="38"/>
        <v>Premium</v>
      </c>
    </row>
    <row r="811" spans="1:13" x14ac:dyDescent="0.35">
      <c r="A811">
        <v>810</v>
      </c>
      <c r="B811">
        <v>2651</v>
      </c>
      <c r="C811" t="str">
        <f t="shared" si="36"/>
        <v>Large</v>
      </c>
      <c r="D811">
        <v>4</v>
      </c>
      <c r="E811">
        <v>4</v>
      </c>
      <c r="F811">
        <v>1</v>
      </c>
      <c r="G811">
        <v>1991</v>
      </c>
      <c r="H811" t="str">
        <f t="shared" si="37"/>
        <v>1976-2000</v>
      </c>
      <c r="I811" t="s">
        <v>17</v>
      </c>
      <c r="J811" t="s">
        <v>13</v>
      </c>
      <c r="K811" t="s">
        <v>12</v>
      </c>
      <c r="L811" s="4">
        <v>834326</v>
      </c>
      <c r="M811" t="str">
        <f t="shared" si="38"/>
        <v>Premium</v>
      </c>
    </row>
    <row r="812" spans="1:13" x14ac:dyDescent="0.35">
      <c r="A812">
        <v>811</v>
      </c>
      <c r="B812">
        <v>4518</v>
      </c>
      <c r="C812" t="str">
        <f t="shared" si="36"/>
        <v>Extra Large</v>
      </c>
      <c r="D812">
        <v>3</v>
      </c>
      <c r="E812">
        <v>2</v>
      </c>
      <c r="F812">
        <v>1</v>
      </c>
      <c r="G812">
        <v>1998</v>
      </c>
      <c r="H812" t="str">
        <f t="shared" si="37"/>
        <v>1976-2000</v>
      </c>
      <c r="I812" t="s">
        <v>17</v>
      </c>
      <c r="J812" t="s">
        <v>11</v>
      </c>
      <c r="K812" t="s">
        <v>12</v>
      </c>
      <c r="L812" s="4">
        <v>891081</v>
      </c>
      <c r="M812" t="str">
        <f t="shared" si="38"/>
        <v>Premium</v>
      </c>
    </row>
    <row r="813" spans="1:13" x14ac:dyDescent="0.35">
      <c r="A813">
        <v>812</v>
      </c>
      <c r="B813">
        <v>3610</v>
      </c>
      <c r="C813" t="str">
        <f t="shared" si="36"/>
        <v>Large</v>
      </c>
      <c r="D813">
        <v>4</v>
      </c>
      <c r="E813">
        <v>1</v>
      </c>
      <c r="F813">
        <v>2</v>
      </c>
      <c r="G813">
        <v>2006</v>
      </c>
      <c r="H813" t="str">
        <f t="shared" si="37"/>
        <v>Post-2000</v>
      </c>
      <c r="I813" t="s">
        <v>10</v>
      </c>
      <c r="J813" t="s">
        <v>13</v>
      </c>
      <c r="K813" t="s">
        <v>12</v>
      </c>
      <c r="L813" s="4">
        <v>415130</v>
      </c>
      <c r="M813" t="str">
        <f t="shared" si="38"/>
        <v>High</v>
      </c>
    </row>
    <row r="814" spans="1:13" x14ac:dyDescent="0.35">
      <c r="A814">
        <v>813</v>
      </c>
      <c r="B814">
        <v>2470</v>
      </c>
      <c r="C814" t="str">
        <f t="shared" si="36"/>
        <v>Medium</v>
      </c>
      <c r="D814">
        <v>3</v>
      </c>
      <c r="E814">
        <v>4</v>
      </c>
      <c r="F814">
        <v>2</v>
      </c>
      <c r="G814">
        <v>1962</v>
      </c>
      <c r="H814" t="str">
        <f t="shared" si="37"/>
        <v>1950-1975</v>
      </c>
      <c r="I814" t="s">
        <v>10</v>
      </c>
      <c r="J814" t="s">
        <v>11</v>
      </c>
      <c r="K814" t="s">
        <v>12</v>
      </c>
      <c r="L814" s="4">
        <v>818103</v>
      </c>
      <c r="M814" t="str">
        <f t="shared" si="38"/>
        <v>Premium</v>
      </c>
    </row>
    <row r="815" spans="1:13" x14ac:dyDescent="0.35">
      <c r="A815">
        <v>814</v>
      </c>
      <c r="B815">
        <v>697</v>
      </c>
      <c r="C815" t="str">
        <f t="shared" si="36"/>
        <v>Small</v>
      </c>
      <c r="D815">
        <v>1</v>
      </c>
      <c r="E815">
        <v>4</v>
      </c>
      <c r="F815">
        <v>1</v>
      </c>
      <c r="G815">
        <v>1910</v>
      </c>
      <c r="H815" t="str">
        <f t="shared" si="37"/>
        <v>Pre-1950</v>
      </c>
      <c r="I815" t="s">
        <v>19</v>
      </c>
      <c r="J815" t="s">
        <v>15</v>
      </c>
      <c r="K815" t="s">
        <v>16</v>
      </c>
      <c r="L815" s="4">
        <v>920181</v>
      </c>
      <c r="M815" t="str">
        <f t="shared" si="38"/>
        <v>Premium</v>
      </c>
    </row>
    <row r="816" spans="1:13" x14ac:dyDescent="0.35">
      <c r="A816">
        <v>815</v>
      </c>
      <c r="B816">
        <v>3126</v>
      </c>
      <c r="C816" t="str">
        <f t="shared" si="36"/>
        <v>Large</v>
      </c>
      <c r="D816">
        <v>4</v>
      </c>
      <c r="E816">
        <v>3</v>
      </c>
      <c r="F816">
        <v>1</v>
      </c>
      <c r="G816">
        <v>1930</v>
      </c>
      <c r="H816" t="str">
        <f t="shared" si="37"/>
        <v>Pre-1950</v>
      </c>
      <c r="I816" t="s">
        <v>17</v>
      </c>
      <c r="J816" t="s">
        <v>13</v>
      </c>
      <c r="K816" t="s">
        <v>12</v>
      </c>
      <c r="L816" s="4">
        <v>283127</v>
      </c>
      <c r="M816" t="str">
        <f t="shared" si="38"/>
        <v>Medium</v>
      </c>
    </row>
    <row r="817" spans="1:13" x14ac:dyDescent="0.35">
      <c r="A817">
        <v>816</v>
      </c>
      <c r="B817">
        <v>1702</v>
      </c>
      <c r="C817" t="str">
        <f t="shared" si="36"/>
        <v>Medium</v>
      </c>
      <c r="D817">
        <v>5</v>
      </c>
      <c r="E817">
        <v>2</v>
      </c>
      <c r="F817">
        <v>2</v>
      </c>
      <c r="G817">
        <v>1948</v>
      </c>
      <c r="H817" t="str">
        <f t="shared" si="37"/>
        <v>Pre-1950</v>
      </c>
      <c r="I817" t="s">
        <v>19</v>
      </c>
      <c r="J817" t="s">
        <v>13</v>
      </c>
      <c r="K817" t="s">
        <v>12</v>
      </c>
      <c r="L817" s="4">
        <v>554434</v>
      </c>
      <c r="M817" t="str">
        <f t="shared" si="38"/>
        <v>High</v>
      </c>
    </row>
    <row r="818" spans="1:13" x14ac:dyDescent="0.35">
      <c r="A818">
        <v>817</v>
      </c>
      <c r="B818">
        <v>2535</v>
      </c>
      <c r="C818" t="str">
        <f t="shared" si="36"/>
        <v>Large</v>
      </c>
      <c r="D818">
        <v>3</v>
      </c>
      <c r="E818">
        <v>3</v>
      </c>
      <c r="F818">
        <v>1</v>
      </c>
      <c r="G818">
        <v>2011</v>
      </c>
      <c r="H818" t="str">
        <f t="shared" si="37"/>
        <v>Post-2000</v>
      </c>
      <c r="I818" t="s">
        <v>14</v>
      </c>
      <c r="J818" t="s">
        <v>13</v>
      </c>
      <c r="K818" t="s">
        <v>16</v>
      </c>
      <c r="L818" s="4">
        <v>191295</v>
      </c>
      <c r="M818" t="str">
        <f t="shared" si="38"/>
        <v>Low</v>
      </c>
    </row>
    <row r="819" spans="1:13" x14ac:dyDescent="0.35">
      <c r="A819">
        <v>818</v>
      </c>
      <c r="B819">
        <v>977</v>
      </c>
      <c r="C819" t="str">
        <f t="shared" si="36"/>
        <v>Small</v>
      </c>
      <c r="D819">
        <v>5</v>
      </c>
      <c r="E819">
        <v>4</v>
      </c>
      <c r="F819">
        <v>1</v>
      </c>
      <c r="G819">
        <v>2002</v>
      </c>
      <c r="H819" t="str">
        <f t="shared" si="37"/>
        <v>Post-2000</v>
      </c>
      <c r="I819" t="s">
        <v>19</v>
      </c>
      <c r="J819" t="s">
        <v>11</v>
      </c>
      <c r="K819" t="s">
        <v>12</v>
      </c>
      <c r="L819" s="4">
        <v>229238</v>
      </c>
      <c r="M819" t="str">
        <f t="shared" si="38"/>
        <v>Medium</v>
      </c>
    </row>
    <row r="820" spans="1:13" x14ac:dyDescent="0.35">
      <c r="A820">
        <v>819</v>
      </c>
      <c r="B820">
        <v>1754</v>
      </c>
      <c r="C820" t="str">
        <f t="shared" si="36"/>
        <v>Medium</v>
      </c>
      <c r="D820">
        <v>2</v>
      </c>
      <c r="E820">
        <v>4</v>
      </c>
      <c r="F820">
        <v>2</v>
      </c>
      <c r="G820">
        <v>1999</v>
      </c>
      <c r="H820" t="str">
        <f t="shared" si="37"/>
        <v>1976-2000</v>
      </c>
      <c r="I820" t="s">
        <v>10</v>
      </c>
      <c r="J820" t="s">
        <v>11</v>
      </c>
      <c r="K820" t="s">
        <v>12</v>
      </c>
      <c r="L820" s="4">
        <v>89369</v>
      </c>
      <c r="M820" t="str">
        <f t="shared" si="38"/>
        <v>Low</v>
      </c>
    </row>
    <row r="821" spans="1:13" x14ac:dyDescent="0.35">
      <c r="A821">
        <v>820</v>
      </c>
      <c r="B821">
        <v>1422</v>
      </c>
      <c r="C821" t="str">
        <f t="shared" si="36"/>
        <v>Medium</v>
      </c>
      <c r="D821">
        <v>3</v>
      </c>
      <c r="E821">
        <v>4</v>
      </c>
      <c r="F821">
        <v>1</v>
      </c>
      <c r="G821">
        <v>1993</v>
      </c>
      <c r="H821" t="str">
        <f t="shared" si="37"/>
        <v>1976-2000</v>
      </c>
      <c r="I821" t="s">
        <v>17</v>
      </c>
      <c r="J821" t="s">
        <v>13</v>
      </c>
      <c r="K821" t="s">
        <v>16</v>
      </c>
      <c r="L821" s="4">
        <v>922811</v>
      </c>
      <c r="M821" t="str">
        <f t="shared" si="38"/>
        <v>Premium</v>
      </c>
    </row>
    <row r="822" spans="1:13" x14ac:dyDescent="0.35">
      <c r="A822">
        <v>821</v>
      </c>
      <c r="B822">
        <v>919</v>
      </c>
      <c r="C822" t="str">
        <f t="shared" si="36"/>
        <v>Small</v>
      </c>
      <c r="D822">
        <v>4</v>
      </c>
      <c r="E822">
        <v>3</v>
      </c>
      <c r="F822">
        <v>1</v>
      </c>
      <c r="G822">
        <v>1986</v>
      </c>
      <c r="H822" t="str">
        <f t="shared" si="37"/>
        <v>1976-2000</v>
      </c>
      <c r="I822" t="s">
        <v>17</v>
      </c>
      <c r="J822" t="s">
        <v>13</v>
      </c>
      <c r="K822" t="s">
        <v>12</v>
      </c>
      <c r="L822" s="4">
        <v>905824</v>
      </c>
      <c r="M822" t="str">
        <f t="shared" si="38"/>
        <v>Premium</v>
      </c>
    </row>
    <row r="823" spans="1:13" x14ac:dyDescent="0.35">
      <c r="A823">
        <v>822</v>
      </c>
      <c r="B823">
        <v>2704</v>
      </c>
      <c r="C823" t="str">
        <f t="shared" si="36"/>
        <v>Large</v>
      </c>
      <c r="D823">
        <v>3</v>
      </c>
      <c r="E823">
        <v>2</v>
      </c>
      <c r="F823">
        <v>3</v>
      </c>
      <c r="G823">
        <v>1918</v>
      </c>
      <c r="H823" t="str">
        <f t="shared" si="37"/>
        <v>Pre-1950</v>
      </c>
      <c r="I823" t="s">
        <v>19</v>
      </c>
      <c r="J823" t="s">
        <v>15</v>
      </c>
      <c r="K823" t="s">
        <v>16</v>
      </c>
      <c r="L823" s="4">
        <v>849093</v>
      </c>
      <c r="M823" t="str">
        <f t="shared" si="38"/>
        <v>Premium</v>
      </c>
    </row>
    <row r="824" spans="1:13" x14ac:dyDescent="0.35">
      <c r="A824">
        <v>823</v>
      </c>
      <c r="B824">
        <v>3097</v>
      </c>
      <c r="C824" t="str">
        <f t="shared" si="36"/>
        <v>Large</v>
      </c>
      <c r="D824">
        <v>5</v>
      </c>
      <c r="E824">
        <v>1</v>
      </c>
      <c r="F824">
        <v>2</v>
      </c>
      <c r="G824">
        <v>1911</v>
      </c>
      <c r="H824" t="str">
        <f t="shared" si="37"/>
        <v>Pre-1950</v>
      </c>
      <c r="I824" t="s">
        <v>19</v>
      </c>
      <c r="J824" t="s">
        <v>15</v>
      </c>
      <c r="K824" t="s">
        <v>12</v>
      </c>
      <c r="L824" s="4">
        <v>720951</v>
      </c>
      <c r="M824" t="str">
        <f t="shared" si="38"/>
        <v>Premium</v>
      </c>
    </row>
    <row r="825" spans="1:13" x14ac:dyDescent="0.35">
      <c r="A825">
        <v>824</v>
      </c>
      <c r="B825">
        <v>1620</v>
      </c>
      <c r="C825" t="str">
        <f t="shared" si="36"/>
        <v>Medium</v>
      </c>
      <c r="D825">
        <v>1</v>
      </c>
      <c r="E825">
        <v>3</v>
      </c>
      <c r="F825">
        <v>3</v>
      </c>
      <c r="G825">
        <v>1914</v>
      </c>
      <c r="H825" t="str">
        <f t="shared" si="37"/>
        <v>Pre-1950</v>
      </c>
      <c r="I825" t="s">
        <v>14</v>
      </c>
      <c r="J825" t="s">
        <v>18</v>
      </c>
      <c r="K825" t="s">
        <v>16</v>
      </c>
      <c r="L825" s="4">
        <v>383862</v>
      </c>
      <c r="M825" t="str">
        <f t="shared" si="38"/>
        <v>Medium</v>
      </c>
    </row>
    <row r="826" spans="1:13" x14ac:dyDescent="0.35">
      <c r="A826">
        <v>825</v>
      </c>
      <c r="B826">
        <v>3568</v>
      </c>
      <c r="C826" t="str">
        <f t="shared" si="36"/>
        <v>Large</v>
      </c>
      <c r="D826">
        <v>3</v>
      </c>
      <c r="E826">
        <v>4</v>
      </c>
      <c r="F826">
        <v>3</v>
      </c>
      <c r="G826">
        <v>1930</v>
      </c>
      <c r="H826" t="str">
        <f t="shared" si="37"/>
        <v>Pre-1950</v>
      </c>
      <c r="I826" t="s">
        <v>14</v>
      </c>
      <c r="J826" t="s">
        <v>15</v>
      </c>
      <c r="K826" t="s">
        <v>16</v>
      </c>
      <c r="L826" s="4">
        <v>760595</v>
      </c>
      <c r="M826" t="str">
        <f t="shared" si="38"/>
        <v>Premium</v>
      </c>
    </row>
    <row r="827" spans="1:13" x14ac:dyDescent="0.35">
      <c r="A827">
        <v>826</v>
      </c>
      <c r="B827">
        <v>1450</v>
      </c>
      <c r="C827" t="str">
        <f t="shared" si="36"/>
        <v>Medium</v>
      </c>
      <c r="D827">
        <v>4</v>
      </c>
      <c r="E827">
        <v>3</v>
      </c>
      <c r="F827">
        <v>3</v>
      </c>
      <c r="G827">
        <v>1942</v>
      </c>
      <c r="H827" t="str">
        <f t="shared" si="37"/>
        <v>Pre-1950</v>
      </c>
      <c r="I827" t="s">
        <v>10</v>
      </c>
      <c r="J827" t="s">
        <v>15</v>
      </c>
      <c r="K827" t="s">
        <v>16</v>
      </c>
      <c r="L827" s="4">
        <v>320114</v>
      </c>
      <c r="M827" t="str">
        <f t="shared" si="38"/>
        <v>Medium</v>
      </c>
    </row>
    <row r="828" spans="1:13" x14ac:dyDescent="0.35">
      <c r="A828">
        <v>827</v>
      </c>
      <c r="B828">
        <v>2836</v>
      </c>
      <c r="C828" t="str">
        <f t="shared" si="36"/>
        <v>Large</v>
      </c>
      <c r="D828">
        <v>2</v>
      </c>
      <c r="E828">
        <v>4</v>
      </c>
      <c r="F828">
        <v>1</v>
      </c>
      <c r="G828">
        <v>2000</v>
      </c>
      <c r="H828" t="str">
        <f t="shared" si="37"/>
        <v>1976-2000</v>
      </c>
      <c r="I828" t="s">
        <v>10</v>
      </c>
      <c r="J828" t="s">
        <v>15</v>
      </c>
      <c r="K828" t="s">
        <v>12</v>
      </c>
      <c r="L828" s="4">
        <v>97922</v>
      </c>
      <c r="M828" t="str">
        <f t="shared" si="38"/>
        <v>Low</v>
      </c>
    </row>
    <row r="829" spans="1:13" x14ac:dyDescent="0.35">
      <c r="A829">
        <v>828</v>
      </c>
      <c r="B829">
        <v>2743</v>
      </c>
      <c r="C829" t="str">
        <f t="shared" si="36"/>
        <v>Large</v>
      </c>
      <c r="D829">
        <v>1</v>
      </c>
      <c r="E829">
        <v>1</v>
      </c>
      <c r="F829">
        <v>1</v>
      </c>
      <c r="G829">
        <v>1936</v>
      </c>
      <c r="H829" t="str">
        <f t="shared" si="37"/>
        <v>Pre-1950</v>
      </c>
      <c r="I829" t="s">
        <v>10</v>
      </c>
      <c r="J829" t="s">
        <v>11</v>
      </c>
      <c r="K829" t="s">
        <v>12</v>
      </c>
      <c r="L829" s="4">
        <v>543614</v>
      </c>
      <c r="M829" t="str">
        <f t="shared" si="38"/>
        <v>High</v>
      </c>
    </row>
    <row r="830" spans="1:13" x14ac:dyDescent="0.35">
      <c r="A830">
        <v>829</v>
      </c>
      <c r="B830">
        <v>3145</v>
      </c>
      <c r="C830" t="str">
        <f t="shared" si="36"/>
        <v>Large</v>
      </c>
      <c r="D830">
        <v>2</v>
      </c>
      <c r="E830">
        <v>1</v>
      </c>
      <c r="F830">
        <v>3</v>
      </c>
      <c r="G830">
        <v>1978</v>
      </c>
      <c r="H830" t="str">
        <f t="shared" si="37"/>
        <v>1976-2000</v>
      </c>
      <c r="I830" t="s">
        <v>19</v>
      </c>
      <c r="J830" t="s">
        <v>15</v>
      </c>
      <c r="K830" t="s">
        <v>16</v>
      </c>
      <c r="L830" s="4">
        <v>867187</v>
      </c>
      <c r="M830" t="str">
        <f t="shared" si="38"/>
        <v>Premium</v>
      </c>
    </row>
    <row r="831" spans="1:13" x14ac:dyDescent="0.35">
      <c r="A831">
        <v>830</v>
      </c>
      <c r="B831">
        <v>2357</v>
      </c>
      <c r="C831" t="str">
        <f t="shared" si="36"/>
        <v>Medium</v>
      </c>
      <c r="D831">
        <v>3</v>
      </c>
      <c r="E831">
        <v>2</v>
      </c>
      <c r="F831">
        <v>3</v>
      </c>
      <c r="G831">
        <v>1928</v>
      </c>
      <c r="H831" t="str">
        <f t="shared" si="37"/>
        <v>Pre-1950</v>
      </c>
      <c r="I831" t="s">
        <v>19</v>
      </c>
      <c r="J831" t="s">
        <v>15</v>
      </c>
      <c r="K831" t="s">
        <v>16</v>
      </c>
      <c r="L831" s="4">
        <v>695214</v>
      </c>
      <c r="M831" t="str">
        <f t="shared" si="38"/>
        <v>Premium</v>
      </c>
    </row>
    <row r="832" spans="1:13" x14ac:dyDescent="0.35">
      <c r="A832">
        <v>831</v>
      </c>
      <c r="B832">
        <v>2365</v>
      </c>
      <c r="C832" t="str">
        <f t="shared" si="36"/>
        <v>Medium</v>
      </c>
      <c r="D832">
        <v>5</v>
      </c>
      <c r="E832">
        <v>4</v>
      </c>
      <c r="F832">
        <v>3</v>
      </c>
      <c r="G832">
        <v>2013</v>
      </c>
      <c r="H832" t="str">
        <f t="shared" si="37"/>
        <v>Post-2000</v>
      </c>
      <c r="I832" t="s">
        <v>17</v>
      </c>
      <c r="J832" t="s">
        <v>13</v>
      </c>
      <c r="K832" t="s">
        <v>12</v>
      </c>
      <c r="L832" s="4">
        <v>69416</v>
      </c>
      <c r="M832" t="str">
        <f t="shared" si="38"/>
        <v>Low</v>
      </c>
    </row>
    <row r="833" spans="1:13" x14ac:dyDescent="0.35">
      <c r="A833">
        <v>832</v>
      </c>
      <c r="B833">
        <v>3412</v>
      </c>
      <c r="C833" t="str">
        <f t="shared" si="36"/>
        <v>Large</v>
      </c>
      <c r="D833">
        <v>5</v>
      </c>
      <c r="E833">
        <v>2</v>
      </c>
      <c r="F833">
        <v>1</v>
      </c>
      <c r="G833">
        <v>2006</v>
      </c>
      <c r="H833" t="str">
        <f t="shared" si="37"/>
        <v>Post-2000</v>
      </c>
      <c r="I833" t="s">
        <v>10</v>
      </c>
      <c r="J833" t="s">
        <v>11</v>
      </c>
      <c r="K833" t="s">
        <v>12</v>
      </c>
      <c r="L833" s="4">
        <v>63672</v>
      </c>
      <c r="M833" t="str">
        <f t="shared" si="38"/>
        <v>Low</v>
      </c>
    </row>
    <row r="834" spans="1:13" x14ac:dyDescent="0.35">
      <c r="A834">
        <v>833</v>
      </c>
      <c r="B834">
        <v>3353</v>
      </c>
      <c r="C834" t="str">
        <f t="shared" si="36"/>
        <v>Large</v>
      </c>
      <c r="D834">
        <v>4</v>
      </c>
      <c r="E834">
        <v>2</v>
      </c>
      <c r="F834">
        <v>3</v>
      </c>
      <c r="G834">
        <v>1925</v>
      </c>
      <c r="H834" t="str">
        <f t="shared" si="37"/>
        <v>Pre-1950</v>
      </c>
      <c r="I834" t="s">
        <v>19</v>
      </c>
      <c r="J834" t="s">
        <v>18</v>
      </c>
      <c r="K834" t="s">
        <v>12</v>
      </c>
      <c r="L834" s="4">
        <v>526684</v>
      </c>
      <c r="M834" t="str">
        <f t="shared" si="38"/>
        <v>High</v>
      </c>
    </row>
    <row r="835" spans="1:13" x14ac:dyDescent="0.35">
      <c r="A835">
        <v>834</v>
      </c>
      <c r="B835">
        <v>3728</v>
      </c>
      <c r="C835" t="str">
        <f t="shared" ref="C835:C898" si="39">IF(B835&lt;=1000,"Small",IF(B835&lt;=2500,"Medium",IF(B835&lt;=4000,"Large",IF(B835&gt;=4000,"Extra Large"))))</f>
        <v>Large</v>
      </c>
      <c r="D835">
        <v>5</v>
      </c>
      <c r="E835">
        <v>1</v>
      </c>
      <c r="F835">
        <v>3</v>
      </c>
      <c r="G835">
        <v>2007</v>
      </c>
      <c r="H835" t="str">
        <f t="shared" ref="H835:H898" si="40">IF(G835&lt;=1950,"Pre-1950",IF(G835&lt;=1975,"1950-1975",IF(G835&lt;=2000,"1976-2000",IF(G835&gt;=2000,"Post-2000"))))</f>
        <v>Post-2000</v>
      </c>
      <c r="I835" t="s">
        <v>17</v>
      </c>
      <c r="J835" t="s">
        <v>18</v>
      </c>
      <c r="K835" t="s">
        <v>12</v>
      </c>
      <c r="L835" s="4">
        <v>178145</v>
      </c>
      <c r="M835" t="str">
        <f t="shared" ref="M835:M898" si="41">IF(L835&lt;=200000,"Low",IF(L835&lt;=400000,"Medium",IF(L835&lt;=600000,"High",IF(L835&gt;=600000,"Premium",""))))</f>
        <v>Low</v>
      </c>
    </row>
    <row r="836" spans="1:13" x14ac:dyDescent="0.35">
      <c r="A836">
        <v>835</v>
      </c>
      <c r="B836">
        <v>4219</v>
      </c>
      <c r="C836" t="str">
        <f t="shared" si="39"/>
        <v>Extra Large</v>
      </c>
      <c r="D836">
        <v>1</v>
      </c>
      <c r="E836">
        <v>3</v>
      </c>
      <c r="F836">
        <v>2</v>
      </c>
      <c r="G836">
        <v>1901</v>
      </c>
      <c r="H836" t="str">
        <f t="shared" si="40"/>
        <v>Pre-1950</v>
      </c>
      <c r="I836" t="s">
        <v>10</v>
      </c>
      <c r="J836" t="s">
        <v>15</v>
      </c>
      <c r="K836" t="s">
        <v>12</v>
      </c>
      <c r="L836" s="4">
        <v>752356</v>
      </c>
      <c r="M836" t="str">
        <f t="shared" si="41"/>
        <v>Premium</v>
      </c>
    </row>
    <row r="837" spans="1:13" x14ac:dyDescent="0.35">
      <c r="A837">
        <v>836</v>
      </c>
      <c r="B837">
        <v>3728</v>
      </c>
      <c r="C837" t="str">
        <f t="shared" si="39"/>
        <v>Large</v>
      </c>
      <c r="D837">
        <v>5</v>
      </c>
      <c r="E837">
        <v>3</v>
      </c>
      <c r="F837">
        <v>2</v>
      </c>
      <c r="G837">
        <v>1983</v>
      </c>
      <c r="H837" t="str">
        <f t="shared" si="40"/>
        <v>1976-2000</v>
      </c>
      <c r="I837" t="s">
        <v>14</v>
      </c>
      <c r="J837" t="s">
        <v>18</v>
      </c>
      <c r="K837" t="s">
        <v>16</v>
      </c>
      <c r="L837" s="4">
        <v>910527</v>
      </c>
      <c r="M837" t="str">
        <f t="shared" si="41"/>
        <v>Premium</v>
      </c>
    </row>
    <row r="838" spans="1:13" x14ac:dyDescent="0.35">
      <c r="A838">
        <v>837</v>
      </c>
      <c r="B838">
        <v>2871</v>
      </c>
      <c r="C838" t="str">
        <f t="shared" si="39"/>
        <v>Large</v>
      </c>
      <c r="D838">
        <v>4</v>
      </c>
      <c r="E838">
        <v>2</v>
      </c>
      <c r="F838">
        <v>1</v>
      </c>
      <c r="G838">
        <v>1914</v>
      </c>
      <c r="H838" t="str">
        <f t="shared" si="40"/>
        <v>Pre-1950</v>
      </c>
      <c r="I838" t="s">
        <v>14</v>
      </c>
      <c r="J838" t="s">
        <v>18</v>
      </c>
      <c r="K838" t="s">
        <v>12</v>
      </c>
      <c r="L838" s="4">
        <v>50064</v>
      </c>
      <c r="M838" t="str">
        <f t="shared" si="41"/>
        <v>Low</v>
      </c>
    </row>
    <row r="839" spans="1:13" x14ac:dyDescent="0.35">
      <c r="A839">
        <v>838</v>
      </c>
      <c r="B839">
        <v>3391</v>
      </c>
      <c r="C839" t="str">
        <f t="shared" si="39"/>
        <v>Large</v>
      </c>
      <c r="D839">
        <v>3</v>
      </c>
      <c r="E839">
        <v>1</v>
      </c>
      <c r="F839">
        <v>2</v>
      </c>
      <c r="G839">
        <v>2015</v>
      </c>
      <c r="H839" t="str">
        <f t="shared" si="40"/>
        <v>Post-2000</v>
      </c>
      <c r="I839" t="s">
        <v>19</v>
      </c>
      <c r="J839" t="s">
        <v>18</v>
      </c>
      <c r="K839" t="s">
        <v>16</v>
      </c>
      <c r="L839" s="4">
        <v>118835</v>
      </c>
      <c r="M839" t="str">
        <f t="shared" si="41"/>
        <v>Low</v>
      </c>
    </row>
    <row r="840" spans="1:13" x14ac:dyDescent="0.35">
      <c r="A840">
        <v>839</v>
      </c>
      <c r="B840">
        <v>4256</v>
      </c>
      <c r="C840" t="str">
        <f t="shared" si="39"/>
        <v>Extra Large</v>
      </c>
      <c r="D840">
        <v>3</v>
      </c>
      <c r="E840">
        <v>4</v>
      </c>
      <c r="F840">
        <v>2</v>
      </c>
      <c r="G840">
        <v>1903</v>
      </c>
      <c r="H840" t="str">
        <f t="shared" si="40"/>
        <v>Pre-1950</v>
      </c>
      <c r="I840" t="s">
        <v>17</v>
      </c>
      <c r="J840" t="s">
        <v>15</v>
      </c>
      <c r="K840" t="s">
        <v>12</v>
      </c>
      <c r="L840" s="4">
        <v>251457</v>
      </c>
      <c r="M840" t="str">
        <f t="shared" si="41"/>
        <v>Medium</v>
      </c>
    </row>
    <row r="841" spans="1:13" x14ac:dyDescent="0.35">
      <c r="A841">
        <v>840</v>
      </c>
      <c r="B841">
        <v>4725</v>
      </c>
      <c r="C841" t="str">
        <f t="shared" si="39"/>
        <v>Extra Large</v>
      </c>
      <c r="D841">
        <v>5</v>
      </c>
      <c r="E841">
        <v>3</v>
      </c>
      <c r="F841">
        <v>2</v>
      </c>
      <c r="G841">
        <v>1985</v>
      </c>
      <c r="H841" t="str">
        <f t="shared" si="40"/>
        <v>1976-2000</v>
      </c>
      <c r="I841" t="s">
        <v>14</v>
      </c>
      <c r="J841" t="s">
        <v>18</v>
      </c>
      <c r="K841" t="s">
        <v>16</v>
      </c>
      <c r="L841" s="4">
        <v>973143</v>
      </c>
      <c r="M841" t="str">
        <f t="shared" si="41"/>
        <v>Premium</v>
      </c>
    </row>
    <row r="842" spans="1:13" x14ac:dyDescent="0.35">
      <c r="A842">
        <v>841</v>
      </c>
      <c r="B842">
        <v>594</v>
      </c>
      <c r="C842" t="str">
        <f t="shared" si="39"/>
        <v>Small</v>
      </c>
      <c r="D842">
        <v>2</v>
      </c>
      <c r="E842">
        <v>2</v>
      </c>
      <c r="F842">
        <v>1</v>
      </c>
      <c r="G842">
        <v>1949</v>
      </c>
      <c r="H842" t="str">
        <f t="shared" si="40"/>
        <v>Pre-1950</v>
      </c>
      <c r="I842" t="s">
        <v>17</v>
      </c>
      <c r="J842" t="s">
        <v>15</v>
      </c>
      <c r="K842" t="s">
        <v>16</v>
      </c>
      <c r="L842" s="4">
        <v>297795</v>
      </c>
      <c r="M842" t="str">
        <f t="shared" si="41"/>
        <v>Medium</v>
      </c>
    </row>
    <row r="843" spans="1:13" x14ac:dyDescent="0.35">
      <c r="A843">
        <v>842</v>
      </c>
      <c r="B843">
        <v>3174</v>
      </c>
      <c r="C843" t="str">
        <f t="shared" si="39"/>
        <v>Large</v>
      </c>
      <c r="D843">
        <v>3</v>
      </c>
      <c r="E843">
        <v>3</v>
      </c>
      <c r="F843">
        <v>2</v>
      </c>
      <c r="G843">
        <v>1937</v>
      </c>
      <c r="H843" t="str">
        <f t="shared" si="40"/>
        <v>Pre-1950</v>
      </c>
      <c r="I843" t="s">
        <v>17</v>
      </c>
      <c r="J843" t="s">
        <v>13</v>
      </c>
      <c r="K843" t="s">
        <v>12</v>
      </c>
      <c r="L843" s="4">
        <v>454271</v>
      </c>
      <c r="M843" t="str">
        <f t="shared" si="41"/>
        <v>High</v>
      </c>
    </row>
    <row r="844" spans="1:13" x14ac:dyDescent="0.35">
      <c r="A844">
        <v>843</v>
      </c>
      <c r="B844">
        <v>2455</v>
      </c>
      <c r="C844" t="str">
        <f t="shared" si="39"/>
        <v>Medium</v>
      </c>
      <c r="D844">
        <v>5</v>
      </c>
      <c r="E844">
        <v>3</v>
      </c>
      <c r="F844">
        <v>1</v>
      </c>
      <c r="G844">
        <v>1922</v>
      </c>
      <c r="H844" t="str">
        <f t="shared" si="40"/>
        <v>Pre-1950</v>
      </c>
      <c r="I844" t="s">
        <v>14</v>
      </c>
      <c r="J844" t="s">
        <v>13</v>
      </c>
      <c r="K844" t="s">
        <v>16</v>
      </c>
      <c r="L844" s="4">
        <v>399738</v>
      </c>
      <c r="M844" t="str">
        <f t="shared" si="41"/>
        <v>Medium</v>
      </c>
    </row>
    <row r="845" spans="1:13" x14ac:dyDescent="0.35">
      <c r="A845">
        <v>844</v>
      </c>
      <c r="B845">
        <v>1293</v>
      </c>
      <c r="C845" t="str">
        <f t="shared" si="39"/>
        <v>Medium</v>
      </c>
      <c r="D845">
        <v>4</v>
      </c>
      <c r="E845">
        <v>4</v>
      </c>
      <c r="F845">
        <v>3</v>
      </c>
      <c r="G845">
        <v>1958</v>
      </c>
      <c r="H845" t="str">
        <f t="shared" si="40"/>
        <v>1950-1975</v>
      </c>
      <c r="I845" t="s">
        <v>17</v>
      </c>
      <c r="J845" t="s">
        <v>18</v>
      </c>
      <c r="K845" t="s">
        <v>16</v>
      </c>
      <c r="L845" s="4">
        <v>996931</v>
      </c>
      <c r="M845" t="str">
        <f t="shared" si="41"/>
        <v>Premium</v>
      </c>
    </row>
    <row r="846" spans="1:13" x14ac:dyDescent="0.35">
      <c r="A846">
        <v>845</v>
      </c>
      <c r="B846">
        <v>2334</v>
      </c>
      <c r="C846" t="str">
        <f t="shared" si="39"/>
        <v>Medium</v>
      </c>
      <c r="D846">
        <v>5</v>
      </c>
      <c r="E846">
        <v>1</v>
      </c>
      <c r="F846">
        <v>2</v>
      </c>
      <c r="G846">
        <v>1989</v>
      </c>
      <c r="H846" t="str">
        <f t="shared" si="40"/>
        <v>1976-2000</v>
      </c>
      <c r="I846" t="s">
        <v>14</v>
      </c>
      <c r="J846" t="s">
        <v>13</v>
      </c>
      <c r="K846" t="s">
        <v>16</v>
      </c>
      <c r="L846" s="4">
        <v>691204</v>
      </c>
      <c r="M846" t="str">
        <f t="shared" si="41"/>
        <v>Premium</v>
      </c>
    </row>
    <row r="847" spans="1:13" x14ac:dyDescent="0.35">
      <c r="A847">
        <v>846</v>
      </c>
      <c r="B847">
        <v>2616</v>
      </c>
      <c r="C847" t="str">
        <f t="shared" si="39"/>
        <v>Large</v>
      </c>
      <c r="D847">
        <v>3</v>
      </c>
      <c r="E847">
        <v>4</v>
      </c>
      <c r="F847">
        <v>1</v>
      </c>
      <c r="G847">
        <v>2014</v>
      </c>
      <c r="H847" t="str">
        <f t="shared" si="40"/>
        <v>Post-2000</v>
      </c>
      <c r="I847" t="s">
        <v>19</v>
      </c>
      <c r="J847" t="s">
        <v>15</v>
      </c>
      <c r="K847" t="s">
        <v>16</v>
      </c>
      <c r="L847" s="4">
        <v>956740</v>
      </c>
      <c r="M847" t="str">
        <f t="shared" si="41"/>
        <v>Premium</v>
      </c>
    </row>
    <row r="848" spans="1:13" x14ac:dyDescent="0.35">
      <c r="A848">
        <v>847</v>
      </c>
      <c r="B848">
        <v>4606</v>
      </c>
      <c r="C848" t="str">
        <f t="shared" si="39"/>
        <v>Extra Large</v>
      </c>
      <c r="D848">
        <v>4</v>
      </c>
      <c r="E848">
        <v>1</v>
      </c>
      <c r="F848">
        <v>2</v>
      </c>
      <c r="G848">
        <v>1974</v>
      </c>
      <c r="H848" t="str">
        <f t="shared" si="40"/>
        <v>1950-1975</v>
      </c>
      <c r="I848" t="s">
        <v>10</v>
      </c>
      <c r="J848" t="s">
        <v>13</v>
      </c>
      <c r="K848" t="s">
        <v>12</v>
      </c>
      <c r="L848" s="4">
        <v>918948</v>
      </c>
      <c r="M848" t="str">
        <f t="shared" si="41"/>
        <v>Premium</v>
      </c>
    </row>
    <row r="849" spans="1:13" x14ac:dyDescent="0.35">
      <c r="A849">
        <v>848</v>
      </c>
      <c r="B849">
        <v>3825</v>
      </c>
      <c r="C849" t="str">
        <f t="shared" si="39"/>
        <v>Large</v>
      </c>
      <c r="D849">
        <v>5</v>
      </c>
      <c r="E849">
        <v>3</v>
      </c>
      <c r="F849">
        <v>3</v>
      </c>
      <c r="G849">
        <v>1927</v>
      </c>
      <c r="H849" t="str">
        <f t="shared" si="40"/>
        <v>Pre-1950</v>
      </c>
      <c r="I849" t="s">
        <v>10</v>
      </c>
      <c r="J849" t="s">
        <v>18</v>
      </c>
      <c r="K849" t="s">
        <v>16</v>
      </c>
      <c r="L849" s="4">
        <v>901098</v>
      </c>
      <c r="M849" t="str">
        <f t="shared" si="41"/>
        <v>Premium</v>
      </c>
    </row>
    <row r="850" spans="1:13" x14ac:dyDescent="0.35">
      <c r="A850">
        <v>849</v>
      </c>
      <c r="B850">
        <v>3419</v>
      </c>
      <c r="C850" t="str">
        <f t="shared" si="39"/>
        <v>Large</v>
      </c>
      <c r="D850">
        <v>1</v>
      </c>
      <c r="E850">
        <v>2</v>
      </c>
      <c r="F850">
        <v>1</v>
      </c>
      <c r="G850">
        <v>2019</v>
      </c>
      <c r="H850" t="str">
        <f t="shared" si="40"/>
        <v>Post-2000</v>
      </c>
      <c r="I850" t="s">
        <v>19</v>
      </c>
      <c r="J850" t="s">
        <v>15</v>
      </c>
      <c r="K850" t="s">
        <v>12</v>
      </c>
      <c r="L850" s="4">
        <v>245346</v>
      </c>
      <c r="M850" t="str">
        <f t="shared" si="41"/>
        <v>Medium</v>
      </c>
    </row>
    <row r="851" spans="1:13" x14ac:dyDescent="0.35">
      <c r="A851">
        <v>850</v>
      </c>
      <c r="B851">
        <v>3097</v>
      </c>
      <c r="C851" t="str">
        <f t="shared" si="39"/>
        <v>Large</v>
      </c>
      <c r="D851">
        <v>4</v>
      </c>
      <c r="E851">
        <v>4</v>
      </c>
      <c r="F851">
        <v>1</v>
      </c>
      <c r="G851">
        <v>1965</v>
      </c>
      <c r="H851" t="str">
        <f t="shared" si="40"/>
        <v>1950-1975</v>
      </c>
      <c r="I851" t="s">
        <v>14</v>
      </c>
      <c r="J851" t="s">
        <v>11</v>
      </c>
      <c r="K851" t="s">
        <v>16</v>
      </c>
      <c r="L851" s="4">
        <v>954726</v>
      </c>
      <c r="M851" t="str">
        <f t="shared" si="41"/>
        <v>Premium</v>
      </c>
    </row>
    <row r="852" spans="1:13" x14ac:dyDescent="0.35">
      <c r="A852">
        <v>851</v>
      </c>
      <c r="B852">
        <v>3705</v>
      </c>
      <c r="C852" t="str">
        <f t="shared" si="39"/>
        <v>Large</v>
      </c>
      <c r="D852">
        <v>1</v>
      </c>
      <c r="E852">
        <v>1</v>
      </c>
      <c r="F852">
        <v>1</v>
      </c>
      <c r="G852">
        <v>2022</v>
      </c>
      <c r="H852" t="str">
        <f t="shared" si="40"/>
        <v>Post-2000</v>
      </c>
      <c r="I852" t="s">
        <v>14</v>
      </c>
      <c r="J852" t="s">
        <v>15</v>
      </c>
      <c r="K852" t="s">
        <v>12</v>
      </c>
      <c r="L852" s="4">
        <v>323010</v>
      </c>
      <c r="M852" t="str">
        <f t="shared" si="41"/>
        <v>Medium</v>
      </c>
    </row>
    <row r="853" spans="1:13" x14ac:dyDescent="0.35">
      <c r="A853">
        <v>852</v>
      </c>
      <c r="B853">
        <v>1314</v>
      </c>
      <c r="C853" t="str">
        <f t="shared" si="39"/>
        <v>Medium</v>
      </c>
      <c r="D853">
        <v>2</v>
      </c>
      <c r="E853">
        <v>3</v>
      </c>
      <c r="F853">
        <v>3</v>
      </c>
      <c r="G853">
        <v>1907</v>
      </c>
      <c r="H853" t="str">
        <f t="shared" si="40"/>
        <v>Pre-1950</v>
      </c>
      <c r="I853" t="s">
        <v>14</v>
      </c>
      <c r="J853" t="s">
        <v>13</v>
      </c>
      <c r="K853" t="s">
        <v>12</v>
      </c>
      <c r="L853" s="4">
        <v>53889</v>
      </c>
      <c r="M853" t="str">
        <f t="shared" si="41"/>
        <v>Low</v>
      </c>
    </row>
    <row r="854" spans="1:13" x14ac:dyDescent="0.35">
      <c r="A854">
        <v>853</v>
      </c>
      <c r="B854">
        <v>845</v>
      </c>
      <c r="C854" t="str">
        <f t="shared" si="39"/>
        <v>Small</v>
      </c>
      <c r="D854">
        <v>4</v>
      </c>
      <c r="E854">
        <v>1</v>
      </c>
      <c r="F854">
        <v>3</v>
      </c>
      <c r="G854">
        <v>1928</v>
      </c>
      <c r="H854" t="str">
        <f t="shared" si="40"/>
        <v>Pre-1950</v>
      </c>
      <c r="I854" t="s">
        <v>14</v>
      </c>
      <c r="J854" t="s">
        <v>11</v>
      </c>
      <c r="K854" t="s">
        <v>12</v>
      </c>
      <c r="L854" s="4">
        <v>168194</v>
      </c>
      <c r="M854" t="str">
        <f t="shared" si="41"/>
        <v>Low</v>
      </c>
    </row>
    <row r="855" spans="1:13" x14ac:dyDescent="0.35">
      <c r="A855">
        <v>854</v>
      </c>
      <c r="B855">
        <v>2849</v>
      </c>
      <c r="C855" t="str">
        <f t="shared" si="39"/>
        <v>Large</v>
      </c>
      <c r="D855">
        <v>1</v>
      </c>
      <c r="E855">
        <v>1</v>
      </c>
      <c r="F855">
        <v>3</v>
      </c>
      <c r="G855">
        <v>1910</v>
      </c>
      <c r="H855" t="str">
        <f t="shared" si="40"/>
        <v>Pre-1950</v>
      </c>
      <c r="I855" t="s">
        <v>19</v>
      </c>
      <c r="J855" t="s">
        <v>15</v>
      </c>
      <c r="K855" t="s">
        <v>16</v>
      </c>
      <c r="L855" s="4">
        <v>174714</v>
      </c>
      <c r="M855" t="str">
        <f t="shared" si="41"/>
        <v>Low</v>
      </c>
    </row>
    <row r="856" spans="1:13" x14ac:dyDescent="0.35">
      <c r="A856">
        <v>855</v>
      </c>
      <c r="B856">
        <v>862</v>
      </c>
      <c r="C856" t="str">
        <f t="shared" si="39"/>
        <v>Small</v>
      </c>
      <c r="D856">
        <v>3</v>
      </c>
      <c r="E856">
        <v>1</v>
      </c>
      <c r="F856">
        <v>1</v>
      </c>
      <c r="G856">
        <v>2000</v>
      </c>
      <c r="H856" t="str">
        <f t="shared" si="40"/>
        <v>1976-2000</v>
      </c>
      <c r="I856" t="s">
        <v>10</v>
      </c>
      <c r="J856" t="s">
        <v>11</v>
      </c>
      <c r="K856" t="s">
        <v>12</v>
      </c>
      <c r="L856" s="4">
        <v>605623</v>
      </c>
      <c r="M856" t="str">
        <f t="shared" si="41"/>
        <v>Premium</v>
      </c>
    </row>
    <row r="857" spans="1:13" x14ac:dyDescent="0.35">
      <c r="A857">
        <v>856</v>
      </c>
      <c r="B857">
        <v>2943</v>
      </c>
      <c r="C857" t="str">
        <f t="shared" si="39"/>
        <v>Large</v>
      </c>
      <c r="D857">
        <v>3</v>
      </c>
      <c r="E857">
        <v>3</v>
      </c>
      <c r="F857">
        <v>3</v>
      </c>
      <c r="G857">
        <v>1917</v>
      </c>
      <c r="H857" t="str">
        <f t="shared" si="40"/>
        <v>Pre-1950</v>
      </c>
      <c r="I857" t="s">
        <v>17</v>
      </c>
      <c r="J857" t="s">
        <v>11</v>
      </c>
      <c r="K857" t="s">
        <v>12</v>
      </c>
      <c r="L857" s="4">
        <v>100547</v>
      </c>
      <c r="M857" t="str">
        <f t="shared" si="41"/>
        <v>Low</v>
      </c>
    </row>
    <row r="858" spans="1:13" x14ac:dyDescent="0.35">
      <c r="A858">
        <v>857</v>
      </c>
      <c r="B858">
        <v>2765</v>
      </c>
      <c r="C858" t="str">
        <f t="shared" si="39"/>
        <v>Large</v>
      </c>
      <c r="D858">
        <v>2</v>
      </c>
      <c r="E858">
        <v>2</v>
      </c>
      <c r="F858">
        <v>2</v>
      </c>
      <c r="G858">
        <v>1954</v>
      </c>
      <c r="H858" t="str">
        <f t="shared" si="40"/>
        <v>1950-1975</v>
      </c>
      <c r="I858" t="s">
        <v>17</v>
      </c>
      <c r="J858" t="s">
        <v>11</v>
      </c>
      <c r="K858" t="s">
        <v>16</v>
      </c>
      <c r="L858" s="4">
        <v>207234</v>
      </c>
      <c r="M858" t="str">
        <f t="shared" si="41"/>
        <v>Medium</v>
      </c>
    </row>
    <row r="859" spans="1:13" x14ac:dyDescent="0.35">
      <c r="A859">
        <v>858</v>
      </c>
      <c r="B859">
        <v>2688</v>
      </c>
      <c r="C859" t="str">
        <f t="shared" si="39"/>
        <v>Large</v>
      </c>
      <c r="D859">
        <v>4</v>
      </c>
      <c r="E859">
        <v>2</v>
      </c>
      <c r="F859">
        <v>3</v>
      </c>
      <c r="G859">
        <v>1949</v>
      </c>
      <c r="H859" t="str">
        <f t="shared" si="40"/>
        <v>Pre-1950</v>
      </c>
      <c r="I859" t="s">
        <v>10</v>
      </c>
      <c r="J859" t="s">
        <v>15</v>
      </c>
      <c r="K859" t="s">
        <v>12</v>
      </c>
      <c r="L859" s="4">
        <v>794809</v>
      </c>
      <c r="M859" t="str">
        <f t="shared" si="41"/>
        <v>Premium</v>
      </c>
    </row>
    <row r="860" spans="1:13" x14ac:dyDescent="0.35">
      <c r="A860">
        <v>859</v>
      </c>
      <c r="B860">
        <v>3505</v>
      </c>
      <c r="C860" t="str">
        <f t="shared" si="39"/>
        <v>Large</v>
      </c>
      <c r="D860">
        <v>4</v>
      </c>
      <c r="E860">
        <v>2</v>
      </c>
      <c r="F860">
        <v>1</v>
      </c>
      <c r="G860">
        <v>1913</v>
      </c>
      <c r="H860" t="str">
        <f t="shared" si="40"/>
        <v>Pre-1950</v>
      </c>
      <c r="I860" t="s">
        <v>19</v>
      </c>
      <c r="J860" t="s">
        <v>13</v>
      </c>
      <c r="K860" t="s">
        <v>16</v>
      </c>
      <c r="L860" s="4">
        <v>730047</v>
      </c>
      <c r="M860" t="str">
        <f t="shared" si="41"/>
        <v>Premium</v>
      </c>
    </row>
    <row r="861" spans="1:13" x14ac:dyDescent="0.35">
      <c r="A861">
        <v>860</v>
      </c>
      <c r="B861">
        <v>3781</v>
      </c>
      <c r="C861" t="str">
        <f t="shared" si="39"/>
        <v>Large</v>
      </c>
      <c r="D861">
        <v>4</v>
      </c>
      <c r="E861">
        <v>1</v>
      </c>
      <c r="F861">
        <v>2</v>
      </c>
      <c r="G861">
        <v>2017</v>
      </c>
      <c r="H861" t="str">
        <f t="shared" si="40"/>
        <v>Post-2000</v>
      </c>
      <c r="I861" t="s">
        <v>17</v>
      </c>
      <c r="J861" t="s">
        <v>15</v>
      </c>
      <c r="K861" t="s">
        <v>16</v>
      </c>
      <c r="L861" s="4">
        <v>935188</v>
      </c>
      <c r="M861" t="str">
        <f t="shared" si="41"/>
        <v>Premium</v>
      </c>
    </row>
    <row r="862" spans="1:13" x14ac:dyDescent="0.35">
      <c r="A862">
        <v>861</v>
      </c>
      <c r="B862">
        <v>1484</v>
      </c>
      <c r="C862" t="str">
        <f t="shared" si="39"/>
        <v>Medium</v>
      </c>
      <c r="D862">
        <v>2</v>
      </c>
      <c r="E862">
        <v>3</v>
      </c>
      <c r="F862">
        <v>3</v>
      </c>
      <c r="G862">
        <v>1973</v>
      </c>
      <c r="H862" t="str">
        <f t="shared" si="40"/>
        <v>1950-1975</v>
      </c>
      <c r="I862" t="s">
        <v>10</v>
      </c>
      <c r="J862" t="s">
        <v>13</v>
      </c>
      <c r="K862" t="s">
        <v>12</v>
      </c>
      <c r="L862" s="4">
        <v>323139</v>
      </c>
      <c r="M862" t="str">
        <f t="shared" si="41"/>
        <v>Medium</v>
      </c>
    </row>
    <row r="863" spans="1:13" x14ac:dyDescent="0.35">
      <c r="A863">
        <v>862</v>
      </c>
      <c r="B863">
        <v>2139</v>
      </c>
      <c r="C863" t="str">
        <f t="shared" si="39"/>
        <v>Medium</v>
      </c>
      <c r="D863">
        <v>4</v>
      </c>
      <c r="E863">
        <v>1</v>
      </c>
      <c r="F863">
        <v>2</v>
      </c>
      <c r="G863">
        <v>1998</v>
      </c>
      <c r="H863" t="str">
        <f t="shared" si="40"/>
        <v>1976-2000</v>
      </c>
      <c r="I863" t="s">
        <v>19</v>
      </c>
      <c r="J863" t="s">
        <v>15</v>
      </c>
      <c r="K863" t="s">
        <v>16</v>
      </c>
      <c r="L863" s="4">
        <v>499704</v>
      </c>
      <c r="M863" t="str">
        <f t="shared" si="41"/>
        <v>High</v>
      </c>
    </row>
    <row r="864" spans="1:13" x14ac:dyDescent="0.35">
      <c r="A864">
        <v>863</v>
      </c>
      <c r="B864">
        <v>1327</v>
      </c>
      <c r="C864" t="str">
        <f t="shared" si="39"/>
        <v>Medium</v>
      </c>
      <c r="D864">
        <v>3</v>
      </c>
      <c r="E864">
        <v>2</v>
      </c>
      <c r="F864">
        <v>2</v>
      </c>
      <c r="G864">
        <v>1908</v>
      </c>
      <c r="H864" t="str">
        <f t="shared" si="40"/>
        <v>Pre-1950</v>
      </c>
      <c r="I864" t="s">
        <v>17</v>
      </c>
      <c r="J864" t="s">
        <v>15</v>
      </c>
      <c r="K864" t="s">
        <v>16</v>
      </c>
      <c r="L864" s="4">
        <v>52631</v>
      </c>
      <c r="M864" t="str">
        <f t="shared" si="41"/>
        <v>Low</v>
      </c>
    </row>
    <row r="865" spans="1:13" x14ac:dyDescent="0.35">
      <c r="A865">
        <v>864</v>
      </c>
      <c r="B865">
        <v>3230</v>
      </c>
      <c r="C865" t="str">
        <f t="shared" si="39"/>
        <v>Large</v>
      </c>
      <c r="D865">
        <v>1</v>
      </c>
      <c r="E865">
        <v>2</v>
      </c>
      <c r="F865">
        <v>1</v>
      </c>
      <c r="G865">
        <v>1998</v>
      </c>
      <c r="H865" t="str">
        <f t="shared" si="40"/>
        <v>1976-2000</v>
      </c>
      <c r="I865" t="s">
        <v>14</v>
      </c>
      <c r="J865" t="s">
        <v>15</v>
      </c>
      <c r="K865" t="s">
        <v>16</v>
      </c>
      <c r="L865" s="4">
        <v>187039</v>
      </c>
      <c r="M865" t="str">
        <f t="shared" si="41"/>
        <v>Low</v>
      </c>
    </row>
    <row r="866" spans="1:13" x14ac:dyDescent="0.35">
      <c r="A866">
        <v>865</v>
      </c>
      <c r="B866">
        <v>4031</v>
      </c>
      <c r="C866" t="str">
        <f t="shared" si="39"/>
        <v>Extra Large</v>
      </c>
      <c r="D866">
        <v>3</v>
      </c>
      <c r="E866">
        <v>3</v>
      </c>
      <c r="F866">
        <v>2</v>
      </c>
      <c r="G866">
        <v>1910</v>
      </c>
      <c r="H866" t="str">
        <f t="shared" si="40"/>
        <v>Pre-1950</v>
      </c>
      <c r="I866" t="s">
        <v>14</v>
      </c>
      <c r="J866" t="s">
        <v>13</v>
      </c>
      <c r="K866" t="s">
        <v>12</v>
      </c>
      <c r="L866" s="4">
        <v>924726</v>
      </c>
      <c r="M866" t="str">
        <f t="shared" si="41"/>
        <v>Premium</v>
      </c>
    </row>
    <row r="867" spans="1:13" x14ac:dyDescent="0.35">
      <c r="A867">
        <v>866</v>
      </c>
      <c r="B867">
        <v>4951</v>
      </c>
      <c r="C867" t="str">
        <f t="shared" si="39"/>
        <v>Extra Large</v>
      </c>
      <c r="D867">
        <v>3</v>
      </c>
      <c r="E867">
        <v>1</v>
      </c>
      <c r="F867">
        <v>2</v>
      </c>
      <c r="G867">
        <v>1962</v>
      </c>
      <c r="H867" t="str">
        <f t="shared" si="40"/>
        <v>1950-1975</v>
      </c>
      <c r="I867" t="s">
        <v>19</v>
      </c>
      <c r="J867" t="s">
        <v>15</v>
      </c>
      <c r="K867" t="s">
        <v>16</v>
      </c>
      <c r="L867" s="4">
        <v>399422</v>
      </c>
      <c r="M867" t="str">
        <f t="shared" si="41"/>
        <v>Medium</v>
      </c>
    </row>
    <row r="868" spans="1:13" x14ac:dyDescent="0.35">
      <c r="A868">
        <v>867</v>
      </c>
      <c r="B868">
        <v>3435</v>
      </c>
      <c r="C868" t="str">
        <f t="shared" si="39"/>
        <v>Large</v>
      </c>
      <c r="D868">
        <v>1</v>
      </c>
      <c r="E868">
        <v>4</v>
      </c>
      <c r="F868">
        <v>1</v>
      </c>
      <c r="G868">
        <v>2007</v>
      </c>
      <c r="H868" t="str">
        <f t="shared" si="40"/>
        <v>Post-2000</v>
      </c>
      <c r="I868" t="s">
        <v>14</v>
      </c>
      <c r="J868" t="s">
        <v>11</v>
      </c>
      <c r="K868" t="s">
        <v>16</v>
      </c>
      <c r="L868" s="4">
        <v>638759</v>
      </c>
      <c r="M868" t="str">
        <f t="shared" si="41"/>
        <v>Premium</v>
      </c>
    </row>
    <row r="869" spans="1:13" x14ac:dyDescent="0.35">
      <c r="A869">
        <v>868</v>
      </c>
      <c r="B869">
        <v>4376</v>
      </c>
      <c r="C869" t="str">
        <f t="shared" si="39"/>
        <v>Extra Large</v>
      </c>
      <c r="D869">
        <v>3</v>
      </c>
      <c r="E869">
        <v>4</v>
      </c>
      <c r="F869">
        <v>1</v>
      </c>
      <c r="G869">
        <v>1975</v>
      </c>
      <c r="H869" t="str">
        <f t="shared" si="40"/>
        <v>1950-1975</v>
      </c>
      <c r="I869" t="s">
        <v>19</v>
      </c>
      <c r="J869" t="s">
        <v>15</v>
      </c>
      <c r="K869" t="s">
        <v>16</v>
      </c>
      <c r="L869" s="4">
        <v>349260</v>
      </c>
      <c r="M869" t="str">
        <f t="shared" si="41"/>
        <v>Medium</v>
      </c>
    </row>
    <row r="870" spans="1:13" x14ac:dyDescent="0.35">
      <c r="A870">
        <v>869</v>
      </c>
      <c r="B870">
        <v>626</v>
      </c>
      <c r="C870" t="str">
        <f t="shared" si="39"/>
        <v>Small</v>
      </c>
      <c r="D870">
        <v>2</v>
      </c>
      <c r="E870">
        <v>2</v>
      </c>
      <c r="F870">
        <v>1</v>
      </c>
      <c r="G870">
        <v>1966</v>
      </c>
      <c r="H870" t="str">
        <f t="shared" si="40"/>
        <v>1950-1975</v>
      </c>
      <c r="I870" t="s">
        <v>10</v>
      </c>
      <c r="J870" t="s">
        <v>11</v>
      </c>
      <c r="K870" t="s">
        <v>12</v>
      </c>
      <c r="L870" s="4">
        <v>928548</v>
      </c>
      <c r="M870" t="str">
        <f t="shared" si="41"/>
        <v>Premium</v>
      </c>
    </row>
    <row r="871" spans="1:13" x14ac:dyDescent="0.35">
      <c r="A871">
        <v>870</v>
      </c>
      <c r="B871">
        <v>3677</v>
      </c>
      <c r="C871" t="str">
        <f t="shared" si="39"/>
        <v>Large</v>
      </c>
      <c r="D871">
        <v>1</v>
      </c>
      <c r="E871">
        <v>3</v>
      </c>
      <c r="F871">
        <v>2</v>
      </c>
      <c r="G871">
        <v>1952</v>
      </c>
      <c r="H871" t="str">
        <f t="shared" si="40"/>
        <v>1950-1975</v>
      </c>
      <c r="I871" t="s">
        <v>10</v>
      </c>
      <c r="J871" t="s">
        <v>18</v>
      </c>
      <c r="K871" t="s">
        <v>16</v>
      </c>
      <c r="L871" s="4">
        <v>477443</v>
      </c>
      <c r="M871" t="str">
        <f t="shared" si="41"/>
        <v>High</v>
      </c>
    </row>
    <row r="872" spans="1:13" x14ac:dyDescent="0.35">
      <c r="A872">
        <v>871</v>
      </c>
      <c r="B872">
        <v>3556</v>
      </c>
      <c r="C872" t="str">
        <f t="shared" si="39"/>
        <v>Large</v>
      </c>
      <c r="D872">
        <v>3</v>
      </c>
      <c r="E872">
        <v>1</v>
      </c>
      <c r="F872">
        <v>2</v>
      </c>
      <c r="G872">
        <v>1938</v>
      </c>
      <c r="H872" t="str">
        <f t="shared" si="40"/>
        <v>Pre-1950</v>
      </c>
      <c r="I872" t="s">
        <v>17</v>
      </c>
      <c r="J872" t="s">
        <v>18</v>
      </c>
      <c r="K872" t="s">
        <v>12</v>
      </c>
      <c r="L872" s="4">
        <v>707302</v>
      </c>
      <c r="M872" t="str">
        <f t="shared" si="41"/>
        <v>Premium</v>
      </c>
    </row>
    <row r="873" spans="1:13" x14ac:dyDescent="0.35">
      <c r="A873">
        <v>872</v>
      </c>
      <c r="B873">
        <v>1103</v>
      </c>
      <c r="C873" t="str">
        <f t="shared" si="39"/>
        <v>Medium</v>
      </c>
      <c r="D873">
        <v>5</v>
      </c>
      <c r="E873">
        <v>1</v>
      </c>
      <c r="F873">
        <v>2</v>
      </c>
      <c r="G873">
        <v>1977</v>
      </c>
      <c r="H873" t="str">
        <f t="shared" si="40"/>
        <v>1976-2000</v>
      </c>
      <c r="I873" t="s">
        <v>19</v>
      </c>
      <c r="J873" t="s">
        <v>13</v>
      </c>
      <c r="K873" t="s">
        <v>16</v>
      </c>
      <c r="L873" s="4">
        <v>621952</v>
      </c>
      <c r="M873" t="str">
        <f t="shared" si="41"/>
        <v>Premium</v>
      </c>
    </row>
    <row r="874" spans="1:13" x14ac:dyDescent="0.35">
      <c r="A874">
        <v>873</v>
      </c>
      <c r="B874">
        <v>3949</v>
      </c>
      <c r="C874" t="str">
        <f t="shared" si="39"/>
        <v>Large</v>
      </c>
      <c r="D874">
        <v>3</v>
      </c>
      <c r="E874">
        <v>2</v>
      </c>
      <c r="F874">
        <v>1</v>
      </c>
      <c r="G874">
        <v>1955</v>
      </c>
      <c r="H874" t="str">
        <f t="shared" si="40"/>
        <v>1950-1975</v>
      </c>
      <c r="I874" t="s">
        <v>17</v>
      </c>
      <c r="J874" t="s">
        <v>13</v>
      </c>
      <c r="K874" t="s">
        <v>12</v>
      </c>
      <c r="L874" s="4">
        <v>733429</v>
      </c>
      <c r="M874" t="str">
        <f t="shared" si="41"/>
        <v>Premium</v>
      </c>
    </row>
    <row r="875" spans="1:13" x14ac:dyDescent="0.35">
      <c r="A875">
        <v>874</v>
      </c>
      <c r="B875">
        <v>4646</v>
      </c>
      <c r="C875" t="str">
        <f t="shared" si="39"/>
        <v>Extra Large</v>
      </c>
      <c r="D875">
        <v>2</v>
      </c>
      <c r="E875">
        <v>2</v>
      </c>
      <c r="F875">
        <v>3</v>
      </c>
      <c r="G875">
        <v>1927</v>
      </c>
      <c r="H875" t="str">
        <f t="shared" si="40"/>
        <v>Pre-1950</v>
      </c>
      <c r="I875" t="s">
        <v>17</v>
      </c>
      <c r="J875" t="s">
        <v>18</v>
      </c>
      <c r="K875" t="s">
        <v>12</v>
      </c>
      <c r="L875" s="4">
        <v>137342</v>
      </c>
      <c r="M875" t="str">
        <f t="shared" si="41"/>
        <v>Low</v>
      </c>
    </row>
    <row r="876" spans="1:13" x14ac:dyDescent="0.35">
      <c r="A876">
        <v>875</v>
      </c>
      <c r="B876">
        <v>4033</v>
      </c>
      <c r="C876" t="str">
        <f t="shared" si="39"/>
        <v>Extra Large</v>
      </c>
      <c r="D876">
        <v>4</v>
      </c>
      <c r="E876">
        <v>1</v>
      </c>
      <c r="F876">
        <v>2</v>
      </c>
      <c r="G876">
        <v>1974</v>
      </c>
      <c r="H876" t="str">
        <f t="shared" si="40"/>
        <v>1950-1975</v>
      </c>
      <c r="I876" t="s">
        <v>10</v>
      </c>
      <c r="J876" t="s">
        <v>15</v>
      </c>
      <c r="K876" t="s">
        <v>12</v>
      </c>
      <c r="L876" s="4">
        <v>64407</v>
      </c>
      <c r="M876" t="str">
        <f t="shared" si="41"/>
        <v>Low</v>
      </c>
    </row>
    <row r="877" spans="1:13" x14ac:dyDescent="0.35">
      <c r="A877">
        <v>876</v>
      </c>
      <c r="B877">
        <v>3867</v>
      </c>
      <c r="C877" t="str">
        <f t="shared" si="39"/>
        <v>Large</v>
      </c>
      <c r="D877">
        <v>3</v>
      </c>
      <c r="E877">
        <v>1</v>
      </c>
      <c r="F877">
        <v>3</v>
      </c>
      <c r="G877">
        <v>1938</v>
      </c>
      <c r="H877" t="str">
        <f t="shared" si="40"/>
        <v>Pre-1950</v>
      </c>
      <c r="I877" t="s">
        <v>17</v>
      </c>
      <c r="J877" t="s">
        <v>15</v>
      </c>
      <c r="K877" t="s">
        <v>16</v>
      </c>
      <c r="L877" s="4">
        <v>163926</v>
      </c>
      <c r="M877" t="str">
        <f t="shared" si="41"/>
        <v>Low</v>
      </c>
    </row>
    <row r="878" spans="1:13" x14ac:dyDescent="0.35">
      <c r="A878">
        <v>877</v>
      </c>
      <c r="B878">
        <v>3868</v>
      </c>
      <c r="C878" t="str">
        <f t="shared" si="39"/>
        <v>Large</v>
      </c>
      <c r="D878">
        <v>4</v>
      </c>
      <c r="E878">
        <v>2</v>
      </c>
      <c r="F878">
        <v>1</v>
      </c>
      <c r="G878">
        <v>1924</v>
      </c>
      <c r="H878" t="str">
        <f t="shared" si="40"/>
        <v>Pre-1950</v>
      </c>
      <c r="I878" t="s">
        <v>14</v>
      </c>
      <c r="J878" t="s">
        <v>15</v>
      </c>
      <c r="K878" t="s">
        <v>16</v>
      </c>
      <c r="L878" s="4">
        <v>371345</v>
      </c>
      <c r="M878" t="str">
        <f t="shared" si="41"/>
        <v>Medium</v>
      </c>
    </row>
    <row r="879" spans="1:13" x14ac:dyDescent="0.35">
      <c r="A879">
        <v>878</v>
      </c>
      <c r="B879">
        <v>4297</v>
      </c>
      <c r="C879" t="str">
        <f t="shared" si="39"/>
        <v>Extra Large</v>
      </c>
      <c r="D879">
        <v>5</v>
      </c>
      <c r="E879">
        <v>1</v>
      </c>
      <c r="F879">
        <v>2</v>
      </c>
      <c r="G879">
        <v>1920</v>
      </c>
      <c r="H879" t="str">
        <f t="shared" si="40"/>
        <v>Pre-1950</v>
      </c>
      <c r="I879" t="s">
        <v>17</v>
      </c>
      <c r="J879" t="s">
        <v>18</v>
      </c>
      <c r="K879" t="s">
        <v>16</v>
      </c>
      <c r="L879" s="4">
        <v>916525</v>
      </c>
      <c r="M879" t="str">
        <f t="shared" si="41"/>
        <v>Premium</v>
      </c>
    </row>
    <row r="880" spans="1:13" x14ac:dyDescent="0.35">
      <c r="A880">
        <v>879</v>
      </c>
      <c r="B880">
        <v>2292</v>
      </c>
      <c r="C880" t="str">
        <f t="shared" si="39"/>
        <v>Medium</v>
      </c>
      <c r="D880">
        <v>3</v>
      </c>
      <c r="E880">
        <v>4</v>
      </c>
      <c r="F880">
        <v>3</v>
      </c>
      <c r="G880">
        <v>1909</v>
      </c>
      <c r="H880" t="str">
        <f t="shared" si="40"/>
        <v>Pre-1950</v>
      </c>
      <c r="I880" t="s">
        <v>19</v>
      </c>
      <c r="J880" t="s">
        <v>11</v>
      </c>
      <c r="K880" t="s">
        <v>12</v>
      </c>
      <c r="L880" s="4">
        <v>497564</v>
      </c>
      <c r="M880" t="str">
        <f t="shared" si="41"/>
        <v>High</v>
      </c>
    </row>
    <row r="881" spans="1:13" x14ac:dyDescent="0.35">
      <c r="A881">
        <v>880</v>
      </c>
      <c r="B881">
        <v>3361</v>
      </c>
      <c r="C881" t="str">
        <f t="shared" si="39"/>
        <v>Large</v>
      </c>
      <c r="D881">
        <v>1</v>
      </c>
      <c r="E881">
        <v>2</v>
      </c>
      <c r="F881">
        <v>2</v>
      </c>
      <c r="G881">
        <v>1942</v>
      </c>
      <c r="H881" t="str">
        <f t="shared" si="40"/>
        <v>Pre-1950</v>
      </c>
      <c r="I881" t="s">
        <v>14</v>
      </c>
      <c r="J881" t="s">
        <v>13</v>
      </c>
      <c r="K881" t="s">
        <v>16</v>
      </c>
      <c r="L881" s="4">
        <v>787341</v>
      </c>
      <c r="M881" t="str">
        <f t="shared" si="41"/>
        <v>Premium</v>
      </c>
    </row>
    <row r="882" spans="1:13" x14ac:dyDescent="0.35">
      <c r="A882">
        <v>881</v>
      </c>
      <c r="B882">
        <v>3976</v>
      </c>
      <c r="C882" t="str">
        <f t="shared" si="39"/>
        <v>Large</v>
      </c>
      <c r="D882">
        <v>4</v>
      </c>
      <c r="E882">
        <v>1</v>
      </c>
      <c r="F882">
        <v>2</v>
      </c>
      <c r="G882">
        <v>1914</v>
      </c>
      <c r="H882" t="str">
        <f t="shared" si="40"/>
        <v>Pre-1950</v>
      </c>
      <c r="I882" t="s">
        <v>10</v>
      </c>
      <c r="J882" t="s">
        <v>11</v>
      </c>
      <c r="K882" t="s">
        <v>16</v>
      </c>
      <c r="L882" s="4">
        <v>592166</v>
      </c>
      <c r="M882" t="str">
        <f t="shared" si="41"/>
        <v>High</v>
      </c>
    </row>
    <row r="883" spans="1:13" x14ac:dyDescent="0.35">
      <c r="A883">
        <v>882</v>
      </c>
      <c r="B883">
        <v>3917</v>
      </c>
      <c r="C883" t="str">
        <f t="shared" si="39"/>
        <v>Large</v>
      </c>
      <c r="D883">
        <v>5</v>
      </c>
      <c r="E883">
        <v>2</v>
      </c>
      <c r="F883">
        <v>2</v>
      </c>
      <c r="G883">
        <v>1982</v>
      </c>
      <c r="H883" t="str">
        <f t="shared" si="40"/>
        <v>1976-2000</v>
      </c>
      <c r="I883" t="s">
        <v>19</v>
      </c>
      <c r="J883" t="s">
        <v>18</v>
      </c>
      <c r="K883" t="s">
        <v>12</v>
      </c>
      <c r="L883" s="4">
        <v>133100</v>
      </c>
      <c r="M883" t="str">
        <f t="shared" si="41"/>
        <v>Low</v>
      </c>
    </row>
    <row r="884" spans="1:13" x14ac:dyDescent="0.35">
      <c r="A884">
        <v>883</v>
      </c>
      <c r="B884">
        <v>2145</v>
      </c>
      <c r="C884" t="str">
        <f t="shared" si="39"/>
        <v>Medium</v>
      </c>
      <c r="D884">
        <v>1</v>
      </c>
      <c r="E884">
        <v>3</v>
      </c>
      <c r="F884">
        <v>3</v>
      </c>
      <c r="G884">
        <v>1947</v>
      </c>
      <c r="H884" t="str">
        <f t="shared" si="40"/>
        <v>Pre-1950</v>
      </c>
      <c r="I884" t="s">
        <v>14</v>
      </c>
      <c r="J884" t="s">
        <v>11</v>
      </c>
      <c r="K884" t="s">
        <v>16</v>
      </c>
      <c r="L884" s="4">
        <v>915061</v>
      </c>
      <c r="M884" t="str">
        <f t="shared" si="41"/>
        <v>Premium</v>
      </c>
    </row>
    <row r="885" spans="1:13" x14ac:dyDescent="0.35">
      <c r="A885">
        <v>884</v>
      </c>
      <c r="B885">
        <v>1705</v>
      </c>
      <c r="C885" t="str">
        <f t="shared" si="39"/>
        <v>Medium</v>
      </c>
      <c r="D885">
        <v>1</v>
      </c>
      <c r="E885">
        <v>2</v>
      </c>
      <c r="F885">
        <v>1</v>
      </c>
      <c r="G885">
        <v>1985</v>
      </c>
      <c r="H885" t="str">
        <f t="shared" si="40"/>
        <v>1976-2000</v>
      </c>
      <c r="I885" t="s">
        <v>19</v>
      </c>
      <c r="J885" t="s">
        <v>15</v>
      </c>
      <c r="K885" t="s">
        <v>16</v>
      </c>
      <c r="L885" s="4">
        <v>498636</v>
      </c>
      <c r="M885" t="str">
        <f t="shared" si="41"/>
        <v>High</v>
      </c>
    </row>
    <row r="886" spans="1:13" x14ac:dyDescent="0.35">
      <c r="A886">
        <v>885</v>
      </c>
      <c r="B886">
        <v>3530</v>
      </c>
      <c r="C886" t="str">
        <f t="shared" si="39"/>
        <v>Large</v>
      </c>
      <c r="D886">
        <v>1</v>
      </c>
      <c r="E886">
        <v>2</v>
      </c>
      <c r="F886">
        <v>2</v>
      </c>
      <c r="G886">
        <v>1920</v>
      </c>
      <c r="H886" t="str">
        <f t="shared" si="40"/>
        <v>Pre-1950</v>
      </c>
      <c r="I886" t="s">
        <v>14</v>
      </c>
      <c r="J886" t="s">
        <v>15</v>
      </c>
      <c r="K886" t="s">
        <v>12</v>
      </c>
      <c r="L886" s="4">
        <v>544308</v>
      </c>
      <c r="M886" t="str">
        <f t="shared" si="41"/>
        <v>High</v>
      </c>
    </row>
    <row r="887" spans="1:13" x14ac:dyDescent="0.35">
      <c r="A887">
        <v>886</v>
      </c>
      <c r="B887">
        <v>3372</v>
      </c>
      <c r="C887" t="str">
        <f t="shared" si="39"/>
        <v>Large</v>
      </c>
      <c r="D887">
        <v>1</v>
      </c>
      <c r="E887">
        <v>3</v>
      </c>
      <c r="F887">
        <v>1</v>
      </c>
      <c r="G887">
        <v>1959</v>
      </c>
      <c r="H887" t="str">
        <f t="shared" si="40"/>
        <v>1950-1975</v>
      </c>
      <c r="I887" t="s">
        <v>19</v>
      </c>
      <c r="J887" t="s">
        <v>11</v>
      </c>
      <c r="K887" t="s">
        <v>12</v>
      </c>
      <c r="L887" s="4">
        <v>273059</v>
      </c>
      <c r="M887" t="str">
        <f t="shared" si="41"/>
        <v>Medium</v>
      </c>
    </row>
    <row r="888" spans="1:13" x14ac:dyDescent="0.35">
      <c r="A888">
        <v>887</v>
      </c>
      <c r="B888">
        <v>3572</v>
      </c>
      <c r="C888" t="str">
        <f t="shared" si="39"/>
        <v>Large</v>
      </c>
      <c r="D888">
        <v>3</v>
      </c>
      <c r="E888">
        <v>4</v>
      </c>
      <c r="F888">
        <v>1</v>
      </c>
      <c r="G888">
        <v>2015</v>
      </c>
      <c r="H888" t="str">
        <f t="shared" si="40"/>
        <v>Post-2000</v>
      </c>
      <c r="I888" t="s">
        <v>19</v>
      </c>
      <c r="J888" t="s">
        <v>18</v>
      </c>
      <c r="K888" t="s">
        <v>16</v>
      </c>
      <c r="L888" s="4">
        <v>617456</v>
      </c>
      <c r="M888" t="str">
        <f t="shared" si="41"/>
        <v>Premium</v>
      </c>
    </row>
    <row r="889" spans="1:13" x14ac:dyDescent="0.35">
      <c r="A889">
        <v>888</v>
      </c>
      <c r="B889">
        <v>2354</v>
      </c>
      <c r="C889" t="str">
        <f t="shared" si="39"/>
        <v>Medium</v>
      </c>
      <c r="D889">
        <v>3</v>
      </c>
      <c r="E889">
        <v>1</v>
      </c>
      <c r="F889">
        <v>3</v>
      </c>
      <c r="G889">
        <v>2007</v>
      </c>
      <c r="H889" t="str">
        <f t="shared" si="40"/>
        <v>Post-2000</v>
      </c>
      <c r="I889" t="s">
        <v>14</v>
      </c>
      <c r="J889" t="s">
        <v>11</v>
      </c>
      <c r="K889" t="s">
        <v>12</v>
      </c>
      <c r="L889" s="4">
        <v>300396</v>
      </c>
      <c r="M889" t="str">
        <f t="shared" si="41"/>
        <v>Medium</v>
      </c>
    </row>
    <row r="890" spans="1:13" x14ac:dyDescent="0.35">
      <c r="A890">
        <v>889</v>
      </c>
      <c r="B890">
        <v>4521</v>
      </c>
      <c r="C890" t="str">
        <f t="shared" si="39"/>
        <v>Extra Large</v>
      </c>
      <c r="D890">
        <v>3</v>
      </c>
      <c r="E890">
        <v>3</v>
      </c>
      <c r="F890">
        <v>3</v>
      </c>
      <c r="G890">
        <v>1995</v>
      </c>
      <c r="H890" t="str">
        <f t="shared" si="40"/>
        <v>1976-2000</v>
      </c>
      <c r="I890" t="s">
        <v>10</v>
      </c>
      <c r="J890" t="s">
        <v>15</v>
      </c>
      <c r="K890" t="s">
        <v>16</v>
      </c>
      <c r="L890" s="4">
        <v>824769</v>
      </c>
      <c r="M890" t="str">
        <f t="shared" si="41"/>
        <v>Premium</v>
      </c>
    </row>
    <row r="891" spans="1:13" x14ac:dyDescent="0.35">
      <c r="A891">
        <v>890</v>
      </c>
      <c r="B891">
        <v>3208</v>
      </c>
      <c r="C891" t="str">
        <f t="shared" si="39"/>
        <v>Large</v>
      </c>
      <c r="D891">
        <v>5</v>
      </c>
      <c r="E891">
        <v>2</v>
      </c>
      <c r="F891">
        <v>1</v>
      </c>
      <c r="G891">
        <v>1949</v>
      </c>
      <c r="H891" t="str">
        <f t="shared" si="40"/>
        <v>Pre-1950</v>
      </c>
      <c r="I891" t="s">
        <v>10</v>
      </c>
      <c r="J891" t="s">
        <v>15</v>
      </c>
      <c r="K891" t="s">
        <v>16</v>
      </c>
      <c r="L891" s="4">
        <v>367006</v>
      </c>
      <c r="M891" t="str">
        <f t="shared" si="41"/>
        <v>Medium</v>
      </c>
    </row>
    <row r="892" spans="1:13" x14ac:dyDescent="0.35">
      <c r="A892">
        <v>891</v>
      </c>
      <c r="B892">
        <v>4002</v>
      </c>
      <c r="C892" t="str">
        <f t="shared" si="39"/>
        <v>Extra Large</v>
      </c>
      <c r="D892">
        <v>5</v>
      </c>
      <c r="E892">
        <v>1</v>
      </c>
      <c r="F892">
        <v>2</v>
      </c>
      <c r="G892">
        <v>1922</v>
      </c>
      <c r="H892" t="str">
        <f t="shared" si="40"/>
        <v>Pre-1950</v>
      </c>
      <c r="I892" t="s">
        <v>19</v>
      </c>
      <c r="J892" t="s">
        <v>18</v>
      </c>
      <c r="K892" t="s">
        <v>16</v>
      </c>
      <c r="L892" s="4">
        <v>78004</v>
      </c>
      <c r="M892" t="str">
        <f t="shared" si="41"/>
        <v>Low</v>
      </c>
    </row>
    <row r="893" spans="1:13" x14ac:dyDescent="0.35">
      <c r="A893">
        <v>892</v>
      </c>
      <c r="B893">
        <v>1832</v>
      </c>
      <c r="C893" t="str">
        <f t="shared" si="39"/>
        <v>Medium</v>
      </c>
      <c r="D893">
        <v>5</v>
      </c>
      <c r="E893">
        <v>3</v>
      </c>
      <c r="F893">
        <v>3</v>
      </c>
      <c r="G893">
        <v>1912</v>
      </c>
      <c r="H893" t="str">
        <f t="shared" si="40"/>
        <v>Pre-1950</v>
      </c>
      <c r="I893" t="s">
        <v>19</v>
      </c>
      <c r="J893" t="s">
        <v>11</v>
      </c>
      <c r="K893" t="s">
        <v>16</v>
      </c>
      <c r="L893" s="4">
        <v>856903</v>
      </c>
      <c r="M893" t="str">
        <f t="shared" si="41"/>
        <v>Premium</v>
      </c>
    </row>
    <row r="894" spans="1:13" x14ac:dyDescent="0.35">
      <c r="A894">
        <v>893</v>
      </c>
      <c r="B894">
        <v>701</v>
      </c>
      <c r="C894" t="str">
        <f t="shared" si="39"/>
        <v>Small</v>
      </c>
      <c r="D894">
        <v>2</v>
      </c>
      <c r="E894">
        <v>1</v>
      </c>
      <c r="F894">
        <v>2</v>
      </c>
      <c r="G894">
        <v>1968</v>
      </c>
      <c r="H894" t="str">
        <f t="shared" si="40"/>
        <v>1950-1975</v>
      </c>
      <c r="I894" t="s">
        <v>10</v>
      </c>
      <c r="J894" t="s">
        <v>15</v>
      </c>
      <c r="K894" t="s">
        <v>16</v>
      </c>
      <c r="L894" s="4">
        <v>574252</v>
      </c>
      <c r="M894" t="str">
        <f t="shared" si="41"/>
        <v>High</v>
      </c>
    </row>
    <row r="895" spans="1:13" x14ac:dyDescent="0.35">
      <c r="A895">
        <v>894</v>
      </c>
      <c r="B895">
        <v>4007</v>
      </c>
      <c r="C895" t="str">
        <f t="shared" si="39"/>
        <v>Extra Large</v>
      </c>
      <c r="D895">
        <v>5</v>
      </c>
      <c r="E895">
        <v>1</v>
      </c>
      <c r="F895">
        <v>2</v>
      </c>
      <c r="G895">
        <v>1903</v>
      </c>
      <c r="H895" t="str">
        <f t="shared" si="40"/>
        <v>Pre-1950</v>
      </c>
      <c r="I895" t="s">
        <v>10</v>
      </c>
      <c r="J895" t="s">
        <v>15</v>
      </c>
      <c r="K895" t="s">
        <v>12</v>
      </c>
      <c r="L895" s="4">
        <v>666108</v>
      </c>
      <c r="M895" t="str">
        <f t="shared" si="41"/>
        <v>Premium</v>
      </c>
    </row>
    <row r="896" spans="1:13" x14ac:dyDescent="0.35">
      <c r="A896">
        <v>895</v>
      </c>
      <c r="B896">
        <v>4712</v>
      </c>
      <c r="C896" t="str">
        <f t="shared" si="39"/>
        <v>Extra Large</v>
      </c>
      <c r="D896">
        <v>3</v>
      </c>
      <c r="E896">
        <v>3</v>
      </c>
      <c r="F896">
        <v>2</v>
      </c>
      <c r="G896">
        <v>1991</v>
      </c>
      <c r="H896" t="str">
        <f t="shared" si="40"/>
        <v>1976-2000</v>
      </c>
      <c r="I896" t="s">
        <v>17</v>
      </c>
      <c r="J896" t="s">
        <v>11</v>
      </c>
      <c r="K896" t="s">
        <v>12</v>
      </c>
      <c r="L896" s="4">
        <v>241239</v>
      </c>
      <c r="M896" t="str">
        <f t="shared" si="41"/>
        <v>Medium</v>
      </c>
    </row>
    <row r="897" spans="1:13" x14ac:dyDescent="0.35">
      <c r="A897">
        <v>896</v>
      </c>
      <c r="B897">
        <v>1074</v>
      </c>
      <c r="C897" t="str">
        <f t="shared" si="39"/>
        <v>Medium</v>
      </c>
      <c r="D897">
        <v>3</v>
      </c>
      <c r="E897">
        <v>1</v>
      </c>
      <c r="F897">
        <v>1</v>
      </c>
      <c r="G897">
        <v>1977</v>
      </c>
      <c r="H897" t="str">
        <f t="shared" si="40"/>
        <v>1976-2000</v>
      </c>
      <c r="I897" t="s">
        <v>10</v>
      </c>
      <c r="J897" t="s">
        <v>11</v>
      </c>
      <c r="K897" t="s">
        <v>16</v>
      </c>
      <c r="L897" s="4">
        <v>676517</v>
      </c>
      <c r="M897" t="str">
        <f t="shared" si="41"/>
        <v>Premium</v>
      </c>
    </row>
    <row r="898" spans="1:13" x14ac:dyDescent="0.35">
      <c r="A898">
        <v>897</v>
      </c>
      <c r="B898">
        <v>1036</v>
      </c>
      <c r="C898" t="str">
        <f t="shared" si="39"/>
        <v>Medium</v>
      </c>
      <c r="D898">
        <v>2</v>
      </c>
      <c r="E898">
        <v>4</v>
      </c>
      <c r="F898">
        <v>2</v>
      </c>
      <c r="G898">
        <v>1971</v>
      </c>
      <c r="H898" t="str">
        <f t="shared" si="40"/>
        <v>1950-1975</v>
      </c>
      <c r="I898" t="s">
        <v>19</v>
      </c>
      <c r="J898" t="s">
        <v>13</v>
      </c>
      <c r="K898" t="s">
        <v>12</v>
      </c>
      <c r="L898" s="4">
        <v>527044</v>
      </c>
      <c r="M898" t="str">
        <f t="shared" si="41"/>
        <v>High</v>
      </c>
    </row>
    <row r="899" spans="1:13" x14ac:dyDescent="0.35">
      <c r="A899">
        <v>898</v>
      </c>
      <c r="B899">
        <v>2125</v>
      </c>
      <c r="C899" t="str">
        <f t="shared" ref="C899:C962" si="42">IF(B899&lt;=1000,"Small",IF(B899&lt;=2500,"Medium",IF(B899&lt;=4000,"Large",IF(B899&gt;=4000,"Extra Large"))))</f>
        <v>Medium</v>
      </c>
      <c r="D899">
        <v>2</v>
      </c>
      <c r="E899">
        <v>3</v>
      </c>
      <c r="F899">
        <v>1</v>
      </c>
      <c r="G899">
        <v>1908</v>
      </c>
      <c r="H899" t="str">
        <f t="shared" ref="H899:H962" si="43">IF(G899&lt;=1950,"Pre-1950",IF(G899&lt;=1975,"1950-1975",IF(G899&lt;=2000,"1976-2000",IF(G899&gt;=2000,"Post-2000"))))</f>
        <v>Pre-1950</v>
      </c>
      <c r="I899" t="s">
        <v>14</v>
      </c>
      <c r="J899" t="s">
        <v>18</v>
      </c>
      <c r="K899" t="s">
        <v>12</v>
      </c>
      <c r="L899" s="4">
        <v>901740</v>
      </c>
      <c r="M899" t="str">
        <f t="shared" ref="M899:M962" si="44">IF(L899&lt;=200000,"Low",IF(L899&lt;=400000,"Medium",IF(L899&lt;=600000,"High",IF(L899&gt;=600000,"Premium",""))))</f>
        <v>Premium</v>
      </c>
    </row>
    <row r="900" spans="1:13" x14ac:dyDescent="0.35">
      <c r="A900">
        <v>899</v>
      </c>
      <c r="B900">
        <v>2622</v>
      </c>
      <c r="C900" t="str">
        <f t="shared" si="42"/>
        <v>Large</v>
      </c>
      <c r="D900">
        <v>5</v>
      </c>
      <c r="E900">
        <v>4</v>
      </c>
      <c r="F900">
        <v>1</v>
      </c>
      <c r="G900">
        <v>2020</v>
      </c>
      <c r="H900" t="str">
        <f t="shared" si="43"/>
        <v>Post-2000</v>
      </c>
      <c r="I900" t="s">
        <v>10</v>
      </c>
      <c r="J900" t="s">
        <v>18</v>
      </c>
      <c r="K900" t="s">
        <v>16</v>
      </c>
      <c r="L900" s="4">
        <v>396113</v>
      </c>
      <c r="M900" t="str">
        <f t="shared" si="44"/>
        <v>Medium</v>
      </c>
    </row>
    <row r="901" spans="1:13" x14ac:dyDescent="0.35">
      <c r="A901">
        <v>900</v>
      </c>
      <c r="B901">
        <v>885</v>
      </c>
      <c r="C901" t="str">
        <f t="shared" si="42"/>
        <v>Small</v>
      </c>
      <c r="D901">
        <v>4</v>
      </c>
      <c r="E901">
        <v>2</v>
      </c>
      <c r="F901">
        <v>2</v>
      </c>
      <c r="G901">
        <v>2014</v>
      </c>
      <c r="H901" t="str">
        <f t="shared" si="43"/>
        <v>Post-2000</v>
      </c>
      <c r="I901" t="s">
        <v>17</v>
      </c>
      <c r="J901" t="s">
        <v>11</v>
      </c>
      <c r="K901" t="s">
        <v>12</v>
      </c>
      <c r="L901" s="4">
        <v>64568</v>
      </c>
      <c r="M901" t="str">
        <f t="shared" si="44"/>
        <v>Low</v>
      </c>
    </row>
    <row r="902" spans="1:13" x14ac:dyDescent="0.35">
      <c r="A902">
        <v>901</v>
      </c>
      <c r="B902">
        <v>3781</v>
      </c>
      <c r="C902" t="str">
        <f t="shared" si="42"/>
        <v>Large</v>
      </c>
      <c r="D902">
        <v>2</v>
      </c>
      <c r="E902">
        <v>1</v>
      </c>
      <c r="F902">
        <v>2</v>
      </c>
      <c r="G902">
        <v>1934</v>
      </c>
      <c r="H902" t="str">
        <f t="shared" si="43"/>
        <v>Pre-1950</v>
      </c>
      <c r="I902" t="s">
        <v>17</v>
      </c>
      <c r="J902" t="s">
        <v>18</v>
      </c>
      <c r="K902" t="s">
        <v>12</v>
      </c>
      <c r="L902" s="4">
        <v>583754</v>
      </c>
      <c r="M902" t="str">
        <f t="shared" si="44"/>
        <v>High</v>
      </c>
    </row>
    <row r="903" spans="1:13" x14ac:dyDescent="0.35">
      <c r="A903">
        <v>902</v>
      </c>
      <c r="B903">
        <v>974</v>
      </c>
      <c r="C903" t="str">
        <f t="shared" si="42"/>
        <v>Small</v>
      </c>
      <c r="D903">
        <v>1</v>
      </c>
      <c r="E903">
        <v>2</v>
      </c>
      <c r="F903">
        <v>2</v>
      </c>
      <c r="G903">
        <v>2000</v>
      </c>
      <c r="H903" t="str">
        <f t="shared" si="43"/>
        <v>1976-2000</v>
      </c>
      <c r="I903" t="s">
        <v>17</v>
      </c>
      <c r="J903" t="s">
        <v>15</v>
      </c>
      <c r="K903" t="s">
        <v>16</v>
      </c>
      <c r="L903" s="4">
        <v>272129</v>
      </c>
      <c r="M903" t="str">
        <f t="shared" si="44"/>
        <v>Medium</v>
      </c>
    </row>
    <row r="904" spans="1:13" x14ac:dyDescent="0.35">
      <c r="A904">
        <v>903</v>
      </c>
      <c r="B904">
        <v>917</v>
      </c>
      <c r="C904" t="str">
        <f t="shared" si="42"/>
        <v>Small</v>
      </c>
      <c r="D904">
        <v>3</v>
      </c>
      <c r="E904">
        <v>2</v>
      </c>
      <c r="F904">
        <v>2</v>
      </c>
      <c r="G904">
        <v>1920</v>
      </c>
      <c r="H904" t="str">
        <f t="shared" si="43"/>
        <v>Pre-1950</v>
      </c>
      <c r="I904" t="s">
        <v>14</v>
      </c>
      <c r="J904" t="s">
        <v>11</v>
      </c>
      <c r="K904" t="s">
        <v>16</v>
      </c>
      <c r="L904" s="4">
        <v>631612</v>
      </c>
      <c r="M904" t="str">
        <f t="shared" si="44"/>
        <v>Premium</v>
      </c>
    </row>
    <row r="905" spans="1:13" x14ac:dyDescent="0.35">
      <c r="A905">
        <v>904</v>
      </c>
      <c r="B905">
        <v>4100</v>
      </c>
      <c r="C905" t="str">
        <f t="shared" si="42"/>
        <v>Extra Large</v>
      </c>
      <c r="D905">
        <v>1</v>
      </c>
      <c r="E905">
        <v>1</v>
      </c>
      <c r="F905">
        <v>1</v>
      </c>
      <c r="G905">
        <v>1957</v>
      </c>
      <c r="H905" t="str">
        <f t="shared" si="43"/>
        <v>1950-1975</v>
      </c>
      <c r="I905" t="s">
        <v>10</v>
      </c>
      <c r="J905" t="s">
        <v>11</v>
      </c>
      <c r="K905" t="s">
        <v>16</v>
      </c>
      <c r="L905" s="4">
        <v>938640</v>
      </c>
      <c r="M905" t="str">
        <f t="shared" si="44"/>
        <v>Premium</v>
      </c>
    </row>
    <row r="906" spans="1:13" x14ac:dyDescent="0.35">
      <c r="A906">
        <v>905</v>
      </c>
      <c r="B906">
        <v>1454</v>
      </c>
      <c r="C906" t="str">
        <f t="shared" si="42"/>
        <v>Medium</v>
      </c>
      <c r="D906">
        <v>3</v>
      </c>
      <c r="E906">
        <v>3</v>
      </c>
      <c r="F906">
        <v>2</v>
      </c>
      <c r="G906">
        <v>1917</v>
      </c>
      <c r="H906" t="str">
        <f t="shared" si="43"/>
        <v>Pre-1950</v>
      </c>
      <c r="I906" t="s">
        <v>10</v>
      </c>
      <c r="J906" t="s">
        <v>11</v>
      </c>
      <c r="K906" t="s">
        <v>16</v>
      </c>
      <c r="L906" s="4">
        <v>196539</v>
      </c>
      <c r="M906" t="str">
        <f t="shared" si="44"/>
        <v>Low</v>
      </c>
    </row>
    <row r="907" spans="1:13" x14ac:dyDescent="0.35">
      <c r="A907">
        <v>906</v>
      </c>
      <c r="B907">
        <v>1705</v>
      </c>
      <c r="C907" t="str">
        <f t="shared" si="42"/>
        <v>Medium</v>
      </c>
      <c r="D907">
        <v>3</v>
      </c>
      <c r="E907">
        <v>1</v>
      </c>
      <c r="F907">
        <v>2</v>
      </c>
      <c r="G907">
        <v>1996</v>
      </c>
      <c r="H907" t="str">
        <f t="shared" si="43"/>
        <v>1976-2000</v>
      </c>
      <c r="I907" t="s">
        <v>10</v>
      </c>
      <c r="J907" t="s">
        <v>13</v>
      </c>
      <c r="K907" t="s">
        <v>16</v>
      </c>
      <c r="L907" s="4">
        <v>650243</v>
      </c>
      <c r="M907" t="str">
        <f t="shared" si="44"/>
        <v>Premium</v>
      </c>
    </row>
    <row r="908" spans="1:13" x14ac:dyDescent="0.35">
      <c r="A908">
        <v>907</v>
      </c>
      <c r="B908">
        <v>4620</v>
      </c>
      <c r="C908" t="str">
        <f t="shared" si="42"/>
        <v>Extra Large</v>
      </c>
      <c r="D908">
        <v>2</v>
      </c>
      <c r="E908">
        <v>2</v>
      </c>
      <c r="F908">
        <v>1</v>
      </c>
      <c r="G908">
        <v>1971</v>
      </c>
      <c r="H908" t="str">
        <f t="shared" si="43"/>
        <v>1950-1975</v>
      </c>
      <c r="I908" t="s">
        <v>14</v>
      </c>
      <c r="J908" t="s">
        <v>18</v>
      </c>
      <c r="K908" t="s">
        <v>16</v>
      </c>
      <c r="L908" s="4">
        <v>197748</v>
      </c>
      <c r="M908" t="str">
        <f t="shared" si="44"/>
        <v>Low</v>
      </c>
    </row>
    <row r="909" spans="1:13" x14ac:dyDescent="0.35">
      <c r="A909">
        <v>908</v>
      </c>
      <c r="B909">
        <v>2490</v>
      </c>
      <c r="C909" t="str">
        <f t="shared" si="42"/>
        <v>Medium</v>
      </c>
      <c r="D909">
        <v>2</v>
      </c>
      <c r="E909">
        <v>2</v>
      </c>
      <c r="F909">
        <v>3</v>
      </c>
      <c r="G909">
        <v>2014</v>
      </c>
      <c r="H909" t="str">
        <f t="shared" si="43"/>
        <v>Post-2000</v>
      </c>
      <c r="I909" t="s">
        <v>14</v>
      </c>
      <c r="J909" t="s">
        <v>13</v>
      </c>
      <c r="K909" t="s">
        <v>16</v>
      </c>
      <c r="L909" s="4">
        <v>144791</v>
      </c>
      <c r="M909" t="str">
        <f t="shared" si="44"/>
        <v>Low</v>
      </c>
    </row>
    <row r="910" spans="1:13" x14ac:dyDescent="0.35">
      <c r="A910">
        <v>909</v>
      </c>
      <c r="B910">
        <v>4072</v>
      </c>
      <c r="C910" t="str">
        <f t="shared" si="42"/>
        <v>Extra Large</v>
      </c>
      <c r="D910">
        <v>1</v>
      </c>
      <c r="E910">
        <v>3</v>
      </c>
      <c r="F910">
        <v>3</v>
      </c>
      <c r="G910">
        <v>2012</v>
      </c>
      <c r="H910" t="str">
        <f t="shared" si="43"/>
        <v>Post-2000</v>
      </c>
      <c r="I910" t="s">
        <v>19</v>
      </c>
      <c r="J910" t="s">
        <v>15</v>
      </c>
      <c r="K910" t="s">
        <v>12</v>
      </c>
      <c r="L910" s="4">
        <v>736874</v>
      </c>
      <c r="M910" t="str">
        <f t="shared" si="44"/>
        <v>Premium</v>
      </c>
    </row>
    <row r="911" spans="1:13" x14ac:dyDescent="0.35">
      <c r="A911">
        <v>910</v>
      </c>
      <c r="B911">
        <v>4880</v>
      </c>
      <c r="C911" t="str">
        <f t="shared" si="42"/>
        <v>Extra Large</v>
      </c>
      <c r="D911">
        <v>3</v>
      </c>
      <c r="E911">
        <v>1</v>
      </c>
      <c r="F911">
        <v>1</v>
      </c>
      <c r="G911">
        <v>1980</v>
      </c>
      <c r="H911" t="str">
        <f t="shared" si="43"/>
        <v>1976-2000</v>
      </c>
      <c r="I911" t="s">
        <v>17</v>
      </c>
      <c r="J911" t="s">
        <v>18</v>
      </c>
      <c r="K911" t="s">
        <v>16</v>
      </c>
      <c r="L911" s="4">
        <v>945150</v>
      </c>
      <c r="M911" t="str">
        <f t="shared" si="44"/>
        <v>Premium</v>
      </c>
    </row>
    <row r="912" spans="1:13" x14ac:dyDescent="0.35">
      <c r="A912">
        <v>911</v>
      </c>
      <c r="B912">
        <v>4658</v>
      </c>
      <c r="C912" t="str">
        <f t="shared" si="42"/>
        <v>Extra Large</v>
      </c>
      <c r="D912">
        <v>1</v>
      </c>
      <c r="E912">
        <v>2</v>
      </c>
      <c r="F912">
        <v>3</v>
      </c>
      <c r="G912">
        <v>1942</v>
      </c>
      <c r="H912" t="str">
        <f t="shared" si="43"/>
        <v>Pre-1950</v>
      </c>
      <c r="I912" t="s">
        <v>17</v>
      </c>
      <c r="J912" t="s">
        <v>13</v>
      </c>
      <c r="K912" t="s">
        <v>12</v>
      </c>
      <c r="L912" s="4">
        <v>596938</v>
      </c>
      <c r="M912" t="str">
        <f t="shared" si="44"/>
        <v>High</v>
      </c>
    </row>
    <row r="913" spans="1:13" x14ac:dyDescent="0.35">
      <c r="A913">
        <v>912</v>
      </c>
      <c r="B913">
        <v>3213</v>
      </c>
      <c r="C913" t="str">
        <f t="shared" si="42"/>
        <v>Large</v>
      </c>
      <c r="D913">
        <v>4</v>
      </c>
      <c r="E913">
        <v>4</v>
      </c>
      <c r="F913">
        <v>1</v>
      </c>
      <c r="G913">
        <v>1994</v>
      </c>
      <c r="H913" t="str">
        <f t="shared" si="43"/>
        <v>1976-2000</v>
      </c>
      <c r="I913" t="s">
        <v>10</v>
      </c>
      <c r="J913" t="s">
        <v>11</v>
      </c>
      <c r="K913" t="s">
        <v>12</v>
      </c>
      <c r="L913" s="4">
        <v>400434</v>
      </c>
      <c r="M913" t="str">
        <f t="shared" si="44"/>
        <v>High</v>
      </c>
    </row>
    <row r="914" spans="1:13" x14ac:dyDescent="0.35">
      <c r="A914">
        <v>913</v>
      </c>
      <c r="B914">
        <v>2703</v>
      </c>
      <c r="C914" t="str">
        <f t="shared" si="42"/>
        <v>Large</v>
      </c>
      <c r="D914">
        <v>1</v>
      </c>
      <c r="E914">
        <v>2</v>
      </c>
      <c r="F914">
        <v>2</v>
      </c>
      <c r="G914">
        <v>1997</v>
      </c>
      <c r="H914" t="str">
        <f t="shared" si="43"/>
        <v>1976-2000</v>
      </c>
      <c r="I914" t="s">
        <v>14</v>
      </c>
      <c r="J914" t="s">
        <v>13</v>
      </c>
      <c r="K914" t="s">
        <v>16</v>
      </c>
      <c r="L914" s="4">
        <v>127701</v>
      </c>
      <c r="M914" t="str">
        <f t="shared" si="44"/>
        <v>Low</v>
      </c>
    </row>
    <row r="915" spans="1:13" x14ac:dyDescent="0.35">
      <c r="A915">
        <v>914</v>
      </c>
      <c r="B915">
        <v>3620</v>
      </c>
      <c r="C915" t="str">
        <f t="shared" si="42"/>
        <v>Large</v>
      </c>
      <c r="D915">
        <v>5</v>
      </c>
      <c r="E915">
        <v>2</v>
      </c>
      <c r="F915">
        <v>2</v>
      </c>
      <c r="G915">
        <v>1905</v>
      </c>
      <c r="H915" t="str">
        <f t="shared" si="43"/>
        <v>Pre-1950</v>
      </c>
      <c r="I915" t="s">
        <v>14</v>
      </c>
      <c r="J915" t="s">
        <v>11</v>
      </c>
      <c r="K915" t="s">
        <v>12</v>
      </c>
      <c r="L915" s="4">
        <v>847115</v>
      </c>
      <c r="M915" t="str">
        <f t="shared" si="44"/>
        <v>Premium</v>
      </c>
    </row>
    <row r="916" spans="1:13" x14ac:dyDescent="0.35">
      <c r="A916">
        <v>915</v>
      </c>
      <c r="B916">
        <v>1466</v>
      </c>
      <c r="C916" t="str">
        <f t="shared" si="42"/>
        <v>Medium</v>
      </c>
      <c r="D916">
        <v>1</v>
      </c>
      <c r="E916">
        <v>3</v>
      </c>
      <c r="F916">
        <v>3</v>
      </c>
      <c r="G916">
        <v>1985</v>
      </c>
      <c r="H916" t="str">
        <f t="shared" si="43"/>
        <v>1976-2000</v>
      </c>
      <c r="I916" t="s">
        <v>10</v>
      </c>
      <c r="J916" t="s">
        <v>13</v>
      </c>
      <c r="K916" t="s">
        <v>12</v>
      </c>
      <c r="L916" s="4">
        <v>279164</v>
      </c>
      <c r="M916" t="str">
        <f t="shared" si="44"/>
        <v>Medium</v>
      </c>
    </row>
    <row r="917" spans="1:13" x14ac:dyDescent="0.35">
      <c r="A917">
        <v>916</v>
      </c>
      <c r="B917">
        <v>3932</v>
      </c>
      <c r="C917" t="str">
        <f t="shared" si="42"/>
        <v>Large</v>
      </c>
      <c r="D917">
        <v>5</v>
      </c>
      <c r="E917">
        <v>4</v>
      </c>
      <c r="F917">
        <v>2</v>
      </c>
      <c r="G917">
        <v>1977</v>
      </c>
      <c r="H917" t="str">
        <f t="shared" si="43"/>
        <v>1976-2000</v>
      </c>
      <c r="I917" t="s">
        <v>10</v>
      </c>
      <c r="J917" t="s">
        <v>13</v>
      </c>
      <c r="K917" t="s">
        <v>12</v>
      </c>
      <c r="L917" s="4">
        <v>503035</v>
      </c>
      <c r="M917" t="str">
        <f t="shared" si="44"/>
        <v>High</v>
      </c>
    </row>
    <row r="918" spans="1:13" x14ac:dyDescent="0.35">
      <c r="A918">
        <v>917</v>
      </c>
      <c r="B918">
        <v>1188</v>
      </c>
      <c r="C918" t="str">
        <f t="shared" si="42"/>
        <v>Medium</v>
      </c>
      <c r="D918">
        <v>5</v>
      </c>
      <c r="E918">
        <v>2</v>
      </c>
      <c r="F918">
        <v>3</v>
      </c>
      <c r="G918">
        <v>1966</v>
      </c>
      <c r="H918" t="str">
        <f t="shared" si="43"/>
        <v>1950-1975</v>
      </c>
      <c r="I918" t="s">
        <v>19</v>
      </c>
      <c r="J918" t="s">
        <v>13</v>
      </c>
      <c r="K918" t="s">
        <v>16</v>
      </c>
      <c r="L918" s="4">
        <v>655266</v>
      </c>
      <c r="M918" t="str">
        <f t="shared" si="44"/>
        <v>Premium</v>
      </c>
    </row>
    <row r="919" spans="1:13" x14ac:dyDescent="0.35">
      <c r="A919">
        <v>918</v>
      </c>
      <c r="B919">
        <v>4743</v>
      </c>
      <c r="C919" t="str">
        <f t="shared" si="42"/>
        <v>Extra Large</v>
      </c>
      <c r="D919">
        <v>5</v>
      </c>
      <c r="E919">
        <v>2</v>
      </c>
      <c r="F919">
        <v>3</v>
      </c>
      <c r="G919">
        <v>1911</v>
      </c>
      <c r="H919" t="str">
        <f t="shared" si="43"/>
        <v>Pre-1950</v>
      </c>
      <c r="I919" t="s">
        <v>17</v>
      </c>
      <c r="J919" t="s">
        <v>11</v>
      </c>
      <c r="K919" t="s">
        <v>12</v>
      </c>
      <c r="L919" s="4">
        <v>579148</v>
      </c>
      <c r="M919" t="str">
        <f t="shared" si="44"/>
        <v>High</v>
      </c>
    </row>
    <row r="920" spans="1:13" x14ac:dyDescent="0.35">
      <c r="A920">
        <v>919</v>
      </c>
      <c r="B920">
        <v>4201</v>
      </c>
      <c r="C920" t="str">
        <f t="shared" si="42"/>
        <v>Extra Large</v>
      </c>
      <c r="D920">
        <v>4</v>
      </c>
      <c r="E920">
        <v>4</v>
      </c>
      <c r="F920">
        <v>2</v>
      </c>
      <c r="G920">
        <v>1999</v>
      </c>
      <c r="H920" t="str">
        <f t="shared" si="43"/>
        <v>1976-2000</v>
      </c>
      <c r="I920" t="s">
        <v>17</v>
      </c>
      <c r="J920" t="s">
        <v>13</v>
      </c>
      <c r="K920" t="s">
        <v>12</v>
      </c>
      <c r="L920" s="4">
        <v>709089</v>
      </c>
      <c r="M920" t="str">
        <f t="shared" si="44"/>
        <v>Premium</v>
      </c>
    </row>
    <row r="921" spans="1:13" x14ac:dyDescent="0.35">
      <c r="A921">
        <v>920</v>
      </c>
      <c r="B921">
        <v>841</v>
      </c>
      <c r="C921" t="str">
        <f t="shared" si="42"/>
        <v>Small</v>
      </c>
      <c r="D921">
        <v>1</v>
      </c>
      <c r="E921">
        <v>1</v>
      </c>
      <c r="F921">
        <v>2</v>
      </c>
      <c r="G921">
        <v>1911</v>
      </c>
      <c r="H921" t="str">
        <f t="shared" si="43"/>
        <v>Pre-1950</v>
      </c>
      <c r="I921" t="s">
        <v>17</v>
      </c>
      <c r="J921" t="s">
        <v>18</v>
      </c>
      <c r="K921" t="s">
        <v>16</v>
      </c>
      <c r="L921" s="4">
        <v>605639</v>
      </c>
      <c r="M921" t="str">
        <f t="shared" si="44"/>
        <v>Premium</v>
      </c>
    </row>
    <row r="922" spans="1:13" x14ac:dyDescent="0.35">
      <c r="A922">
        <v>921</v>
      </c>
      <c r="B922">
        <v>2224</v>
      </c>
      <c r="C922" t="str">
        <f t="shared" si="42"/>
        <v>Medium</v>
      </c>
      <c r="D922">
        <v>1</v>
      </c>
      <c r="E922">
        <v>1</v>
      </c>
      <c r="F922">
        <v>3</v>
      </c>
      <c r="G922">
        <v>2008</v>
      </c>
      <c r="H922" t="str">
        <f t="shared" si="43"/>
        <v>Post-2000</v>
      </c>
      <c r="I922" t="s">
        <v>19</v>
      </c>
      <c r="J922" t="s">
        <v>18</v>
      </c>
      <c r="K922" t="s">
        <v>12</v>
      </c>
      <c r="L922" s="4">
        <v>555920</v>
      </c>
      <c r="M922" t="str">
        <f t="shared" si="44"/>
        <v>High</v>
      </c>
    </row>
    <row r="923" spans="1:13" x14ac:dyDescent="0.35">
      <c r="A923">
        <v>922</v>
      </c>
      <c r="B923">
        <v>4922</v>
      </c>
      <c r="C923" t="str">
        <f t="shared" si="42"/>
        <v>Extra Large</v>
      </c>
      <c r="D923">
        <v>4</v>
      </c>
      <c r="E923">
        <v>2</v>
      </c>
      <c r="F923">
        <v>2</v>
      </c>
      <c r="G923">
        <v>1965</v>
      </c>
      <c r="H923" t="str">
        <f t="shared" si="43"/>
        <v>1950-1975</v>
      </c>
      <c r="I923" t="s">
        <v>10</v>
      </c>
      <c r="J923" t="s">
        <v>18</v>
      </c>
      <c r="K923" t="s">
        <v>12</v>
      </c>
      <c r="L923" s="4">
        <v>374888</v>
      </c>
      <c r="M923" t="str">
        <f t="shared" si="44"/>
        <v>Medium</v>
      </c>
    </row>
    <row r="924" spans="1:13" x14ac:dyDescent="0.35">
      <c r="A924">
        <v>923</v>
      </c>
      <c r="B924">
        <v>2292</v>
      </c>
      <c r="C924" t="str">
        <f t="shared" si="42"/>
        <v>Medium</v>
      </c>
      <c r="D924">
        <v>3</v>
      </c>
      <c r="E924">
        <v>2</v>
      </c>
      <c r="F924">
        <v>1</v>
      </c>
      <c r="G924">
        <v>1901</v>
      </c>
      <c r="H924" t="str">
        <f t="shared" si="43"/>
        <v>Pre-1950</v>
      </c>
      <c r="I924" t="s">
        <v>10</v>
      </c>
      <c r="J924" t="s">
        <v>11</v>
      </c>
      <c r="K924" t="s">
        <v>12</v>
      </c>
      <c r="L924" s="4">
        <v>729706</v>
      </c>
      <c r="M924" t="str">
        <f t="shared" si="44"/>
        <v>Premium</v>
      </c>
    </row>
    <row r="925" spans="1:13" x14ac:dyDescent="0.35">
      <c r="A925">
        <v>924</v>
      </c>
      <c r="B925">
        <v>2259</v>
      </c>
      <c r="C925" t="str">
        <f t="shared" si="42"/>
        <v>Medium</v>
      </c>
      <c r="D925">
        <v>2</v>
      </c>
      <c r="E925">
        <v>1</v>
      </c>
      <c r="F925">
        <v>2</v>
      </c>
      <c r="G925">
        <v>1914</v>
      </c>
      <c r="H925" t="str">
        <f t="shared" si="43"/>
        <v>Pre-1950</v>
      </c>
      <c r="I925" t="s">
        <v>17</v>
      </c>
      <c r="J925" t="s">
        <v>11</v>
      </c>
      <c r="K925" t="s">
        <v>12</v>
      </c>
      <c r="L925" s="4">
        <v>956630</v>
      </c>
      <c r="M925" t="str">
        <f t="shared" si="44"/>
        <v>Premium</v>
      </c>
    </row>
    <row r="926" spans="1:13" x14ac:dyDescent="0.35">
      <c r="A926">
        <v>925</v>
      </c>
      <c r="B926">
        <v>3712</v>
      </c>
      <c r="C926" t="str">
        <f t="shared" si="42"/>
        <v>Large</v>
      </c>
      <c r="D926">
        <v>1</v>
      </c>
      <c r="E926">
        <v>3</v>
      </c>
      <c r="F926">
        <v>2</v>
      </c>
      <c r="G926">
        <v>1922</v>
      </c>
      <c r="H926" t="str">
        <f t="shared" si="43"/>
        <v>Pre-1950</v>
      </c>
      <c r="I926" t="s">
        <v>17</v>
      </c>
      <c r="J926" t="s">
        <v>18</v>
      </c>
      <c r="K926" t="s">
        <v>12</v>
      </c>
      <c r="L926" s="4">
        <v>910587</v>
      </c>
      <c r="M926" t="str">
        <f t="shared" si="44"/>
        <v>Premium</v>
      </c>
    </row>
    <row r="927" spans="1:13" x14ac:dyDescent="0.35">
      <c r="A927">
        <v>926</v>
      </c>
      <c r="B927">
        <v>1489</v>
      </c>
      <c r="C927" t="str">
        <f t="shared" si="42"/>
        <v>Medium</v>
      </c>
      <c r="D927">
        <v>2</v>
      </c>
      <c r="E927">
        <v>4</v>
      </c>
      <c r="F927">
        <v>1</v>
      </c>
      <c r="G927">
        <v>1928</v>
      </c>
      <c r="H927" t="str">
        <f t="shared" si="43"/>
        <v>Pre-1950</v>
      </c>
      <c r="I927" t="s">
        <v>19</v>
      </c>
      <c r="J927" t="s">
        <v>18</v>
      </c>
      <c r="K927" t="s">
        <v>16</v>
      </c>
      <c r="L927" s="4">
        <v>171449</v>
      </c>
      <c r="M927" t="str">
        <f t="shared" si="44"/>
        <v>Low</v>
      </c>
    </row>
    <row r="928" spans="1:13" x14ac:dyDescent="0.35">
      <c r="A928">
        <v>927</v>
      </c>
      <c r="B928">
        <v>2762</v>
      </c>
      <c r="C928" t="str">
        <f t="shared" si="42"/>
        <v>Large</v>
      </c>
      <c r="D928">
        <v>4</v>
      </c>
      <c r="E928">
        <v>4</v>
      </c>
      <c r="F928">
        <v>2</v>
      </c>
      <c r="G928">
        <v>1980</v>
      </c>
      <c r="H928" t="str">
        <f t="shared" si="43"/>
        <v>1976-2000</v>
      </c>
      <c r="I928" t="s">
        <v>14</v>
      </c>
      <c r="J928" t="s">
        <v>18</v>
      </c>
      <c r="K928" t="s">
        <v>12</v>
      </c>
      <c r="L928" s="4">
        <v>650988</v>
      </c>
      <c r="M928" t="str">
        <f t="shared" si="44"/>
        <v>Premium</v>
      </c>
    </row>
    <row r="929" spans="1:13" x14ac:dyDescent="0.35">
      <c r="A929">
        <v>928</v>
      </c>
      <c r="B929">
        <v>2982</v>
      </c>
      <c r="C929" t="str">
        <f t="shared" si="42"/>
        <v>Large</v>
      </c>
      <c r="D929">
        <v>3</v>
      </c>
      <c r="E929">
        <v>3</v>
      </c>
      <c r="F929">
        <v>2</v>
      </c>
      <c r="G929">
        <v>1995</v>
      </c>
      <c r="H929" t="str">
        <f t="shared" si="43"/>
        <v>1976-2000</v>
      </c>
      <c r="I929" t="s">
        <v>14</v>
      </c>
      <c r="J929" t="s">
        <v>15</v>
      </c>
      <c r="K929" t="s">
        <v>16</v>
      </c>
      <c r="L929" s="4">
        <v>809774</v>
      </c>
      <c r="M929" t="str">
        <f t="shared" si="44"/>
        <v>Premium</v>
      </c>
    </row>
    <row r="930" spans="1:13" x14ac:dyDescent="0.35">
      <c r="A930">
        <v>929</v>
      </c>
      <c r="B930">
        <v>1451</v>
      </c>
      <c r="C930" t="str">
        <f t="shared" si="42"/>
        <v>Medium</v>
      </c>
      <c r="D930">
        <v>3</v>
      </c>
      <c r="E930">
        <v>3</v>
      </c>
      <c r="F930">
        <v>3</v>
      </c>
      <c r="G930">
        <v>1906</v>
      </c>
      <c r="H930" t="str">
        <f t="shared" si="43"/>
        <v>Pre-1950</v>
      </c>
      <c r="I930" t="s">
        <v>17</v>
      </c>
      <c r="J930" t="s">
        <v>18</v>
      </c>
      <c r="K930" t="s">
        <v>12</v>
      </c>
      <c r="L930" s="4">
        <v>843387</v>
      </c>
      <c r="M930" t="str">
        <f t="shared" si="44"/>
        <v>Premium</v>
      </c>
    </row>
    <row r="931" spans="1:13" x14ac:dyDescent="0.35">
      <c r="A931">
        <v>930</v>
      </c>
      <c r="B931">
        <v>1222</v>
      </c>
      <c r="C931" t="str">
        <f t="shared" si="42"/>
        <v>Medium</v>
      </c>
      <c r="D931">
        <v>3</v>
      </c>
      <c r="E931">
        <v>3</v>
      </c>
      <c r="F931">
        <v>2</v>
      </c>
      <c r="G931">
        <v>1993</v>
      </c>
      <c r="H931" t="str">
        <f t="shared" si="43"/>
        <v>1976-2000</v>
      </c>
      <c r="I931" t="s">
        <v>19</v>
      </c>
      <c r="J931" t="s">
        <v>13</v>
      </c>
      <c r="K931" t="s">
        <v>16</v>
      </c>
      <c r="L931" s="4">
        <v>307571</v>
      </c>
      <c r="M931" t="str">
        <f t="shared" si="44"/>
        <v>Medium</v>
      </c>
    </row>
    <row r="932" spans="1:13" x14ac:dyDescent="0.35">
      <c r="A932">
        <v>931</v>
      </c>
      <c r="B932">
        <v>3889</v>
      </c>
      <c r="C932" t="str">
        <f t="shared" si="42"/>
        <v>Large</v>
      </c>
      <c r="D932">
        <v>4</v>
      </c>
      <c r="E932">
        <v>3</v>
      </c>
      <c r="F932">
        <v>2</v>
      </c>
      <c r="G932">
        <v>1927</v>
      </c>
      <c r="H932" t="str">
        <f t="shared" si="43"/>
        <v>Pre-1950</v>
      </c>
      <c r="I932" t="s">
        <v>17</v>
      </c>
      <c r="J932" t="s">
        <v>15</v>
      </c>
      <c r="K932" t="s">
        <v>16</v>
      </c>
      <c r="L932" s="4">
        <v>513506</v>
      </c>
      <c r="M932" t="str">
        <f t="shared" si="44"/>
        <v>High</v>
      </c>
    </row>
    <row r="933" spans="1:13" x14ac:dyDescent="0.35">
      <c r="A933">
        <v>932</v>
      </c>
      <c r="B933">
        <v>2579</v>
      </c>
      <c r="C933" t="str">
        <f t="shared" si="42"/>
        <v>Large</v>
      </c>
      <c r="D933">
        <v>5</v>
      </c>
      <c r="E933">
        <v>3</v>
      </c>
      <c r="F933">
        <v>1</v>
      </c>
      <c r="G933">
        <v>1913</v>
      </c>
      <c r="H933" t="str">
        <f t="shared" si="43"/>
        <v>Pre-1950</v>
      </c>
      <c r="I933" t="s">
        <v>14</v>
      </c>
      <c r="J933" t="s">
        <v>15</v>
      </c>
      <c r="K933" t="s">
        <v>16</v>
      </c>
      <c r="L933" s="4">
        <v>487509</v>
      </c>
      <c r="M933" t="str">
        <f t="shared" si="44"/>
        <v>High</v>
      </c>
    </row>
    <row r="934" spans="1:13" x14ac:dyDescent="0.35">
      <c r="A934">
        <v>933</v>
      </c>
      <c r="B934">
        <v>3217</v>
      </c>
      <c r="C934" t="str">
        <f t="shared" si="42"/>
        <v>Large</v>
      </c>
      <c r="D934">
        <v>5</v>
      </c>
      <c r="E934">
        <v>3</v>
      </c>
      <c r="F934">
        <v>3</v>
      </c>
      <c r="G934">
        <v>1943</v>
      </c>
      <c r="H934" t="str">
        <f t="shared" si="43"/>
        <v>Pre-1950</v>
      </c>
      <c r="I934" t="s">
        <v>17</v>
      </c>
      <c r="J934" t="s">
        <v>11</v>
      </c>
      <c r="K934" t="s">
        <v>12</v>
      </c>
      <c r="L934" s="4">
        <v>766696</v>
      </c>
      <c r="M934" t="str">
        <f t="shared" si="44"/>
        <v>Premium</v>
      </c>
    </row>
    <row r="935" spans="1:13" x14ac:dyDescent="0.35">
      <c r="A935">
        <v>934</v>
      </c>
      <c r="B935">
        <v>2832</v>
      </c>
      <c r="C935" t="str">
        <f t="shared" si="42"/>
        <v>Large</v>
      </c>
      <c r="D935">
        <v>2</v>
      </c>
      <c r="E935">
        <v>4</v>
      </c>
      <c r="F935">
        <v>3</v>
      </c>
      <c r="G935">
        <v>1929</v>
      </c>
      <c r="H935" t="str">
        <f t="shared" si="43"/>
        <v>Pre-1950</v>
      </c>
      <c r="I935" t="s">
        <v>14</v>
      </c>
      <c r="J935" t="s">
        <v>13</v>
      </c>
      <c r="K935" t="s">
        <v>12</v>
      </c>
      <c r="L935" s="4">
        <v>858094</v>
      </c>
      <c r="M935" t="str">
        <f t="shared" si="44"/>
        <v>Premium</v>
      </c>
    </row>
    <row r="936" spans="1:13" x14ac:dyDescent="0.35">
      <c r="A936">
        <v>935</v>
      </c>
      <c r="B936">
        <v>3876</v>
      </c>
      <c r="C936" t="str">
        <f t="shared" si="42"/>
        <v>Large</v>
      </c>
      <c r="D936">
        <v>5</v>
      </c>
      <c r="E936">
        <v>3</v>
      </c>
      <c r="F936">
        <v>3</v>
      </c>
      <c r="G936">
        <v>1980</v>
      </c>
      <c r="H936" t="str">
        <f t="shared" si="43"/>
        <v>1976-2000</v>
      </c>
      <c r="I936" t="s">
        <v>14</v>
      </c>
      <c r="J936" t="s">
        <v>11</v>
      </c>
      <c r="K936" t="s">
        <v>12</v>
      </c>
      <c r="L936" s="4">
        <v>580696</v>
      </c>
      <c r="M936" t="str">
        <f t="shared" si="44"/>
        <v>High</v>
      </c>
    </row>
    <row r="937" spans="1:13" x14ac:dyDescent="0.35">
      <c r="A937">
        <v>936</v>
      </c>
      <c r="B937">
        <v>2000</v>
      </c>
      <c r="C937" t="str">
        <f t="shared" si="42"/>
        <v>Medium</v>
      </c>
      <c r="D937">
        <v>5</v>
      </c>
      <c r="E937">
        <v>1</v>
      </c>
      <c r="F937">
        <v>2</v>
      </c>
      <c r="G937">
        <v>1931</v>
      </c>
      <c r="H937" t="str">
        <f t="shared" si="43"/>
        <v>Pre-1950</v>
      </c>
      <c r="I937" t="s">
        <v>14</v>
      </c>
      <c r="J937" t="s">
        <v>11</v>
      </c>
      <c r="K937" t="s">
        <v>12</v>
      </c>
      <c r="L937" s="4">
        <v>745763</v>
      </c>
      <c r="M937" t="str">
        <f t="shared" si="44"/>
        <v>Premium</v>
      </c>
    </row>
    <row r="938" spans="1:13" x14ac:dyDescent="0.35">
      <c r="A938">
        <v>937</v>
      </c>
      <c r="B938">
        <v>785</v>
      </c>
      <c r="C938" t="str">
        <f t="shared" si="42"/>
        <v>Small</v>
      </c>
      <c r="D938">
        <v>3</v>
      </c>
      <c r="E938">
        <v>3</v>
      </c>
      <c r="F938">
        <v>3</v>
      </c>
      <c r="G938">
        <v>2009</v>
      </c>
      <c r="H938" t="str">
        <f t="shared" si="43"/>
        <v>Post-2000</v>
      </c>
      <c r="I938" t="s">
        <v>10</v>
      </c>
      <c r="J938" t="s">
        <v>13</v>
      </c>
      <c r="K938" t="s">
        <v>12</v>
      </c>
      <c r="L938" s="4">
        <v>313369</v>
      </c>
      <c r="M938" t="str">
        <f t="shared" si="44"/>
        <v>Medium</v>
      </c>
    </row>
    <row r="939" spans="1:13" x14ac:dyDescent="0.35">
      <c r="A939">
        <v>938</v>
      </c>
      <c r="B939">
        <v>3995</v>
      </c>
      <c r="C939" t="str">
        <f t="shared" si="42"/>
        <v>Large</v>
      </c>
      <c r="D939">
        <v>3</v>
      </c>
      <c r="E939">
        <v>3</v>
      </c>
      <c r="F939">
        <v>1</v>
      </c>
      <c r="G939">
        <v>1969</v>
      </c>
      <c r="H939" t="str">
        <f t="shared" si="43"/>
        <v>1950-1975</v>
      </c>
      <c r="I939" t="s">
        <v>10</v>
      </c>
      <c r="J939" t="s">
        <v>11</v>
      </c>
      <c r="K939" t="s">
        <v>16</v>
      </c>
      <c r="L939" s="4">
        <v>979700</v>
      </c>
      <c r="M939" t="str">
        <f t="shared" si="44"/>
        <v>Premium</v>
      </c>
    </row>
    <row r="940" spans="1:13" x14ac:dyDescent="0.35">
      <c r="A940">
        <v>939</v>
      </c>
      <c r="B940">
        <v>2565</v>
      </c>
      <c r="C940" t="str">
        <f t="shared" si="42"/>
        <v>Large</v>
      </c>
      <c r="D940">
        <v>2</v>
      </c>
      <c r="E940">
        <v>4</v>
      </c>
      <c r="F940">
        <v>3</v>
      </c>
      <c r="G940">
        <v>2014</v>
      </c>
      <c r="H940" t="str">
        <f t="shared" si="43"/>
        <v>Post-2000</v>
      </c>
      <c r="I940" t="s">
        <v>17</v>
      </c>
      <c r="J940" t="s">
        <v>13</v>
      </c>
      <c r="K940" t="s">
        <v>16</v>
      </c>
      <c r="L940" s="4">
        <v>513002</v>
      </c>
      <c r="M940" t="str">
        <f t="shared" si="44"/>
        <v>High</v>
      </c>
    </row>
    <row r="941" spans="1:13" x14ac:dyDescent="0.35">
      <c r="A941">
        <v>940</v>
      </c>
      <c r="B941">
        <v>1268</v>
      </c>
      <c r="C941" t="str">
        <f t="shared" si="42"/>
        <v>Medium</v>
      </c>
      <c r="D941">
        <v>1</v>
      </c>
      <c r="E941">
        <v>4</v>
      </c>
      <c r="F941">
        <v>1</v>
      </c>
      <c r="G941">
        <v>1987</v>
      </c>
      <c r="H941" t="str">
        <f t="shared" si="43"/>
        <v>1976-2000</v>
      </c>
      <c r="I941" t="s">
        <v>14</v>
      </c>
      <c r="J941" t="s">
        <v>13</v>
      </c>
      <c r="K941" t="s">
        <v>16</v>
      </c>
      <c r="L941" s="4">
        <v>196444</v>
      </c>
      <c r="M941" t="str">
        <f t="shared" si="44"/>
        <v>Low</v>
      </c>
    </row>
    <row r="942" spans="1:13" x14ac:dyDescent="0.35">
      <c r="A942">
        <v>941</v>
      </c>
      <c r="B942">
        <v>3557</v>
      </c>
      <c r="C942" t="str">
        <f t="shared" si="42"/>
        <v>Large</v>
      </c>
      <c r="D942">
        <v>2</v>
      </c>
      <c r="E942">
        <v>3</v>
      </c>
      <c r="F942">
        <v>3</v>
      </c>
      <c r="G942">
        <v>1905</v>
      </c>
      <c r="H942" t="str">
        <f t="shared" si="43"/>
        <v>Pre-1950</v>
      </c>
      <c r="I942" t="s">
        <v>10</v>
      </c>
      <c r="J942" t="s">
        <v>11</v>
      </c>
      <c r="K942" t="s">
        <v>12</v>
      </c>
      <c r="L942" s="4">
        <v>831608</v>
      </c>
      <c r="M942" t="str">
        <f t="shared" si="44"/>
        <v>Premium</v>
      </c>
    </row>
    <row r="943" spans="1:13" x14ac:dyDescent="0.35">
      <c r="A943">
        <v>942</v>
      </c>
      <c r="B943">
        <v>4789</v>
      </c>
      <c r="C943" t="str">
        <f t="shared" si="42"/>
        <v>Extra Large</v>
      </c>
      <c r="D943">
        <v>2</v>
      </c>
      <c r="E943">
        <v>4</v>
      </c>
      <c r="F943">
        <v>3</v>
      </c>
      <c r="G943">
        <v>1926</v>
      </c>
      <c r="H943" t="str">
        <f t="shared" si="43"/>
        <v>Pre-1950</v>
      </c>
      <c r="I943" t="s">
        <v>17</v>
      </c>
      <c r="J943" t="s">
        <v>18</v>
      </c>
      <c r="K943" t="s">
        <v>12</v>
      </c>
      <c r="L943" s="4">
        <v>591567</v>
      </c>
      <c r="M943" t="str">
        <f t="shared" si="44"/>
        <v>High</v>
      </c>
    </row>
    <row r="944" spans="1:13" x14ac:dyDescent="0.35">
      <c r="A944">
        <v>943</v>
      </c>
      <c r="B944">
        <v>2661</v>
      </c>
      <c r="C944" t="str">
        <f t="shared" si="42"/>
        <v>Large</v>
      </c>
      <c r="D944">
        <v>4</v>
      </c>
      <c r="E944">
        <v>2</v>
      </c>
      <c r="F944">
        <v>1</v>
      </c>
      <c r="G944">
        <v>1981</v>
      </c>
      <c r="H944" t="str">
        <f t="shared" si="43"/>
        <v>1976-2000</v>
      </c>
      <c r="I944" t="s">
        <v>17</v>
      </c>
      <c r="J944" t="s">
        <v>11</v>
      </c>
      <c r="K944" t="s">
        <v>16</v>
      </c>
      <c r="L944" s="4">
        <v>160401</v>
      </c>
      <c r="M944" t="str">
        <f t="shared" si="44"/>
        <v>Low</v>
      </c>
    </row>
    <row r="945" spans="1:13" x14ac:dyDescent="0.35">
      <c r="A945">
        <v>944</v>
      </c>
      <c r="B945">
        <v>3793</v>
      </c>
      <c r="C945" t="str">
        <f t="shared" si="42"/>
        <v>Large</v>
      </c>
      <c r="D945">
        <v>4</v>
      </c>
      <c r="E945">
        <v>4</v>
      </c>
      <c r="F945">
        <v>3</v>
      </c>
      <c r="G945">
        <v>1987</v>
      </c>
      <c r="H945" t="str">
        <f t="shared" si="43"/>
        <v>1976-2000</v>
      </c>
      <c r="I945" t="s">
        <v>17</v>
      </c>
      <c r="J945" t="s">
        <v>15</v>
      </c>
      <c r="K945" t="s">
        <v>12</v>
      </c>
      <c r="L945" s="4">
        <v>276801</v>
      </c>
      <c r="M945" t="str">
        <f t="shared" si="44"/>
        <v>Medium</v>
      </c>
    </row>
    <row r="946" spans="1:13" x14ac:dyDescent="0.35">
      <c r="A946">
        <v>945</v>
      </c>
      <c r="B946">
        <v>1446</v>
      </c>
      <c r="C946" t="str">
        <f t="shared" si="42"/>
        <v>Medium</v>
      </c>
      <c r="D946">
        <v>2</v>
      </c>
      <c r="E946">
        <v>4</v>
      </c>
      <c r="F946">
        <v>3</v>
      </c>
      <c r="G946">
        <v>2000</v>
      </c>
      <c r="H946" t="str">
        <f t="shared" si="43"/>
        <v>1976-2000</v>
      </c>
      <c r="I946" t="s">
        <v>17</v>
      </c>
      <c r="J946" t="s">
        <v>11</v>
      </c>
      <c r="K946" t="s">
        <v>12</v>
      </c>
      <c r="L946" s="4">
        <v>821668</v>
      </c>
      <c r="M946" t="str">
        <f t="shared" si="44"/>
        <v>Premium</v>
      </c>
    </row>
    <row r="947" spans="1:13" x14ac:dyDescent="0.35">
      <c r="A947">
        <v>946</v>
      </c>
      <c r="B947">
        <v>3835</v>
      </c>
      <c r="C947" t="str">
        <f t="shared" si="42"/>
        <v>Large</v>
      </c>
      <c r="D947">
        <v>2</v>
      </c>
      <c r="E947">
        <v>4</v>
      </c>
      <c r="F947">
        <v>3</v>
      </c>
      <c r="G947">
        <v>2019</v>
      </c>
      <c r="H947" t="str">
        <f t="shared" si="43"/>
        <v>Post-2000</v>
      </c>
      <c r="I947" t="s">
        <v>17</v>
      </c>
      <c r="J947" t="s">
        <v>13</v>
      </c>
      <c r="K947" t="s">
        <v>16</v>
      </c>
      <c r="L947" s="4">
        <v>553575</v>
      </c>
      <c r="M947" t="str">
        <f t="shared" si="44"/>
        <v>High</v>
      </c>
    </row>
    <row r="948" spans="1:13" x14ac:dyDescent="0.35">
      <c r="A948">
        <v>947</v>
      </c>
      <c r="B948">
        <v>4650</v>
      </c>
      <c r="C948" t="str">
        <f t="shared" si="42"/>
        <v>Extra Large</v>
      </c>
      <c r="D948">
        <v>2</v>
      </c>
      <c r="E948">
        <v>4</v>
      </c>
      <c r="F948">
        <v>2</v>
      </c>
      <c r="G948">
        <v>1923</v>
      </c>
      <c r="H948" t="str">
        <f t="shared" si="43"/>
        <v>Pre-1950</v>
      </c>
      <c r="I948" t="s">
        <v>19</v>
      </c>
      <c r="J948" t="s">
        <v>15</v>
      </c>
      <c r="K948" t="s">
        <v>16</v>
      </c>
      <c r="L948" s="4">
        <v>928836</v>
      </c>
      <c r="M948" t="str">
        <f t="shared" si="44"/>
        <v>Premium</v>
      </c>
    </row>
    <row r="949" spans="1:13" x14ac:dyDescent="0.35">
      <c r="A949">
        <v>948</v>
      </c>
      <c r="B949">
        <v>1981</v>
      </c>
      <c r="C949" t="str">
        <f t="shared" si="42"/>
        <v>Medium</v>
      </c>
      <c r="D949">
        <v>5</v>
      </c>
      <c r="E949">
        <v>1</v>
      </c>
      <c r="F949">
        <v>1</v>
      </c>
      <c r="G949">
        <v>2001</v>
      </c>
      <c r="H949" t="str">
        <f t="shared" si="43"/>
        <v>Post-2000</v>
      </c>
      <c r="I949" t="s">
        <v>14</v>
      </c>
      <c r="J949" t="s">
        <v>13</v>
      </c>
      <c r="K949" t="s">
        <v>12</v>
      </c>
      <c r="L949" s="4">
        <v>219259</v>
      </c>
      <c r="M949" t="str">
        <f t="shared" si="44"/>
        <v>Medium</v>
      </c>
    </row>
    <row r="950" spans="1:13" x14ac:dyDescent="0.35">
      <c r="A950">
        <v>949</v>
      </c>
      <c r="B950">
        <v>2401</v>
      </c>
      <c r="C950" t="str">
        <f t="shared" si="42"/>
        <v>Medium</v>
      </c>
      <c r="D950">
        <v>4</v>
      </c>
      <c r="E950">
        <v>1</v>
      </c>
      <c r="F950">
        <v>3</v>
      </c>
      <c r="G950">
        <v>1933</v>
      </c>
      <c r="H950" t="str">
        <f t="shared" si="43"/>
        <v>Pre-1950</v>
      </c>
      <c r="I950" t="s">
        <v>17</v>
      </c>
      <c r="J950" t="s">
        <v>18</v>
      </c>
      <c r="K950" t="s">
        <v>12</v>
      </c>
      <c r="L950" s="4">
        <v>297145</v>
      </c>
      <c r="M950" t="str">
        <f t="shared" si="44"/>
        <v>Medium</v>
      </c>
    </row>
    <row r="951" spans="1:13" x14ac:dyDescent="0.35">
      <c r="A951">
        <v>950</v>
      </c>
      <c r="B951">
        <v>3951</v>
      </c>
      <c r="C951" t="str">
        <f t="shared" si="42"/>
        <v>Large</v>
      </c>
      <c r="D951">
        <v>2</v>
      </c>
      <c r="E951">
        <v>1</v>
      </c>
      <c r="F951">
        <v>1</v>
      </c>
      <c r="G951">
        <v>1939</v>
      </c>
      <c r="H951" t="str">
        <f t="shared" si="43"/>
        <v>Pre-1950</v>
      </c>
      <c r="I951" t="s">
        <v>19</v>
      </c>
      <c r="J951" t="s">
        <v>18</v>
      </c>
      <c r="K951" t="s">
        <v>16</v>
      </c>
      <c r="L951" s="4">
        <v>360625</v>
      </c>
      <c r="M951" t="str">
        <f t="shared" si="44"/>
        <v>Medium</v>
      </c>
    </row>
    <row r="952" spans="1:13" x14ac:dyDescent="0.35">
      <c r="A952">
        <v>951</v>
      </c>
      <c r="B952">
        <v>4564</v>
      </c>
      <c r="C952" t="str">
        <f t="shared" si="42"/>
        <v>Extra Large</v>
      </c>
      <c r="D952">
        <v>3</v>
      </c>
      <c r="E952">
        <v>3</v>
      </c>
      <c r="F952">
        <v>1</v>
      </c>
      <c r="G952">
        <v>1946</v>
      </c>
      <c r="H952" t="str">
        <f t="shared" si="43"/>
        <v>Pre-1950</v>
      </c>
      <c r="I952" t="s">
        <v>14</v>
      </c>
      <c r="J952" t="s">
        <v>15</v>
      </c>
      <c r="K952" t="s">
        <v>12</v>
      </c>
      <c r="L952" s="4">
        <v>733835</v>
      </c>
      <c r="M952" t="str">
        <f t="shared" si="44"/>
        <v>Premium</v>
      </c>
    </row>
    <row r="953" spans="1:13" x14ac:dyDescent="0.35">
      <c r="A953">
        <v>952</v>
      </c>
      <c r="B953">
        <v>554</v>
      </c>
      <c r="C953" t="str">
        <f t="shared" si="42"/>
        <v>Small</v>
      </c>
      <c r="D953">
        <v>3</v>
      </c>
      <c r="E953">
        <v>3</v>
      </c>
      <c r="F953">
        <v>1</v>
      </c>
      <c r="G953">
        <v>1978</v>
      </c>
      <c r="H953" t="str">
        <f t="shared" si="43"/>
        <v>1976-2000</v>
      </c>
      <c r="I953" t="s">
        <v>10</v>
      </c>
      <c r="J953" t="s">
        <v>18</v>
      </c>
      <c r="K953" t="s">
        <v>16</v>
      </c>
      <c r="L953" s="4">
        <v>94552</v>
      </c>
      <c r="M953" t="str">
        <f t="shared" si="44"/>
        <v>Low</v>
      </c>
    </row>
    <row r="954" spans="1:13" x14ac:dyDescent="0.35">
      <c r="A954">
        <v>953</v>
      </c>
      <c r="B954">
        <v>2323</v>
      </c>
      <c r="C954" t="str">
        <f t="shared" si="42"/>
        <v>Medium</v>
      </c>
      <c r="D954">
        <v>5</v>
      </c>
      <c r="E954">
        <v>2</v>
      </c>
      <c r="F954">
        <v>3</v>
      </c>
      <c r="G954">
        <v>1974</v>
      </c>
      <c r="H954" t="str">
        <f t="shared" si="43"/>
        <v>1950-1975</v>
      </c>
      <c r="I954" t="s">
        <v>17</v>
      </c>
      <c r="J954" t="s">
        <v>18</v>
      </c>
      <c r="K954" t="s">
        <v>16</v>
      </c>
      <c r="L954" s="4">
        <v>249041</v>
      </c>
      <c r="M954" t="str">
        <f t="shared" si="44"/>
        <v>Medium</v>
      </c>
    </row>
    <row r="955" spans="1:13" x14ac:dyDescent="0.35">
      <c r="A955">
        <v>954</v>
      </c>
      <c r="B955">
        <v>3962</v>
      </c>
      <c r="C955" t="str">
        <f t="shared" si="42"/>
        <v>Large</v>
      </c>
      <c r="D955">
        <v>5</v>
      </c>
      <c r="E955">
        <v>1</v>
      </c>
      <c r="F955">
        <v>3</v>
      </c>
      <c r="G955">
        <v>1985</v>
      </c>
      <c r="H955" t="str">
        <f t="shared" si="43"/>
        <v>1976-2000</v>
      </c>
      <c r="I955" t="s">
        <v>19</v>
      </c>
      <c r="J955" t="s">
        <v>11</v>
      </c>
      <c r="K955" t="s">
        <v>16</v>
      </c>
      <c r="L955" s="4">
        <v>257606</v>
      </c>
      <c r="M955" t="str">
        <f t="shared" si="44"/>
        <v>Medium</v>
      </c>
    </row>
    <row r="956" spans="1:13" x14ac:dyDescent="0.35">
      <c r="A956">
        <v>955</v>
      </c>
      <c r="B956">
        <v>3579</v>
      </c>
      <c r="C956" t="str">
        <f t="shared" si="42"/>
        <v>Large</v>
      </c>
      <c r="D956">
        <v>1</v>
      </c>
      <c r="E956">
        <v>3</v>
      </c>
      <c r="F956">
        <v>1</v>
      </c>
      <c r="G956">
        <v>2017</v>
      </c>
      <c r="H956" t="str">
        <f t="shared" si="43"/>
        <v>Post-2000</v>
      </c>
      <c r="I956" t="s">
        <v>10</v>
      </c>
      <c r="J956" t="s">
        <v>11</v>
      </c>
      <c r="K956" t="s">
        <v>12</v>
      </c>
      <c r="L956" s="4">
        <v>804965</v>
      </c>
      <c r="M956" t="str">
        <f t="shared" si="44"/>
        <v>Premium</v>
      </c>
    </row>
    <row r="957" spans="1:13" x14ac:dyDescent="0.35">
      <c r="A957">
        <v>956</v>
      </c>
      <c r="B957">
        <v>1332</v>
      </c>
      <c r="C957" t="str">
        <f t="shared" si="42"/>
        <v>Medium</v>
      </c>
      <c r="D957">
        <v>1</v>
      </c>
      <c r="E957">
        <v>4</v>
      </c>
      <c r="F957">
        <v>2</v>
      </c>
      <c r="G957">
        <v>1923</v>
      </c>
      <c r="H957" t="str">
        <f t="shared" si="43"/>
        <v>Pre-1950</v>
      </c>
      <c r="I957" t="s">
        <v>19</v>
      </c>
      <c r="J957" t="s">
        <v>18</v>
      </c>
      <c r="K957" t="s">
        <v>16</v>
      </c>
      <c r="L957" s="4">
        <v>836157</v>
      </c>
      <c r="M957" t="str">
        <f t="shared" si="44"/>
        <v>Premium</v>
      </c>
    </row>
    <row r="958" spans="1:13" x14ac:dyDescent="0.35">
      <c r="A958">
        <v>957</v>
      </c>
      <c r="B958">
        <v>4908</v>
      </c>
      <c r="C958" t="str">
        <f t="shared" si="42"/>
        <v>Extra Large</v>
      </c>
      <c r="D958">
        <v>1</v>
      </c>
      <c r="E958">
        <v>4</v>
      </c>
      <c r="F958">
        <v>1</v>
      </c>
      <c r="G958">
        <v>1964</v>
      </c>
      <c r="H958" t="str">
        <f t="shared" si="43"/>
        <v>1950-1975</v>
      </c>
      <c r="I958" t="s">
        <v>14</v>
      </c>
      <c r="J958" t="s">
        <v>18</v>
      </c>
      <c r="K958" t="s">
        <v>16</v>
      </c>
      <c r="L958" s="4">
        <v>450074</v>
      </c>
      <c r="M958" t="str">
        <f t="shared" si="44"/>
        <v>High</v>
      </c>
    </row>
    <row r="959" spans="1:13" x14ac:dyDescent="0.35">
      <c r="A959">
        <v>958</v>
      </c>
      <c r="B959">
        <v>3306</v>
      </c>
      <c r="C959" t="str">
        <f t="shared" si="42"/>
        <v>Large</v>
      </c>
      <c r="D959">
        <v>5</v>
      </c>
      <c r="E959">
        <v>1</v>
      </c>
      <c r="F959">
        <v>2</v>
      </c>
      <c r="G959">
        <v>1917</v>
      </c>
      <c r="H959" t="str">
        <f t="shared" si="43"/>
        <v>Pre-1950</v>
      </c>
      <c r="I959" t="s">
        <v>14</v>
      </c>
      <c r="J959" t="s">
        <v>11</v>
      </c>
      <c r="K959" t="s">
        <v>12</v>
      </c>
      <c r="L959" s="4">
        <v>779846</v>
      </c>
      <c r="M959" t="str">
        <f t="shared" si="44"/>
        <v>Premium</v>
      </c>
    </row>
    <row r="960" spans="1:13" x14ac:dyDescent="0.35">
      <c r="A960">
        <v>959</v>
      </c>
      <c r="B960">
        <v>2990</v>
      </c>
      <c r="C960" t="str">
        <f t="shared" si="42"/>
        <v>Large</v>
      </c>
      <c r="D960">
        <v>5</v>
      </c>
      <c r="E960">
        <v>2</v>
      </c>
      <c r="F960">
        <v>1</v>
      </c>
      <c r="G960">
        <v>1943</v>
      </c>
      <c r="H960" t="str">
        <f t="shared" si="43"/>
        <v>Pre-1950</v>
      </c>
      <c r="I960" t="s">
        <v>10</v>
      </c>
      <c r="J960" t="s">
        <v>18</v>
      </c>
      <c r="K960" t="s">
        <v>16</v>
      </c>
      <c r="L960" s="4">
        <v>124474</v>
      </c>
      <c r="M960" t="str">
        <f t="shared" si="44"/>
        <v>Low</v>
      </c>
    </row>
    <row r="961" spans="1:13" x14ac:dyDescent="0.35">
      <c r="A961">
        <v>960</v>
      </c>
      <c r="B961">
        <v>827</v>
      </c>
      <c r="C961" t="str">
        <f t="shared" si="42"/>
        <v>Small</v>
      </c>
      <c r="D961">
        <v>5</v>
      </c>
      <c r="E961">
        <v>2</v>
      </c>
      <c r="F961">
        <v>1</v>
      </c>
      <c r="G961">
        <v>1975</v>
      </c>
      <c r="H961" t="str">
        <f t="shared" si="43"/>
        <v>1950-1975</v>
      </c>
      <c r="I961" t="s">
        <v>19</v>
      </c>
      <c r="J961" t="s">
        <v>18</v>
      </c>
      <c r="K961" t="s">
        <v>12</v>
      </c>
      <c r="L961" s="4">
        <v>337312</v>
      </c>
      <c r="M961" t="str">
        <f t="shared" si="44"/>
        <v>Medium</v>
      </c>
    </row>
    <row r="962" spans="1:13" x14ac:dyDescent="0.35">
      <c r="A962">
        <v>961</v>
      </c>
      <c r="B962">
        <v>3810</v>
      </c>
      <c r="C962" t="str">
        <f t="shared" si="42"/>
        <v>Large</v>
      </c>
      <c r="D962">
        <v>3</v>
      </c>
      <c r="E962">
        <v>4</v>
      </c>
      <c r="F962">
        <v>1</v>
      </c>
      <c r="G962">
        <v>1956</v>
      </c>
      <c r="H962" t="str">
        <f t="shared" si="43"/>
        <v>1950-1975</v>
      </c>
      <c r="I962" t="s">
        <v>17</v>
      </c>
      <c r="J962" t="s">
        <v>13</v>
      </c>
      <c r="K962" t="s">
        <v>12</v>
      </c>
      <c r="L962" s="4">
        <v>606387</v>
      </c>
      <c r="M962" t="str">
        <f t="shared" si="44"/>
        <v>Premium</v>
      </c>
    </row>
    <row r="963" spans="1:13" x14ac:dyDescent="0.35">
      <c r="A963">
        <v>962</v>
      </c>
      <c r="B963">
        <v>3800</v>
      </c>
      <c r="C963" t="str">
        <f t="shared" ref="C963:C1026" si="45">IF(B963&lt;=1000,"Small",IF(B963&lt;=2500,"Medium",IF(B963&lt;=4000,"Large",IF(B963&gt;=4000,"Extra Large"))))</f>
        <v>Large</v>
      </c>
      <c r="D963">
        <v>5</v>
      </c>
      <c r="E963">
        <v>2</v>
      </c>
      <c r="F963">
        <v>3</v>
      </c>
      <c r="G963">
        <v>2006</v>
      </c>
      <c r="H963" t="str">
        <f t="shared" ref="H963:H1026" si="46">IF(G963&lt;=1950,"Pre-1950",IF(G963&lt;=1975,"1950-1975",IF(G963&lt;=2000,"1976-2000",IF(G963&gt;=2000,"Post-2000"))))</f>
        <v>Post-2000</v>
      </c>
      <c r="I963" t="s">
        <v>17</v>
      </c>
      <c r="J963" t="s">
        <v>18</v>
      </c>
      <c r="K963" t="s">
        <v>12</v>
      </c>
      <c r="L963" s="4">
        <v>252252</v>
      </c>
      <c r="M963" t="str">
        <f t="shared" ref="M963:M1026" si="47">IF(L963&lt;=200000,"Low",IF(L963&lt;=400000,"Medium",IF(L963&lt;=600000,"High",IF(L963&gt;=600000,"Premium",""))))</f>
        <v>Medium</v>
      </c>
    </row>
    <row r="964" spans="1:13" x14ac:dyDescent="0.35">
      <c r="A964">
        <v>963</v>
      </c>
      <c r="B964">
        <v>4175</v>
      </c>
      <c r="C964" t="str">
        <f t="shared" si="45"/>
        <v>Extra Large</v>
      </c>
      <c r="D964">
        <v>3</v>
      </c>
      <c r="E964">
        <v>1</v>
      </c>
      <c r="F964">
        <v>2</v>
      </c>
      <c r="G964">
        <v>1927</v>
      </c>
      <c r="H964" t="str">
        <f t="shared" si="46"/>
        <v>Pre-1950</v>
      </c>
      <c r="I964" t="s">
        <v>10</v>
      </c>
      <c r="J964" t="s">
        <v>15</v>
      </c>
      <c r="K964" t="s">
        <v>16</v>
      </c>
      <c r="L964" s="4">
        <v>814742</v>
      </c>
      <c r="M964" t="str">
        <f t="shared" si="47"/>
        <v>Premium</v>
      </c>
    </row>
    <row r="965" spans="1:13" x14ac:dyDescent="0.35">
      <c r="A965">
        <v>964</v>
      </c>
      <c r="B965">
        <v>3554</v>
      </c>
      <c r="C965" t="str">
        <f t="shared" si="45"/>
        <v>Large</v>
      </c>
      <c r="D965">
        <v>1</v>
      </c>
      <c r="E965">
        <v>4</v>
      </c>
      <c r="F965">
        <v>2</v>
      </c>
      <c r="G965">
        <v>2003</v>
      </c>
      <c r="H965" t="str">
        <f t="shared" si="46"/>
        <v>Post-2000</v>
      </c>
      <c r="I965" t="s">
        <v>10</v>
      </c>
      <c r="J965" t="s">
        <v>13</v>
      </c>
      <c r="K965" t="s">
        <v>16</v>
      </c>
      <c r="L965" s="4">
        <v>373599</v>
      </c>
      <c r="M965" t="str">
        <f t="shared" si="47"/>
        <v>Medium</v>
      </c>
    </row>
    <row r="966" spans="1:13" x14ac:dyDescent="0.35">
      <c r="A966">
        <v>965</v>
      </c>
      <c r="B966">
        <v>2643</v>
      </c>
      <c r="C966" t="str">
        <f t="shared" si="45"/>
        <v>Large</v>
      </c>
      <c r="D966">
        <v>1</v>
      </c>
      <c r="E966">
        <v>3</v>
      </c>
      <c r="F966">
        <v>1</v>
      </c>
      <c r="G966">
        <v>2023</v>
      </c>
      <c r="H966" t="str">
        <f t="shared" si="46"/>
        <v>Post-2000</v>
      </c>
      <c r="I966" t="s">
        <v>10</v>
      </c>
      <c r="J966" t="s">
        <v>15</v>
      </c>
      <c r="K966" t="s">
        <v>12</v>
      </c>
      <c r="L966" s="4">
        <v>628528</v>
      </c>
      <c r="M966" t="str">
        <f t="shared" si="47"/>
        <v>Premium</v>
      </c>
    </row>
    <row r="967" spans="1:13" x14ac:dyDescent="0.35">
      <c r="A967">
        <v>966</v>
      </c>
      <c r="B967">
        <v>1811</v>
      </c>
      <c r="C967" t="str">
        <f t="shared" si="45"/>
        <v>Medium</v>
      </c>
      <c r="D967">
        <v>1</v>
      </c>
      <c r="E967">
        <v>3</v>
      </c>
      <c r="F967">
        <v>3</v>
      </c>
      <c r="G967">
        <v>1970</v>
      </c>
      <c r="H967" t="str">
        <f t="shared" si="46"/>
        <v>1950-1975</v>
      </c>
      <c r="I967" t="s">
        <v>19</v>
      </c>
      <c r="J967" t="s">
        <v>18</v>
      </c>
      <c r="K967" t="s">
        <v>12</v>
      </c>
      <c r="L967" s="4">
        <v>386940</v>
      </c>
      <c r="M967" t="str">
        <f t="shared" si="47"/>
        <v>Medium</v>
      </c>
    </row>
    <row r="968" spans="1:13" x14ac:dyDescent="0.35">
      <c r="A968">
        <v>967</v>
      </c>
      <c r="B968">
        <v>3691</v>
      </c>
      <c r="C968" t="str">
        <f t="shared" si="45"/>
        <v>Large</v>
      </c>
      <c r="D968">
        <v>2</v>
      </c>
      <c r="E968">
        <v>2</v>
      </c>
      <c r="F968">
        <v>3</v>
      </c>
      <c r="G968">
        <v>1922</v>
      </c>
      <c r="H968" t="str">
        <f t="shared" si="46"/>
        <v>Pre-1950</v>
      </c>
      <c r="I968" t="s">
        <v>17</v>
      </c>
      <c r="J968" t="s">
        <v>11</v>
      </c>
      <c r="K968" t="s">
        <v>12</v>
      </c>
      <c r="L968" s="4">
        <v>891024</v>
      </c>
      <c r="M968" t="str">
        <f t="shared" si="47"/>
        <v>Premium</v>
      </c>
    </row>
    <row r="969" spans="1:13" x14ac:dyDescent="0.35">
      <c r="A969">
        <v>968</v>
      </c>
      <c r="B969">
        <v>3038</v>
      </c>
      <c r="C969" t="str">
        <f t="shared" si="45"/>
        <v>Large</v>
      </c>
      <c r="D969">
        <v>2</v>
      </c>
      <c r="E969">
        <v>4</v>
      </c>
      <c r="F969">
        <v>2</v>
      </c>
      <c r="G969">
        <v>1984</v>
      </c>
      <c r="H969" t="str">
        <f t="shared" si="46"/>
        <v>1976-2000</v>
      </c>
      <c r="I969" t="s">
        <v>17</v>
      </c>
      <c r="J969" t="s">
        <v>13</v>
      </c>
      <c r="K969" t="s">
        <v>16</v>
      </c>
      <c r="L969" s="4">
        <v>835034</v>
      </c>
      <c r="M969" t="str">
        <f t="shared" si="47"/>
        <v>Premium</v>
      </c>
    </row>
    <row r="970" spans="1:13" x14ac:dyDescent="0.35">
      <c r="A970">
        <v>969</v>
      </c>
      <c r="B970">
        <v>4483</v>
      </c>
      <c r="C970" t="str">
        <f t="shared" si="45"/>
        <v>Extra Large</v>
      </c>
      <c r="D970">
        <v>4</v>
      </c>
      <c r="E970">
        <v>4</v>
      </c>
      <c r="F970">
        <v>3</v>
      </c>
      <c r="G970">
        <v>1933</v>
      </c>
      <c r="H970" t="str">
        <f t="shared" si="46"/>
        <v>Pre-1950</v>
      </c>
      <c r="I970" t="s">
        <v>17</v>
      </c>
      <c r="J970" t="s">
        <v>11</v>
      </c>
      <c r="K970" t="s">
        <v>12</v>
      </c>
      <c r="L970" s="4">
        <v>434325</v>
      </c>
      <c r="M970" t="str">
        <f t="shared" si="47"/>
        <v>High</v>
      </c>
    </row>
    <row r="971" spans="1:13" x14ac:dyDescent="0.35">
      <c r="A971">
        <v>970</v>
      </c>
      <c r="B971">
        <v>664</v>
      </c>
      <c r="C971" t="str">
        <f t="shared" si="45"/>
        <v>Small</v>
      </c>
      <c r="D971">
        <v>4</v>
      </c>
      <c r="E971">
        <v>3</v>
      </c>
      <c r="F971">
        <v>2</v>
      </c>
      <c r="G971">
        <v>1910</v>
      </c>
      <c r="H971" t="str">
        <f t="shared" si="46"/>
        <v>Pre-1950</v>
      </c>
      <c r="I971" t="s">
        <v>10</v>
      </c>
      <c r="J971" t="s">
        <v>13</v>
      </c>
      <c r="K971" t="s">
        <v>12</v>
      </c>
      <c r="L971" s="4">
        <v>302051</v>
      </c>
      <c r="M971" t="str">
        <f t="shared" si="47"/>
        <v>Medium</v>
      </c>
    </row>
    <row r="972" spans="1:13" x14ac:dyDescent="0.35">
      <c r="A972">
        <v>971</v>
      </c>
      <c r="B972">
        <v>4777</v>
      </c>
      <c r="C972" t="str">
        <f t="shared" si="45"/>
        <v>Extra Large</v>
      </c>
      <c r="D972">
        <v>4</v>
      </c>
      <c r="E972">
        <v>4</v>
      </c>
      <c r="F972">
        <v>2</v>
      </c>
      <c r="G972">
        <v>1985</v>
      </c>
      <c r="H972" t="str">
        <f t="shared" si="46"/>
        <v>1976-2000</v>
      </c>
      <c r="I972" t="s">
        <v>17</v>
      </c>
      <c r="J972" t="s">
        <v>11</v>
      </c>
      <c r="K972" t="s">
        <v>12</v>
      </c>
      <c r="L972" s="4">
        <v>151611</v>
      </c>
      <c r="M972" t="str">
        <f t="shared" si="47"/>
        <v>Low</v>
      </c>
    </row>
    <row r="973" spans="1:13" x14ac:dyDescent="0.35">
      <c r="A973">
        <v>972</v>
      </c>
      <c r="B973">
        <v>1322</v>
      </c>
      <c r="C973" t="str">
        <f t="shared" si="45"/>
        <v>Medium</v>
      </c>
      <c r="D973">
        <v>2</v>
      </c>
      <c r="E973">
        <v>4</v>
      </c>
      <c r="F973">
        <v>2</v>
      </c>
      <c r="G973">
        <v>2005</v>
      </c>
      <c r="H973" t="str">
        <f t="shared" si="46"/>
        <v>Post-2000</v>
      </c>
      <c r="I973" t="s">
        <v>14</v>
      </c>
      <c r="J973" t="s">
        <v>13</v>
      </c>
      <c r="K973" t="s">
        <v>16</v>
      </c>
      <c r="L973" s="4">
        <v>632334</v>
      </c>
      <c r="M973" t="str">
        <f t="shared" si="47"/>
        <v>Premium</v>
      </c>
    </row>
    <row r="974" spans="1:13" x14ac:dyDescent="0.35">
      <c r="A974">
        <v>973</v>
      </c>
      <c r="B974">
        <v>1443</v>
      </c>
      <c r="C974" t="str">
        <f t="shared" si="45"/>
        <v>Medium</v>
      </c>
      <c r="D974">
        <v>2</v>
      </c>
      <c r="E974">
        <v>4</v>
      </c>
      <c r="F974">
        <v>3</v>
      </c>
      <c r="G974">
        <v>1934</v>
      </c>
      <c r="H974" t="str">
        <f t="shared" si="46"/>
        <v>Pre-1950</v>
      </c>
      <c r="I974" t="s">
        <v>10</v>
      </c>
      <c r="J974" t="s">
        <v>13</v>
      </c>
      <c r="K974" t="s">
        <v>12</v>
      </c>
      <c r="L974" s="4">
        <v>824756</v>
      </c>
      <c r="M974" t="str">
        <f t="shared" si="47"/>
        <v>Premium</v>
      </c>
    </row>
    <row r="975" spans="1:13" x14ac:dyDescent="0.35">
      <c r="A975">
        <v>974</v>
      </c>
      <c r="B975">
        <v>4925</v>
      </c>
      <c r="C975" t="str">
        <f t="shared" si="45"/>
        <v>Extra Large</v>
      </c>
      <c r="D975">
        <v>4</v>
      </c>
      <c r="E975">
        <v>2</v>
      </c>
      <c r="F975">
        <v>2</v>
      </c>
      <c r="G975">
        <v>2015</v>
      </c>
      <c r="H975" t="str">
        <f t="shared" si="46"/>
        <v>Post-2000</v>
      </c>
      <c r="I975" t="s">
        <v>17</v>
      </c>
      <c r="J975" t="s">
        <v>15</v>
      </c>
      <c r="K975" t="s">
        <v>16</v>
      </c>
      <c r="L975" s="4">
        <v>66488</v>
      </c>
      <c r="M975" t="str">
        <f t="shared" si="47"/>
        <v>Low</v>
      </c>
    </row>
    <row r="976" spans="1:13" x14ac:dyDescent="0.35">
      <c r="A976">
        <v>975</v>
      </c>
      <c r="B976">
        <v>1274</v>
      </c>
      <c r="C976" t="str">
        <f t="shared" si="45"/>
        <v>Medium</v>
      </c>
      <c r="D976">
        <v>4</v>
      </c>
      <c r="E976">
        <v>4</v>
      </c>
      <c r="F976">
        <v>2</v>
      </c>
      <c r="G976">
        <v>1992</v>
      </c>
      <c r="H976" t="str">
        <f t="shared" si="46"/>
        <v>1976-2000</v>
      </c>
      <c r="I976" t="s">
        <v>19</v>
      </c>
      <c r="J976" t="s">
        <v>11</v>
      </c>
      <c r="K976" t="s">
        <v>16</v>
      </c>
      <c r="L976" s="4">
        <v>239913</v>
      </c>
      <c r="M976" t="str">
        <f t="shared" si="47"/>
        <v>Medium</v>
      </c>
    </row>
    <row r="977" spans="1:13" x14ac:dyDescent="0.35">
      <c r="A977">
        <v>976</v>
      </c>
      <c r="B977">
        <v>2698</v>
      </c>
      <c r="C977" t="str">
        <f t="shared" si="45"/>
        <v>Large</v>
      </c>
      <c r="D977">
        <v>5</v>
      </c>
      <c r="E977">
        <v>1</v>
      </c>
      <c r="F977">
        <v>1</v>
      </c>
      <c r="G977">
        <v>1941</v>
      </c>
      <c r="H977" t="str">
        <f t="shared" si="46"/>
        <v>Pre-1950</v>
      </c>
      <c r="I977" t="s">
        <v>10</v>
      </c>
      <c r="J977" t="s">
        <v>15</v>
      </c>
      <c r="K977" t="s">
        <v>12</v>
      </c>
      <c r="L977" s="4">
        <v>430665</v>
      </c>
      <c r="M977" t="str">
        <f t="shared" si="47"/>
        <v>High</v>
      </c>
    </row>
    <row r="978" spans="1:13" x14ac:dyDescent="0.35">
      <c r="A978">
        <v>977</v>
      </c>
      <c r="B978">
        <v>3656</v>
      </c>
      <c r="C978" t="str">
        <f t="shared" si="45"/>
        <v>Large</v>
      </c>
      <c r="D978">
        <v>4</v>
      </c>
      <c r="E978">
        <v>2</v>
      </c>
      <c r="F978">
        <v>2</v>
      </c>
      <c r="G978">
        <v>1927</v>
      </c>
      <c r="H978" t="str">
        <f t="shared" si="46"/>
        <v>Pre-1950</v>
      </c>
      <c r="I978" t="s">
        <v>14</v>
      </c>
      <c r="J978" t="s">
        <v>15</v>
      </c>
      <c r="K978" t="s">
        <v>12</v>
      </c>
      <c r="L978" s="4">
        <v>967899</v>
      </c>
      <c r="M978" t="str">
        <f t="shared" si="47"/>
        <v>Premium</v>
      </c>
    </row>
    <row r="979" spans="1:13" x14ac:dyDescent="0.35">
      <c r="A979">
        <v>978</v>
      </c>
      <c r="B979">
        <v>4742</v>
      </c>
      <c r="C979" t="str">
        <f t="shared" si="45"/>
        <v>Extra Large</v>
      </c>
      <c r="D979">
        <v>5</v>
      </c>
      <c r="E979">
        <v>4</v>
      </c>
      <c r="F979">
        <v>2</v>
      </c>
      <c r="G979">
        <v>2022</v>
      </c>
      <c r="H979" t="str">
        <f t="shared" si="46"/>
        <v>Post-2000</v>
      </c>
      <c r="I979" t="s">
        <v>14</v>
      </c>
      <c r="J979" t="s">
        <v>11</v>
      </c>
      <c r="K979" t="s">
        <v>12</v>
      </c>
      <c r="L979" s="4">
        <v>758029</v>
      </c>
      <c r="M979" t="str">
        <f t="shared" si="47"/>
        <v>Premium</v>
      </c>
    </row>
    <row r="980" spans="1:13" x14ac:dyDescent="0.35">
      <c r="A980">
        <v>979</v>
      </c>
      <c r="B980">
        <v>4195</v>
      </c>
      <c r="C980" t="str">
        <f t="shared" si="45"/>
        <v>Extra Large</v>
      </c>
      <c r="D980">
        <v>3</v>
      </c>
      <c r="E980">
        <v>4</v>
      </c>
      <c r="F980">
        <v>1</v>
      </c>
      <c r="G980">
        <v>1981</v>
      </c>
      <c r="H980" t="str">
        <f t="shared" si="46"/>
        <v>1976-2000</v>
      </c>
      <c r="I980" t="s">
        <v>19</v>
      </c>
      <c r="J980" t="s">
        <v>13</v>
      </c>
      <c r="K980" t="s">
        <v>16</v>
      </c>
      <c r="L980" s="4">
        <v>716205</v>
      </c>
      <c r="M980" t="str">
        <f t="shared" si="47"/>
        <v>Premium</v>
      </c>
    </row>
    <row r="981" spans="1:13" x14ac:dyDescent="0.35">
      <c r="A981">
        <v>980</v>
      </c>
      <c r="B981">
        <v>3952</v>
      </c>
      <c r="C981" t="str">
        <f t="shared" si="45"/>
        <v>Large</v>
      </c>
      <c r="D981">
        <v>2</v>
      </c>
      <c r="E981">
        <v>1</v>
      </c>
      <c r="F981">
        <v>1</v>
      </c>
      <c r="G981">
        <v>1977</v>
      </c>
      <c r="H981" t="str">
        <f t="shared" si="46"/>
        <v>1976-2000</v>
      </c>
      <c r="I981" t="s">
        <v>19</v>
      </c>
      <c r="J981" t="s">
        <v>15</v>
      </c>
      <c r="K981" t="s">
        <v>16</v>
      </c>
      <c r="L981" s="4">
        <v>741419</v>
      </c>
      <c r="M981" t="str">
        <f t="shared" si="47"/>
        <v>Premium</v>
      </c>
    </row>
    <row r="982" spans="1:13" x14ac:dyDescent="0.35">
      <c r="A982">
        <v>981</v>
      </c>
      <c r="B982">
        <v>1414</v>
      </c>
      <c r="C982" t="str">
        <f t="shared" si="45"/>
        <v>Medium</v>
      </c>
      <c r="D982">
        <v>4</v>
      </c>
      <c r="E982">
        <v>2</v>
      </c>
      <c r="F982">
        <v>3</v>
      </c>
      <c r="G982">
        <v>1981</v>
      </c>
      <c r="H982" t="str">
        <f t="shared" si="46"/>
        <v>1976-2000</v>
      </c>
      <c r="I982" t="s">
        <v>10</v>
      </c>
      <c r="J982" t="s">
        <v>11</v>
      </c>
      <c r="K982" t="s">
        <v>16</v>
      </c>
      <c r="L982" s="4">
        <v>68394</v>
      </c>
      <c r="M982" t="str">
        <f t="shared" si="47"/>
        <v>Low</v>
      </c>
    </row>
    <row r="983" spans="1:13" x14ac:dyDescent="0.35">
      <c r="A983">
        <v>982</v>
      </c>
      <c r="B983">
        <v>1808</v>
      </c>
      <c r="C983" t="str">
        <f t="shared" si="45"/>
        <v>Medium</v>
      </c>
      <c r="D983">
        <v>2</v>
      </c>
      <c r="E983">
        <v>3</v>
      </c>
      <c r="F983">
        <v>2</v>
      </c>
      <c r="G983">
        <v>1991</v>
      </c>
      <c r="H983" t="str">
        <f t="shared" si="46"/>
        <v>1976-2000</v>
      </c>
      <c r="I983" t="s">
        <v>10</v>
      </c>
      <c r="J983" t="s">
        <v>13</v>
      </c>
      <c r="K983" t="s">
        <v>12</v>
      </c>
      <c r="L983" s="4">
        <v>930425</v>
      </c>
      <c r="M983" t="str">
        <f t="shared" si="47"/>
        <v>Premium</v>
      </c>
    </row>
    <row r="984" spans="1:13" x14ac:dyDescent="0.35">
      <c r="A984">
        <v>983</v>
      </c>
      <c r="B984">
        <v>4677</v>
      </c>
      <c r="C984" t="str">
        <f t="shared" si="45"/>
        <v>Extra Large</v>
      </c>
      <c r="D984">
        <v>2</v>
      </c>
      <c r="E984">
        <v>3</v>
      </c>
      <c r="F984">
        <v>3</v>
      </c>
      <c r="G984">
        <v>1923</v>
      </c>
      <c r="H984" t="str">
        <f t="shared" si="46"/>
        <v>Pre-1950</v>
      </c>
      <c r="I984" t="s">
        <v>14</v>
      </c>
      <c r="J984" t="s">
        <v>15</v>
      </c>
      <c r="K984" t="s">
        <v>16</v>
      </c>
      <c r="L984" s="4">
        <v>226978</v>
      </c>
      <c r="M984" t="str">
        <f t="shared" si="47"/>
        <v>Medium</v>
      </c>
    </row>
    <row r="985" spans="1:13" x14ac:dyDescent="0.35">
      <c r="A985">
        <v>984</v>
      </c>
      <c r="B985">
        <v>1013</v>
      </c>
      <c r="C985" t="str">
        <f t="shared" si="45"/>
        <v>Medium</v>
      </c>
      <c r="D985">
        <v>2</v>
      </c>
      <c r="E985">
        <v>2</v>
      </c>
      <c r="F985">
        <v>3</v>
      </c>
      <c r="G985">
        <v>1907</v>
      </c>
      <c r="H985" t="str">
        <f t="shared" si="46"/>
        <v>Pre-1950</v>
      </c>
      <c r="I985" t="s">
        <v>19</v>
      </c>
      <c r="J985" t="s">
        <v>15</v>
      </c>
      <c r="K985" t="s">
        <v>12</v>
      </c>
      <c r="L985" s="4">
        <v>109332</v>
      </c>
      <c r="M985" t="str">
        <f t="shared" si="47"/>
        <v>Low</v>
      </c>
    </row>
    <row r="986" spans="1:13" x14ac:dyDescent="0.35">
      <c r="A986">
        <v>985</v>
      </c>
      <c r="B986">
        <v>2420</v>
      </c>
      <c r="C986" t="str">
        <f t="shared" si="45"/>
        <v>Medium</v>
      </c>
      <c r="D986">
        <v>3</v>
      </c>
      <c r="E986">
        <v>4</v>
      </c>
      <c r="F986">
        <v>1</v>
      </c>
      <c r="G986">
        <v>2005</v>
      </c>
      <c r="H986" t="str">
        <f t="shared" si="46"/>
        <v>Post-2000</v>
      </c>
      <c r="I986" t="s">
        <v>10</v>
      </c>
      <c r="J986" t="s">
        <v>15</v>
      </c>
      <c r="K986" t="s">
        <v>12</v>
      </c>
      <c r="L986" s="4">
        <v>218377</v>
      </c>
      <c r="M986" t="str">
        <f t="shared" si="47"/>
        <v>Medium</v>
      </c>
    </row>
    <row r="987" spans="1:13" x14ac:dyDescent="0.35">
      <c r="A987">
        <v>986</v>
      </c>
      <c r="B987">
        <v>4094</v>
      </c>
      <c r="C987" t="str">
        <f t="shared" si="45"/>
        <v>Extra Large</v>
      </c>
      <c r="D987">
        <v>1</v>
      </c>
      <c r="E987">
        <v>4</v>
      </c>
      <c r="F987">
        <v>3</v>
      </c>
      <c r="G987">
        <v>2017</v>
      </c>
      <c r="H987" t="str">
        <f t="shared" si="46"/>
        <v>Post-2000</v>
      </c>
      <c r="I987" t="s">
        <v>14</v>
      </c>
      <c r="J987" t="s">
        <v>13</v>
      </c>
      <c r="K987" t="s">
        <v>12</v>
      </c>
      <c r="L987" s="4">
        <v>92628</v>
      </c>
      <c r="M987" t="str">
        <f t="shared" si="47"/>
        <v>Low</v>
      </c>
    </row>
    <row r="988" spans="1:13" x14ac:dyDescent="0.35">
      <c r="A988">
        <v>987</v>
      </c>
      <c r="B988">
        <v>1909</v>
      </c>
      <c r="C988" t="str">
        <f t="shared" si="45"/>
        <v>Medium</v>
      </c>
      <c r="D988">
        <v>4</v>
      </c>
      <c r="E988">
        <v>3</v>
      </c>
      <c r="F988">
        <v>2</v>
      </c>
      <c r="G988">
        <v>2008</v>
      </c>
      <c r="H988" t="str">
        <f t="shared" si="46"/>
        <v>Post-2000</v>
      </c>
      <c r="I988" t="s">
        <v>19</v>
      </c>
      <c r="J988" t="s">
        <v>15</v>
      </c>
      <c r="K988" t="s">
        <v>16</v>
      </c>
      <c r="L988" s="4">
        <v>857784</v>
      </c>
      <c r="M988" t="str">
        <f t="shared" si="47"/>
        <v>Premium</v>
      </c>
    </row>
    <row r="989" spans="1:13" x14ac:dyDescent="0.35">
      <c r="A989">
        <v>988</v>
      </c>
      <c r="B989">
        <v>3690</v>
      </c>
      <c r="C989" t="str">
        <f t="shared" si="45"/>
        <v>Large</v>
      </c>
      <c r="D989">
        <v>1</v>
      </c>
      <c r="E989">
        <v>3</v>
      </c>
      <c r="F989">
        <v>1</v>
      </c>
      <c r="G989">
        <v>1952</v>
      </c>
      <c r="H989" t="str">
        <f t="shared" si="46"/>
        <v>1950-1975</v>
      </c>
      <c r="I989" t="s">
        <v>14</v>
      </c>
      <c r="J989" t="s">
        <v>13</v>
      </c>
      <c r="K989" t="s">
        <v>16</v>
      </c>
      <c r="L989" s="4">
        <v>529898</v>
      </c>
      <c r="M989" t="str">
        <f t="shared" si="47"/>
        <v>High</v>
      </c>
    </row>
    <row r="990" spans="1:13" x14ac:dyDescent="0.35">
      <c r="A990">
        <v>989</v>
      </c>
      <c r="B990">
        <v>4991</v>
      </c>
      <c r="C990" t="str">
        <f t="shared" si="45"/>
        <v>Extra Large</v>
      </c>
      <c r="D990">
        <v>1</v>
      </c>
      <c r="E990">
        <v>3</v>
      </c>
      <c r="F990">
        <v>2</v>
      </c>
      <c r="G990">
        <v>1971</v>
      </c>
      <c r="H990" t="str">
        <f t="shared" si="46"/>
        <v>1950-1975</v>
      </c>
      <c r="I990" t="s">
        <v>17</v>
      </c>
      <c r="J990" t="s">
        <v>18</v>
      </c>
      <c r="K990" t="s">
        <v>16</v>
      </c>
      <c r="L990" s="4">
        <v>919403</v>
      </c>
      <c r="M990" t="str">
        <f t="shared" si="47"/>
        <v>Premium</v>
      </c>
    </row>
    <row r="991" spans="1:13" x14ac:dyDescent="0.35">
      <c r="A991">
        <v>990</v>
      </c>
      <c r="B991">
        <v>2055</v>
      </c>
      <c r="C991" t="str">
        <f t="shared" si="45"/>
        <v>Medium</v>
      </c>
      <c r="D991">
        <v>1</v>
      </c>
      <c r="E991">
        <v>1</v>
      </c>
      <c r="F991">
        <v>2</v>
      </c>
      <c r="G991">
        <v>1903</v>
      </c>
      <c r="H991" t="str">
        <f t="shared" si="46"/>
        <v>Pre-1950</v>
      </c>
      <c r="I991" t="s">
        <v>19</v>
      </c>
      <c r="J991" t="s">
        <v>15</v>
      </c>
      <c r="K991" t="s">
        <v>12</v>
      </c>
      <c r="L991" s="4">
        <v>101993</v>
      </c>
      <c r="M991" t="str">
        <f t="shared" si="47"/>
        <v>Low</v>
      </c>
    </row>
    <row r="992" spans="1:13" x14ac:dyDescent="0.35">
      <c r="A992">
        <v>991</v>
      </c>
      <c r="B992">
        <v>1304</v>
      </c>
      <c r="C992" t="str">
        <f t="shared" si="45"/>
        <v>Medium</v>
      </c>
      <c r="D992">
        <v>2</v>
      </c>
      <c r="E992">
        <v>3</v>
      </c>
      <c r="F992">
        <v>1</v>
      </c>
      <c r="G992">
        <v>1990</v>
      </c>
      <c r="H992" t="str">
        <f t="shared" si="46"/>
        <v>1976-2000</v>
      </c>
      <c r="I992" t="s">
        <v>10</v>
      </c>
      <c r="J992" t="s">
        <v>18</v>
      </c>
      <c r="K992" t="s">
        <v>16</v>
      </c>
      <c r="L992" s="4">
        <v>220458</v>
      </c>
      <c r="M992" t="str">
        <f t="shared" si="47"/>
        <v>Medium</v>
      </c>
    </row>
    <row r="993" spans="1:13" x14ac:dyDescent="0.35">
      <c r="A993">
        <v>992</v>
      </c>
      <c r="B993">
        <v>1779</v>
      </c>
      <c r="C993" t="str">
        <f t="shared" si="45"/>
        <v>Medium</v>
      </c>
      <c r="D993">
        <v>5</v>
      </c>
      <c r="E993">
        <v>1</v>
      </c>
      <c r="F993">
        <v>2</v>
      </c>
      <c r="G993">
        <v>1999</v>
      </c>
      <c r="H993" t="str">
        <f t="shared" si="46"/>
        <v>1976-2000</v>
      </c>
      <c r="I993" t="s">
        <v>10</v>
      </c>
      <c r="J993" t="s">
        <v>11</v>
      </c>
      <c r="K993" t="s">
        <v>16</v>
      </c>
      <c r="L993" s="4">
        <v>939459</v>
      </c>
      <c r="M993" t="str">
        <f t="shared" si="47"/>
        <v>Premium</v>
      </c>
    </row>
    <row r="994" spans="1:13" x14ac:dyDescent="0.35">
      <c r="A994">
        <v>993</v>
      </c>
      <c r="B994">
        <v>4077</v>
      </c>
      <c r="C994" t="str">
        <f t="shared" si="45"/>
        <v>Extra Large</v>
      </c>
      <c r="D994">
        <v>2</v>
      </c>
      <c r="E994">
        <v>2</v>
      </c>
      <c r="F994">
        <v>1</v>
      </c>
      <c r="G994">
        <v>1904</v>
      </c>
      <c r="H994" t="str">
        <f t="shared" si="46"/>
        <v>Pre-1950</v>
      </c>
      <c r="I994" t="s">
        <v>17</v>
      </c>
      <c r="J994" t="s">
        <v>15</v>
      </c>
      <c r="K994" t="s">
        <v>12</v>
      </c>
      <c r="L994" s="4">
        <v>500281</v>
      </c>
      <c r="M994" t="str">
        <f t="shared" si="47"/>
        <v>High</v>
      </c>
    </row>
    <row r="995" spans="1:13" x14ac:dyDescent="0.35">
      <c r="A995">
        <v>994</v>
      </c>
      <c r="B995">
        <v>3401</v>
      </c>
      <c r="C995" t="str">
        <f t="shared" si="45"/>
        <v>Large</v>
      </c>
      <c r="D995">
        <v>2</v>
      </c>
      <c r="E995">
        <v>4</v>
      </c>
      <c r="F995">
        <v>2</v>
      </c>
      <c r="G995">
        <v>1996</v>
      </c>
      <c r="H995" t="str">
        <f t="shared" si="46"/>
        <v>1976-2000</v>
      </c>
      <c r="I995" t="s">
        <v>19</v>
      </c>
      <c r="J995" t="s">
        <v>11</v>
      </c>
      <c r="K995" t="s">
        <v>12</v>
      </c>
      <c r="L995" s="4">
        <v>956644</v>
      </c>
      <c r="M995" t="str">
        <f t="shared" si="47"/>
        <v>Premium</v>
      </c>
    </row>
    <row r="996" spans="1:13" x14ac:dyDescent="0.35">
      <c r="A996">
        <v>995</v>
      </c>
      <c r="B996">
        <v>1887</v>
      </c>
      <c r="C996" t="str">
        <f t="shared" si="45"/>
        <v>Medium</v>
      </c>
      <c r="D996">
        <v>1</v>
      </c>
      <c r="E996">
        <v>3</v>
      </c>
      <c r="F996">
        <v>1</v>
      </c>
      <c r="G996">
        <v>1948</v>
      </c>
      <c r="H996" t="str">
        <f t="shared" si="46"/>
        <v>Pre-1950</v>
      </c>
      <c r="I996" t="s">
        <v>14</v>
      </c>
      <c r="J996" t="s">
        <v>11</v>
      </c>
      <c r="K996" t="s">
        <v>16</v>
      </c>
      <c r="L996" s="4">
        <v>528720</v>
      </c>
      <c r="M996" t="str">
        <f t="shared" si="47"/>
        <v>High</v>
      </c>
    </row>
    <row r="997" spans="1:13" x14ac:dyDescent="0.35">
      <c r="A997">
        <v>996</v>
      </c>
      <c r="B997">
        <v>3261</v>
      </c>
      <c r="C997" t="str">
        <f t="shared" si="45"/>
        <v>Large</v>
      </c>
      <c r="D997">
        <v>2</v>
      </c>
      <c r="E997">
        <v>4</v>
      </c>
      <c r="F997">
        <v>3</v>
      </c>
      <c r="G997">
        <v>1997</v>
      </c>
      <c r="H997" t="str">
        <f t="shared" si="46"/>
        <v>1976-2000</v>
      </c>
      <c r="I997" t="s">
        <v>10</v>
      </c>
      <c r="J997" t="s">
        <v>11</v>
      </c>
      <c r="K997" t="s">
        <v>12</v>
      </c>
      <c r="L997" s="4">
        <v>556357</v>
      </c>
      <c r="M997" t="str">
        <f t="shared" si="47"/>
        <v>High</v>
      </c>
    </row>
    <row r="998" spans="1:13" x14ac:dyDescent="0.35">
      <c r="A998">
        <v>997</v>
      </c>
      <c r="B998">
        <v>3179</v>
      </c>
      <c r="C998" t="str">
        <f t="shared" si="45"/>
        <v>Large</v>
      </c>
      <c r="D998">
        <v>1</v>
      </c>
      <c r="E998">
        <v>4</v>
      </c>
      <c r="F998">
        <v>2</v>
      </c>
      <c r="G998">
        <v>1929</v>
      </c>
      <c r="H998" t="str">
        <f t="shared" si="46"/>
        <v>Pre-1950</v>
      </c>
      <c r="I998" t="s">
        <v>17</v>
      </c>
      <c r="J998" t="s">
        <v>18</v>
      </c>
      <c r="K998" t="s">
        <v>16</v>
      </c>
      <c r="L998" s="4">
        <v>58539</v>
      </c>
      <c r="M998" t="str">
        <f t="shared" si="47"/>
        <v>Low</v>
      </c>
    </row>
    <row r="999" spans="1:13" x14ac:dyDescent="0.35">
      <c r="A999">
        <v>998</v>
      </c>
      <c r="B999">
        <v>2606</v>
      </c>
      <c r="C999" t="str">
        <f t="shared" si="45"/>
        <v>Large</v>
      </c>
      <c r="D999">
        <v>5</v>
      </c>
      <c r="E999">
        <v>3</v>
      </c>
      <c r="F999">
        <v>1</v>
      </c>
      <c r="G999">
        <v>1971</v>
      </c>
      <c r="H999" t="str">
        <f t="shared" si="46"/>
        <v>1950-1975</v>
      </c>
      <c r="I999" t="s">
        <v>17</v>
      </c>
      <c r="J999" t="s">
        <v>13</v>
      </c>
      <c r="K999" t="s">
        <v>12</v>
      </c>
      <c r="L999" s="4">
        <v>182335</v>
      </c>
      <c r="M999" t="str">
        <f t="shared" si="47"/>
        <v>Low</v>
      </c>
    </row>
    <row r="1000" spans="1:13" x14ac:dyDescent="0.35">
      <c r="A1000">
        <v>999</v>
      </c>
      <c r="B1000">
        <v>4723</v>
      </c>
      <c r="C1000" t="str">
        <f t="shared" si="45"/>
        <v>Extra Large</v>
      </c>
      <c r="D1000">
        <v>4</v>
      </c>
      <c r="E1000">
        <v>3</v>
      </c>
      <c r="F1000">
        <v>2</v>
      </c>
      <c r="G1000">
        <v>2002</v>
      </c>
      <c r="H1000" t="str">
        <f t="shared" si="46"/>
        <v>Post-2000</v>
      </c>
      <c r="I1000" t="s">
        <v>19</v>
      </c>
      <c r="J1000" t="s">
        <v>18</v>
      </c>
      <c r="K1000" t="s">
        <v>12</v>
      </c>
      <c r="L1000" s="4">
        <v>456521</v>
      </c>
      <c r="M1000" t="str">
        <f t="shared" si="47"/>
        <v>High</v>
      </c>
    </row>
    <row r="1001" spans="1:13" x14ac:dyDescent="0.35">
      <c r="A1001">
        <v>1000</v>
      </c>
      <c r="B1001">
        <v>3268</v>
      </c>
      <c r="C1001" t="str">
        <f t="shared" si="45"/>
        <v>Large</v>
      </c>
      <c r="D1001">
        <v>1</v>
      </c>
      <c r="E1001">
        <v>2</v>
      </c>
      <c r="F1001">
        <v>2</v>
      </c>
      <c r="G1001">
        <v>1962</v>
      </c>
      <c r="H1001" t="str">
        <f t="shared" si="46"/>
        <v>1950-1975</v>
      </c>
      <c r="I1001" t="s">
        <v>19</v>
      </c>
      <c r="J1001" t="s">
        <v>18</v>
      </c>
      <c r="K1001" t="s">
        <v>16</v>
      </c>
      <c r="L1001" s="4">
        <v>890249</v>
      </c>
      <c r="M1001" t="str">
        <f t="shared" si="47"/>
        <v>Premium</v>
      </c>
    </row>
    <row r="1002" spans="1:13" x14ac:dyDescent="0.35">
      <c r="A1002">
        <v>1001</v>
      </c>
      <c r="B1002">
        <v>4453</v>
      </c>
      <c r="C1002" t="str">
        <f t="shared" si="45"/>
        <v>Extra Large</v>
      </c>
      <c r="D1002">
        <v>5</v>
      </c>
      <c r="E1002">
        <v>1</v>
      </c>
      <c r="F1002">
        <v>2</v>
      </c>
      <c r="G1002">
        <v>1946</v>
      </c>
      <c r="H1002" t="str">
        <f t="shared" si="46"/>
        <v>Pre-1950</v>
      </c>
      <c r="I1002" t="s">
        <v>10</v>
      </c>
      <c r="J1002" t="s">
        <v>11</v>
      </c>
      <c r="K1002" t="s">
        <v>12</v>
      </c>
      <c r="L1002" s="4">
        <v>991902</v>
      </c>
      <c r="M1002" t="str">
        <f t="shared" si="47"/>
        <v>Premium</v>
      </c>
    </row>
    <row r="1003" spans="1:13" x14ac:dyDescent="0.35">
      <c r="A1003">
        <v>1002</v>
      </c>
      <c r="B1003">
        <v>3686</v>
      </c>
      <c r="C1003" t="str">
        <f t="shared" si="45"/>
        <v>Large</v>
      </c>
      <c r="D1003">
        <v>4</v>
      </c>
      <c r="E1003">
        <v>1</v>
      </c>
      <c r="F1003">
        <v>1</v>
      </c>
      <c r="G1003">
        <v>1925</v>
      </c>
      <c r="H1003" t="str">
        <f t="shared" si="46"/>
        <v>Pre-1950</v>
      </c>
      <c r="I1003" t="s">
        <v>17</v>
      </c>
      <c r="J1003" t="s">
        <v>15</v>
      </c>
      <c r="K1003" t="s">
        <v>12</v>
      </c>
      <c r="L1003" s="4">
        <v>290310</v>
      </c>
      <c r="M1003" t="str">
        <f t="shared" si="47"/>
        <v>Medium</v>
      </c>
    </row>
    <row r="1004" spans="1:13" x14ac:dyDescent="0.35">
      <c r="A1004">
        <v>1003</v>
      </c>
      <c r="B1004">
        <v>3780</v>
      </c>
      <c r="C1004" t="str">
        <f t="shared" si="45"/>
        <v>Large</v>
      </c>
      <c r="D1004">
        <v>3</v>
      </c>
      <c r="E1004">
        <v>4</v>
      </c>
      <c r="F1004">
        <v>3</v>
      </c>
      <c r="G1004">
        <v>1956</v>
      </c>
      <c r="H1004" t="str">
        <f t="shared" si="46"/>
        <v>1950-1975</v>
      </c>
      <c r="I1004" t="s">
        <v>14</v>
      </c>
      <c r="J1004" t="s">
        <v>13</v>
      </c>
      <c r="K1004" t="s">
        <v>12</v>
      </c>
      <c r="L1004" s="4">
        <v>256873</v>
      </c>
      <c r="M1004" t="str">
        <f t="shared" si="47"/>
        <v>Medium</v>
      </c>
    </row>
    <row r="1005" spans="1:13" x14ac:dyDescent="0.35">
      <c r="A1005">
        <v>1004</v>
      </c>
      <c r="B1005">
        <v>3073</v>
      </c>
      <c r="C1005" t="str">
        <f t="shared" si="45"/>
        <v>Large</v>
      </c>
      <c r="D1005">
        <v>1</v>
      </c>
      <c r="E1005">
        <v>3</v>
      </c>
      <c r="F1005">
        <v>3</v>
      </c>
      <c r="G1005">
        <v>1936</v>
      </c>
      <c r="H1005" t="str">
        <f t="shared" si="46"/>
        <v>Pre-1950</v>
      </c>
      <c r="I1005" t="s">
        <v>17</v>
      </c>
      <c r="J1005" t="s">
        <v>11</v>
      </c>
      <c r="K1005" t="s">
        <v>16</v>
      </c>
      <c r="L1005" s="4">
        <v>361251</v>
      </c>
      <c r="M1005" t="str">
        <f t="shared" si="47"/>
        <v>Medium</v>
      </c>
    </row>
    <row r="1006" spans="1:13" x14ac:dyDescent="0.35">
      <c r="A1006">
        <v>1005</v>
      </c>
      <c r="B1006">
        <v>3099</v>
      </c>
      <c r="C1006" t="str">
        <f t="shared" si="45"/>
        <v>Large</v>
      </c>
      <c r="D1006">
        <v>1</v>
      </c>
      <c r="E1006">
        <v>2</v>
      </c>
      <c r="F1006">
        <v>3</v>
      </c>
      <c r="G1006">
        <v>1997</v>
      </c>
      <c r="H1006" t="str">
        <f t="shared" si="46"/>
        <v>1976-2000</v>
      </c>
      <c r="I1006" t="s">
        <v>14</v>
      </c>
      <c r="J1006" t="s">
        <v>13</v>
      </c>
      <c r="K1006" t="s">
        <v>12</v>
      </c>
      <c r="L1006" s="4">
        <v>999656</v>
      </c>
      <c r="M1006" t="str">
        <f t="shared" si="47"/>
        <v>Premium</v>
      </c>
    </row>
    <row r="1007" spans="1:13" x14ac:dyDescent="0.35">
      <c r="A1007">
        <v>1006</v>
      </c>
      <c r="B1007">
        <v>4533</v>
      </c>
      <c r="C1007" t="str">
        <f t="shared" si="45"/>
        <v>Extra Large</v>
      </c>
      <c r="D1007">
        <v>3</v>
      </c>
      <c r="E1007">
        <v>2</v>
      </c>
      <c r="F1007">
        <v>1</v>
      </c>
      <c r="G1007">
        <v>1906</v>
      </c>
      <c r="H1007" t="str">
        <f t="shared" si="46"/>
        <v>Pre-1950</v>
      </c>
      <c r="I1007" t="s">
        <v>14</v>
      </c>
      <c r="J1007" t="s">
        <v>18</v>
      </c>
      <c r="K1007" t="s">
        <v>12</v>
      </c>
      <c r="L1007" s="4">
        <v>536476</v>
      </c>
      <c r="M1007" t="str">
        <f t="shared" si="47"/>
        <v>High</v>
      </c>
    </row>
    <row r="1008" spans="1:13" x14ac:dyDescent="0.35">
      <c r="A1008">
        <v>1007</v>
      </c>
      <c r="B1008">
        <v>736</v>
      </c>
      <c r="C1008" t="str">
        <f t="shared" si="45"/>
        <v>Small</v>
      </c>
      <c r="D1008">
        <v>3</v>
      </c>
      <c r="E1008">
        <v>2</v>
      </c>
      <c r="F1008">
        <v>3</v>
      </c>
      <c r="G1008">
        <v>1939</v>
      </c>
      <c r="H1008" t="str">
        <f t="shared" si="46"/>
        <v>Pre-1950</v>
      </c>
      <c r="I1008" t="s">
        <v>10</v>
      </c>
      <c r="J1008" t="s">
        <v>13</v>
      </c>
      <c r="K1008" t="s">
        <v>16</v>
      </c>
      <c r="L1008" s="4">
        <v>998128</v>
      </c>
      <c r="M1008" t="str">
        <f t="shared" si="47"/>
        <v>Premium</v>
      </c>
    </row>
    <row r="1009" spans="1:13" x14ac:dyDescent="0.35">
      <c r="A1009">
        <v>1008</v>
      </c>
      <c r="B1009">
        <v>1804</v>
      </c>
      <c r="C1009" t="str">
        <f t="shared" si="45"/>
        <v>Medium</v>
      </c>
      <c r="D1009">
        <v>1</v>
      </c>
      <c r="E1009">
        <v>2</v>
      </c>
      <c r="F1009">
        <v>1</v>
      </c>
      <c r="G1009">
        <v>1991</v>
      </c>
      <c r="H1009" t="str">
        <f t="shared" si="46"/>
        <v>1976-2000</v>
      </c>
      <c r="I1009" t="s">
        <v>17</v>
      </c>
      <c r="J1009" t="s">
        <v>13</v>
      </c>
      <c r="K1009" t="s">
        <v>16</v>
      </c>
      <c r="L1009" s="4">
        <v>965672</v>
      </c>
      <c r="M1009" t="str">
        <f t="shared" si="47"/>
        <v>Premium</v>
      </c>
    </row>
    <row r="1010" spans="1:13" x14ac:dyDescent="0.35">
      <c r="A1010">
        <v>1009</v>
      </c>
      <c r="B1010">
        <v>3930</v>
      </c>
      <c r="C1010" t="str">
        <f t="shared" si="45"/>
        <v>Large</v>
      </c>
      <c r="D1010">
        <v>3</v>
      </c>
      <c r="E1010">
        <v>2</v>
      </c>
      <c r="F1010">
        <v>2</v>
      </c>
      <c r="G1010">
        <v>1938</v>
      </c>
      <c r="H1010" t="str">
        <f t="shared" si="46"/>
        <v>Pre-1950</v>
      </c>
      <c r="I1010" t="s">
        <v>14</v>
      </c>
      <c r="J1010" t="s">
        <v>15</v>
      </c>
      <c r="K1010" t="s">
        <v>12</v>
      </c>
      <c r="L1010" s="4">
        <v>411799</v>
      </c>
      <c r="M1010" t="str">
        <f t="shared" si="47"/>
        <v>High</v>
      </c>
    </row>
    <row r="1011" spans="1:13" x14ac:dyDescent="0.35">
      <c r="A1011">
        <v>1010</v>
      </c>
      <c r="B1011">
        <v>1801</v>
      </c>
      <c r="C1011" t="str">
        <f t="shared" si="45"/>
        <v>Medium</v>
      </c>
      <c r="D1011">
        <v>2</v>
      </c>
      <c r="E1011">
        <v>1</v>
      </c>
      <c r="F1011">
        <v>2</v>
      </c>
      <c r="G1011">
        <v>1961</v>
      </c>
      <c r="H1011" t="str">
        <f t="shared" si="46"/>
        <v>1950-1975</v>
      </c>
      <c r="I1011" t="s">
        <v>19</v>
      </c>
      <c r="J1011" t="s">
        <v>11</v>
      </c>
      <c r="K1011" t="s">
        <v>12</v>
      </c>
      <c r="L1011" s="4">
        <v>630420</v>
      </c>
      <c r="M1011" t="str">
        <f t="shared" si="47"/>
        <v>Premium</v>
      </c>
    </row>
    <row r="1012" spans="1:13" x14ac:dyDescent="0.35">
      <c r="A1012">
        <v>1011</v>
      </c>
      <c r="B1012">
        <v>3041</v>
      </c>
      <c r="C1012" t="str">
        <f t="shared" si="45"/>
        <v>Large</v>
      </c>
      <c r="D1012">
        <v>4</v>
      </c>
      <c r="E1012">
        <v>1</v>
      </c>
      <c r="F1012">
        <v>3</v>
      </c>
      <c r="G1012">
        <v>2002</v>
      </c>
      <c r="H1012" t="str">
        <f t="shared" si="46"/>
        <v>Post-2000</v>
      </c>
      <c r="I1012" t="s">
        <v>14</v>
      </c>
      <c r="J1012" t="s">
        <v>13</v>
      </c>
      <c r="K1012" t="s">
        <v>12</v>
      </c>
      <c r="L1012" s="4">
        <v>962133</v>
      </c>
      <c r="M1012" t="str">
        <f t="shared" si="47"/>
        <v>Premium</v>
      </c>
    </row>
    <row r="1013" spans="1:13" x14ac:dyDescent="0.35">
      <c r="A1013">
        <v>1012</v>
      </c>
      <c r="B1013">
        <v>2551</v>
      </c>
      <c r="C1013" t="str">
        <f t="shared" si="45"/>
        <v>Large</v>
      </c>
      <c r="D1013">
        <v>4</v>
      </c>
      <c r="E1013">
        <v>1</v>
      </c>
      <c r="F1013">
        <v>1</v>
      </c>
      <c r="G1013">
        <v>1991</v>
      </c>
      <c r="H1013" t="str">
        <f t="shared" si="46"/>
        <v>1976-2000</v>
      </c>
      <c r="I1013" t="s">
        <v>19</v>
      </c>
      <c r="J1013" t="s">
        <v>13</v>
      </c>
      <c r="K1013" t="s">
        <v>16</v>
      </c>
      <c r="L1013" s="4">
        <v>155494</v>
      </c>
      <c r="M1013" t="str">
        <f t="shared" si="47"/>
        <v>Low</v>
      </c>
    </row>
    <row r="1014" spans="1:13" x14ac:dyDescent="0.35">
      <c r="A1014">
        <v>1013</v>
      </c>
      <c r="B1014">
        <v>941</v>
      </c>
      <c r="C1014" t="str">
        <f t="shared" si="45"/>
        <v>Small</v>
      </c>
      <c r="D1014">
        <v>4</v>
      </c>
      <c r="E1014">
        <v>3</v>
      </c>
      <c r="F1014">
        <v>2</v>
      </c>
      <c r="G1014">
        <v>1977</v>
      </c>
      <c r="H1014" t="str">
        <f t="shared" si="46"/>
        <v>1976-2000</v>
      </c>
      <c r="I1014" t="s">
        <v>19</v>
      </c>
      <c r="J1014" t="s">
        <v>18</v>
      </c>
      <c r="K1014" t="s">
        <v>12</v>
      </c>
      <c r="L1014" s="4">
        <v>889411</v>
      </c>
      <c r="M1014" t="str">
        <f t="shared" si="47"/>
        <v>Premium</v>
      </c>
    </row>
    <row r="1015" spans="1:13" x14ac:dyDescent="0.35">
      <c r="A1015">
        <v>1014</v>
      </c>
      <c r="B1015">
        <v>2576</v>
      </c>
      <c r="C1015" t="str">
        <f t="shared" si="45"/>
        <v>Large</v>
      </c>
      <c r="D1015">
        <v>2</v>
      </c>
      <c r="E1015">
        <v>4</v>
      </c>
      <c r="F1015">
        <v>1</v>
      </c>
      <c r="G1015">
        <v>1952</v>
      </c>
      <c r="H1015" t="str">
        <f t="shared" si="46"/>
        <v>1950-1975</v>
      </c>
      <c r="I1015" t="s">
        <v>17</v>
      </c>
      <c r="J1015" t="s">
        <v>18</v>
      </c>
      <c r="K1015" t="s">
        <v>16</v>
      </c>
      <c r="L1015" s="4">
        <v>894445</v>
      </c>
      <c r="M1015" t="str">
        <f t="shared" si="47"/>
        <v>Premium</v>
      </c>
    </row>
    <row r="1016" spans="1:13" x14ac:dyDescent="0.35">
      <c r="A1016">
        <v>1015</v>
      </c>
      <c r="B1016">
        <v>3680</v>
      </c>
      <c r="C1016" t="str">
        <f t="shared" si="45"/>
        <v>Large</v>
      </c>
      <c r="D1016">
        <v>3</v>
      </c>
      <c r="E1016">
        <v>2</v>
      </c>
      <c r="F1016">
        <v>1</v>
      </c>
      <c r="G1016">
        <v>2013</v>
      </c>
      <c r="H1016" t="str">
        <f t="shared" si="46"/>
        <v>Post-2000</v>
      </c>
      <c r="I1016" t="s">
        <v>19</v>
      </c>
      <c r="J1016" t="s">
        <v>13</v>
      </c>
      <c r="K1016" t="s">
        <v>16</v>
      </c>
      <c r="L1016" s="4">
        <v>275997</v>
      </c>
      <c r="M1016" t="str">
        <f t="shared" si="47"/>
        <v>Medium</v>
      </c>
    </row>
    <row r="1017" spans="1:13" x14ac:dyDescent="0.35">
      <c r="A1017">
        <v>1016</v>
      </c>
      <c r="B1017">
        <v>3157</v>
      </c>
      <c r="C1017" t="str">
        <f t="shared" si="45"/>
        <v>Large</v>
      </c>
      <c r="D1017">
        <v>5</v>
      </c>
      <c r="E1017">
        <v>3</v>
      </c>
      <c r="F1017">
        <v>2</v>
      </c>
      <c r="G1017">
        <v>2001</v>
      </c>
      <c r="H1017" t="str">
        <f t="shared" si="46"/>
        <v>Post-2000</v>
      </c>
      <c r="I1017" t="s">
        <v>14</v>
      </c>
      <c r="J1017" t="s">
        <v>11</v>
      </c>
      <c r="K1017" t="s">
        <v>12</v>
      </c>
      <c r="L1017" s="4">
        <v>638085</v>
      </c>
      <c r="M1017" t="str">
        <f t="shared" si="47"/>
        <v>Premium</v>
      </c>
    </row>
    <row r="1018" spans="1:13" x14ac:dyDescent="0.35">
      <c r="A1018">
        <v>1017</v>
      </c>
      <c r="B1018">
        <v>4298</v>
      </c>
      <c r="C1018" t="str">
        <f t="shared" si="45"/>
        <v>Extra Large</v>
      </c>
      <c r="D1018">
        <v>3</v>
      </c>
      <c r="E1018">
        <v>2</v>
      </c>
      <c r="F1018">
        <v>1</v>
      </c>
      <c r="G1018">
        <v>1903</v>
      </c>
      <c r="H1018" t="str">
        <f t="shared" si="46"/>
        <v>Pre-1950</v>
      </c>
      <c r="I1018" t="s">
        <v>19</v>
      </c>
      <c r="J1018" t="s">
        <v>13</v>
      </c>
      <c r="K1018" t="s">
        <v>12</v>
      </c>
      <c r="L1018" s="4">
        <v>101798</v>
      </c>
      <c r="M1018" t="str">
        <f t="shared" si="47"/>
        <v>Low</v>
      </c>
    </row>
    <row r="1019" spans="1:13" x14ac:dyDescent="0.35">
      <c r="A1019">
        <v>1018</v>
      </c>
      <c r="B1019">
        <v>1304</v>
      </c>
      <c r="C1019" t="str">
        <f t="shared" si="45"/>
        <v>Medium</v>
      </c>
      <c r="D1019">
        <v>1</v>
      </c>
      <c r="E1019">
        <v>1</v>
      </c>
      <c r="F1019">
        <v>2</v>
      </c>
      <c r="G1019">
        <v>2005</v>
      </c>
      <c r="H1019" t="str">
        <f t="shared" si="46"/>
        <v>Post-2000</v>
      </c>
      <c r="I1019" t="s">
        <v>17</v>
      </c>
      <c r="J1019" t="s">
        <v>13</v>
      </c>
      <c r="K1019" t="s">
        <v>16</v>
      </c>
      <c r="L1019" s="4">
        <v>722010</v>
      </c>
      <c r="M1019" t="str">
        <f t="shared" si="47"/>
        <v>Premium</v>
      </c>
    </row>
    <row r="1020" spans="1:13" x14ac:dyDescent="0.35">
      <c r="A1020">
        <v>1019</v>
      </c>
      <c r="B1020">
        <v>574</v>
      </c>
      <c r="C1020" t="str">
        <f t="shared" si="45"/>
        <v>Small</v>
      </c>
      <c r="D1020">
        <v>4</v>
      </c>
      <c r="E1020">
        <v>3</v>
      </c>
      <c r="F1020">
        <v>2</v>
      </c>
      <c r="G1020">
        <v>1981</v>
      </c>
      <c r="H1020" t="str">
        <f t="shared" si="46"/>
        <v>1976-2000</v>
      </c>
      <c r="I1020" t="s">
        <v>10</v>
      </c>
      <c r="J1020" t="s">
        <v>15</v>
      </c>
      <c r="K1020" t="s">
        <v>12</v>
      </c>
      <c r="L1020" s="4">
        <v>469230</v>
      </c>
      <c r="M1020" t="str">
        <f t="shared" si="47"/>
        <v>High</v>
      </c>
    </row>
    <row r="1021" spans="1:13" x14ac:dyDescent="0.35">
      <c r="A1021">
        <v>1020</v>
      </c>
      <c r="B1021">
        <v>2675</v>
      </c>
      <c r="C1021" t="str">
        <f t="shared" si="45"/>
        <v>Large</v>
      </c>
      <c r="D1021">
        <v>3</v>
      </c>
      <c r="E1021">
        <v>1</v>
      </c>
      <c r="F1021">
        <v>2</v>
      </c>
      <c r="G1021">
        <v>2007</v>
      </c>
      <c r="H1021" t="str">
        <f t="shared" si="46"/>
        <v>Post-2000</v>
      </c>
      <c r="I1021" t="s">
        <v>14</v>
      </c>
      <c r="J1021" t="s">
        <v>11</v>
      </c>
      <c r="K1021" t="s">
        <v>12</v>
      </c>
      <c r="L1021" s="4">
        <v>650709</v>
      </c>
      <c r="M1021" t="str">
        <f t="shared" si="47"/>
        <v>Premium</v>
      </c>
    </row>
    <row r="1022" spans="1:13" x14ac:dyDescent="0.35">
      <c r="A1022">
        <v>1021</v>
      </c>
      <c r="B1022">
        <v>4424</v>
      </c>
      <c r="C1022" t="str">
        <f t="shared" si="45"/>
        <v>Extra Large</v>
      </c>
      <c r="D1022">
        <v>5</v>
      </c>
      <c r="E1022">
        <v>2</v>
      </c>
      <c r="F1022">
        <v>1</v>
      </c>
      <c r="G1022">
        <v>2011</v>
      </c>
      <c r="H1022" t="str">
        <f t="shared" si="46"/>
        <v>Post-2000</v>
      </c>
      <c r="I1022" t="s">
        <v>14</v>
      </c>
      <c r="J1022" t="s">
        <v>15</v>
      </c>
      <c r="K1022" t="s">
        <v>16</v>
      </c>
      <c r="L1022" s="4">
        <v>319578</v>
      </c>
      <c r="M1022" t="str">
        <f t="shared" si="47"/>
        <v>Medium</v>
      </c>
    </row>
    <row r="1023" spans="1:13" x14ac:dyDescent="0.35">
      <c r="A1023">
        <v>1022</v>
      </c>
      <c r="B1023">
        <v>2589</v>
      </c>
      <c r="C1023" t="str">
        <f t="shared" si="45"/>
        <v>Large</v>
      </c>
      <c r="D1023">
        <v>1</v>
      </c>
      <c r="E1023">
        <v>2</v>
      </c>
      <c r="F1023">
        <v>2</v>
      </c>
      <c r="G1023">
        <v>1924</v>
      </c>
      <c r="H1023" t="str">
        <f t="shared" si="46"/>
        <v>Pre-1950</v>
      </c>
      <c r="I1023" t="s">
        <v>17</v>
      </c>
      <c r="J1023" t="s">
        <v>11</v>
      </c>
      <c r="K1023" t="s">
        <v>12</v>
      </c>
      <c r="L1023" s="4">
        <v>866460</v>
      </c>
      <c r="M1023" t="str">
        <f t="shared" si="47"/>
        <v>Premium</v>
      </c>
    </row>
    <row r="1024" spans="1:13" x14ac:dyDescent="0.35">
      <c r="A1024">
        <v>1023</v>
      </c>
      <c r="B1024">
        <v>540</v>
      </c>
      <c r="C1024" t="str">
        <f t="shared" si="45"/>
        <v>Small</v>
      </c>
      <c r="D1024">
        <v>2</v>
      </c>
      <c r="E1024">
        <v>4</v>
      </c>
      <c r="F1024">
        <v>1</v>
      </c>
      <c r="G1024">
        <v>1906</v>
      </c>
      <c r="H1024" t="str">
        <f t="shared" si="46"/>
        <v>Pre-1950</v>
      </c>
      <c r="I1024" t="s">
        <v>17</v>
      </c>
      <c r="J1024" t="s">
        <v>11</v>
      </c>
      <c r="K1024" t="s">
        <v>16</v>
      </c>
      <c r="L1024" s="4">
        <v>640846</v>
      </c>
      <c r="M1024" t="str">
        <f t="shared" si="47"/>
        <v>Premium</v>
      </c>
    </row>
    <row r="1025" spans="1:13" x14ac:dyDescent="0.35">
      <c r="A1025">
        <v>1024</v>
      </c>
      <c r="B1025">
        <v>2581</v>
      </c>
      <c r="C1025" t="str">
        <f t="shared" si="45"/>
        <v>Large</v>
      </c>
      <c r="D1025">
        <v>2</v>
      </c>
      <c r="E1025">
        <v>2</v>
      </c>
      <c r="F1025">
        <v>2</v>
      </c>
      <c r="G1025">
        <v>2001</v>
      </c>
      <c r="H1025" t="str">
        <f t="shared" si="46"/>
        <v>Post-2000</v>
      </c>
      <c r="I1025" t="s">
        <v>17</v>
      </c>
      <c r="J1025" t="s">
        <v>11</v>
      </c>
      <c r="K1025" t="s">
        <v>12</v>
      </c>
      <c r="L1025" s="4">
        <v>860763</v>
      </c>
      <c r="M1025" t="str">
        <f t="shared" si="47"/>
        <v>Premium</v>
      </c>
    </row>
    <row r="1026" spans="1:13" x14ac:dyDescent="0.35">
      <c r="A1026">
        <v>1025</v>
      </c>
      <c r="B1026">
        <v>2122</v>
      </c>
      <c r="C1026" t="str">
        <f t="shared" si="45"/>
        <v>Medium</v>
      </c>
      <c r="D1026">
        <v>5</v>
      </c>
      <c r="E1026">
        <v>1</v>
      </c>
      <c r="F1026">
        <v>2</v>
      </c>
      <c r="G1026">
        <v>1927</v>
      </c>
      <c r="H1026" t="str">
        <f t="shared" si="46"/>
        <v>Pre-1950</v>
      </c>
      <c r="I1026" t="s">
        <v>17</v>
      </c>
      <c r="J1026" t="s">
        <v>15</v>
      </c>
      <c r="K1026" t="s">
        <v>16</v>
      </c>
      <c r="L1026" s="4">
        <v>117573</v>
      </c>
      <c r="M1026" t="str">
        <f t="shared" si="47"/>
        <v>Low</v>
      </c>
    </row>
    <row r="1027" spans="1:13" x14ac:dyDescent="0.35">
      <c r="A1027">
        <v>1026</v>
      </c>
      <c r="B1027">
        <v>841</v>
      </c>
      <c r="C1027" t="str">
        <f t="shared" ref="C1027:C1090" si="48">IF(B1027&lt;=1000,"Small",IF(B1027&lt;=2500,"Medium",IF(B1027&lt;=4000,"Large",IF(B1027&gt;=4000,"Extra Large"))))</f>
        <v>Small</v>
      </c>
      <c r="D1027">
        <v>1</v>
      </c>
      <c r="E1027">
        <v>2</v>
      </c>
      <c r="F1027">
        <v>3</v>
      </c>
      <c r="G1027">
        <v>1968</v>
      </c>
      <c r="H1027" t="str">
        <f t="shared" ref="H1027:H1090" si="49">IF(G1027&lt;=1950,"Pre-1950",IF(G1027&lt;=1975,"1950-1975",IF(G1027&lt;=2000,"1976-2000",IF(G1027&gt;=2000,"Post-2000"))))</f>
        <v>1950-1975</v>
      </c>
      <c r="I1027" t="s">
        <v>14</v>
      </c>
      <c r="J1027" t="s">
        <v>15</v>
      </c>
      <c r="K1027" t="s">
        <v>16</v>
      </c>
      <c r="L1027" s="4">
        <v>703761</v>
      </c>
      <c r="M1027" t="str">
        <f t="shared" ref="M1027:M1090" si="50">IF(L1027&lt;=200000,"Low",IF(L1027&lt;=400000,"Medium",IF(L1027&lt;=600000,"High",IF(L1027&gt;=600000,"Premium",""))))</f>
        <v>Premium</v>
      </c>
    </row>
    <row r="1028" spans="1:13" x14ac:dyDescent="0.35">
      <c r="A1028">
        <v>1027</v>
      </c>
      <c r="B1028">
        <v>4552</v>
      </c>
      <c r="C1028" t="str">
        <f t="shared" si="48"/>
        <v>Extra Large</v>
      </c>
      <c r="D1028">
        <v>4</v>
      </c>
      <c r="E1028">
        <v>4</v>
      </c>
      <c r="F1028">
        <v>3</v>
      </c>
      <c r="G1028">
        <v>1966</v>
      </c>
      <c r="H1028" t="str">
        <f t="shared" si="49"/>
        <v>1950-1975</v>
      </c>
      <c r="I1028" t="s">
        <v>10</v>
      </c>
      <c r="J1028" t="s">
        <v>15</v>
      </c>
      <c r="K1028" t="s">
        <v>12</v>
      </c>
      <c r="L1028" s="4">
        <v>517508</v>
      </c>
      <c r="M1028" t="str">
        <f t="shared" si="50"/>
        <v>High</v>
      </c>
    </row>
    <row r="1029" spans="1:13" x14ac:dyDescent="0.35">
      <c r="A1029">
        <v>1028</v>
      </c>
      <c r="B1029">
        <v>2574</v>
      </c>
      <c r="C1029" t="str">
        <f t="shared" si="48"/>
        <v>Large</v>
      </c>
      <c r="D1029">
        <v>3</v>
      </c>
      <c r="E1029">
        <v>4</v>
      </c>
      <c r="F1029">
        <v>3</v>
      </c>
      <c r="G1029">
        <v>2007</v>
      </c>
      <c r="H1029" t="str">
        <f t="shared" si="49"/>
        <v>Post-2000</v>
      </c>
      <c r="I1029" t="s">
        <v>19</v>
      </c>
      <c r="J1029" t="s">
        <v>18</v>
      </c>
      <c r="K1029" t="s">
        <v>16</v>
      </c>
      <c r="L1029" s="4">
        <v>227398</v>
      </c>
      <c r="M1029" t="str">
        <f t="shared" si="50"/>
        <v>Medium</v>
      </c>
    </row>
    <row r="1030" spans="1:13" x14ac:dyDescent="0.35">
      <c r="A1030">
        <v>1029</v>
      </c>
      <c r="B1030">
        <v>1145</v>
      </c>
      <c r="C1030" t="str">
        <f t="shared" si="48"/>
        <v>Medium</v>
      </c>
      <c r="D1030">
        <v>1</v>
      </c>
      <c r="E1030">
        <v>1</v>
      </c>
      <c r="F1030">
        <v>1</v>
      </c>
      <c r="G1030">
        <v>1994</v>
      </c>
      <c r="H1030" t="str">
        <f t="shared" si="49"/>
        <v>1976-2000</v>
      </c>
      <c r="I1030" t="s">
        <v>19</v>
      </c>
      <c r="J1030" t="s">
        <v>15</v>
      </c>
      <c r="K1030" t="s">
        <v>16</v>
      </c>
      <c r="L1030" s="4">
        <v>395123</v>
      </c>
      <c r="M1030" t="str">
        <f t="shared" si="50"/>
        <v>Medium</v>
      </c>
    </row>
    <row r="1031" spans="1:13" x14ac:dyDescent="0.35">
      <c r="A1031">
        <v>1030</v>
      </c>
      <c r="B1031">
        <v>4763</v>
      </c>
      <c r="C1031" t="str">
        <f t="shared" si="48"/>
        <v>Extra Large</v>
      </c>
      <c r="D1031">
        <v>2</v>
      </c>
      <c r="E1031">
        <v>3</v>
      </c>
      <c r="F1031">
        <v>1</v>
      </c>
      <c r="G1031">
        <v>2010</v>
      </c>
      <c r="H1031" t="str">
        <f t="shared" si="49"/>
        <v>Post-2000</v>
      </c>
      <c r="I1031" t="s">
        <v>10</v>
      </c>
      <c r="J1031" t="s">
        <v>18</v>
      </c>
      <c r="K1031" t="s">
        <v>12</v>
      </c>
      <c r="L1031" s="4">
        <v>840555</v>
      </c>
      <c r="M1031" t="str">
        <f t="shared" si="50"/>
        <v>Premium</v>
      </c>
    </row>
    <row r="1032" spans="1:13" x14ac:dyDescent="0.35">
      <c r="A1032">
        <v>1031</v>
      </c>
      <c r="B1032">
        <v>1109</v>
      </c>
      <c r="C1032" t="str">
        <f t="shared" si="48"/>
        <v>Medium</v>
      </c>
      <c r="D1032">
        <v>5</v>
      </c>
      <c r="E1032">
        <v>2</v>
      </c>
      <c r="F1032">
        <v>2</v>
      </c>
      <c r="G1032">
        <v>2005</v>
      </c>
      <c r="H1032" t="str">
        <f t="shared" si="49"/>
        <v>Post-2000</v>
      </c>
      <c r="I1032" t="s">
        <v>10</v>
      </c>
      <c r="J1032" t="s">
        <v>18</v>
      </c>
      <c r="K1032" t="s">
        <v>12</v>
      </c>
      <c r="L1032" s="4">
        <v>328747</v>
      </c>
      <c r="M1032" t="str">
        <f t="shared" si="50"/>
        <v>Medium</v>
      </c>
    </row>
    <row r="1033" spans="1:13" x14ac:dyDescent="0.35">
      <c r="A1033">
        <v>1032</v>
      </c>
      <c r="B1033">
        <v>954</v>
      </c>
      <c r="C1033" t="str">
        <f t="shared" si="48"/>
        <v>Small</v>
      </c>
      <c r="D1033">
        <v>5</v>
      </c>
      <c r="E1033">
        <v>4</v>
      </c>
      <c r="F1033">
        <v>2</v>
      </c>
      <c r="G1033">
        <v>2021</v>
      </c>
      <c r="H1033" t="str">
        <f t="shared" si="49"/>
        <v>Post-2000</v>
      </c>
      <c r="I1033" t="s">
        <v>10</v>
      </c>
      <c r="J1033" t="s">
        <v>18</v>
      </c>
      <c r="K1033" t="s">
        <v>12</v>
      </c>
      <c r="L1033" s="4">
        <v>378085</v>
      </c>
      <c r="M1033" t="str">
        <f t="shared" si="50"/>
        <v>Medium</v>
      </c>
    </row>
    <row r="1034" spans="1:13" x14ac:dyDescent="0.35">
      <c r="A1034">
        <v>1033</v>
      </c>
      <c r="B1034">
        <v>3453</v>
      </c>
      <c r="C1034" t="str">
        <f t="shared" si="48"/>
        <v>Large</v>
      </c>
      <c r="D1034">
        <v>3</v>
      </c>
      <c r="E1034">
        <v>2</v>
      </c>
      <c r="F1034">
        <v>2</v>
      </c>
      <c r="G1034">
        <v>1919</v>
      </c>
      <c r="H1034" t="str">
        <f t="shared" si="49"/>
        <v>Pre-1950</v>
      </c>
      <c r="I1034" t="s">
        <v>17</v>
      </c>
      <c r="J1034" t="s">
        <v>13</v>
      </c>
      <c r="K1034" t="s">
        <v>16</v>
      </c>
      <c r="L1034" s="4">
        <v>92597</v>
      </c>
      <c r="M1034" t="str">
        <f t="shared" si="50"/>
        <v>Low</v>
      </c>
    </row>
    <row r="1035" spans="1:13" x14ac:dyDescent="0.35">
      <c r="A1035">
        <v>1034</v>
      </c>
      <c r="B1035">
        <v>2208</v>
      </c>
      <c r="C1035" t="str">
        <f t="shared" si="48"/>
        <v>Medium</v>
      </c>
      <c r="D1035">
        <v>5</v>
      </c>
      <c r="E1035">
        <v>2</v>
      </c>
      <c r="F1035">
        <v>2</v>
      </c>
      <c r="G1035">
        <v>1982</v>
      </c>
      <c r="H1035" t="str">
        <f t="shared" si="49"/>
        <v>1976-2000</v>
      </c>
      <c r="I1035" t="s">
        <v>14</v>
      </c>
      <c r="J1035" t="s">
        <v>13</v>
      </c>
      <c r="K1035" t="s">
        <v>16</v>
      </c>
      <c r="L1035" s="4">
        <v>768598</v>
      </c>
      <c r="M1035" t="str">
        <f t="shared" si="50"/>
        <v>Premium</v>
      </c>
    </row>
    <row r="1036" spans="1:13" x14ac:dyDescent="0.35">
      <c r="A1036">
        <v>1035</v>
      </c>
      <c r="B1036">
        <v>3972</v>
      </c>
      <c r="C1036" t="str">
        <f t="shared" si="48"/>
        <v>Large</v>
      </c>
      <c r="D1036">
        <v>5</v>
      </c>
      <c r="E1036">
        <v>3</v>
      </c>
      <c r="F1036">
        <v>1</v>
      </c>
      <c r="G1036">
        <v>2011</v>
      </c>
      <c r="H1036" t="str">
        <f t="shared" si="49"/>
        <v>Post-2000</v>
      </c>
      <c r="I1036" t="s">
        <v>14</v>
      </c>
      <c r="J1036" t="s">
        <v>13</v>
      </c>
      <c r="K1036" t="s">
        <v>16</v>
      </c>
      <c r="L1036" s="4">
        <v>920670</v>
      </c>
      <c r="M1036" t="str">
        <f t="shared" si="50"/>
        <v>Premium</v>
      </c>
    </row>
    <row r="1037" spans="1:13" x14ac:dyDescent="0.35">
      <c r="A1037">
        <v>1036</v>
      </c>
      <c r="B1037">
        <v>3469</v>
      </c>
      <c r="C1037" t="str">
        <f t="shared" si="48"/>
        <v>Large</v>
      </c>
      <c r="D1037">
        <v>1</v>
      </c>
      <c r="E1037">
        <v>4</v>
      </c>
      <c r="F1037">
        <v>2</v>
      </c>
      <c r="G1037">
        <v>2023</v>
      </c>
      <c r="H1037" t="str">
        <f t="shared" si="49"/>
        <v>Post-2000</v>
      </c>
      <c r="I1037" t="s">
        <v>14</v>
      </c>
      <c r="J1037" t="s">
        <v>18</v>
      </c>
      <c r="K1037" t="s">
        <v>12</v>
      </c>
      <c r="L1037" s="4">
        <v>485935</v>
      </c>
      <c r="M1037" t="str">
        <f t="shared" si="50"/>
        <v>High</v>
      </c>
    </row>
    <row r="1038" spans="1:13" x14ac:dyDescent="0.35">
      <c r="A1038">
        <v>1037</v>
      </c>
      <c r="B1038">
        <v>3528</v>
      </c>
      <c r="C1038" t="str">
        <f t="shared" si="48"/>
        <v>Large</v>
      </c>
      <c r="D1038">
        <v>4</v>
      </c>
      <c r="E1038">
        <v>2</v>
      </c>
      <c r="F1038">
        <v>2</v>
      </c>
      <c r="G1038">
        <v>1910</v>
      </c>
      <c r="H1038" t="str">
        <f t="shared" si="49"/>
        <v>Pre-1950</v>
      </c>
      <c r="I1038" t="s">
        <v>17</v>
      </c>
      <c r="J1038" t="s">
        <v>18</v>
      </c>
      <c r="K1038" t="s">
        <v>16</v>
      </c>
      <c r="L1038" s="4">
        <v>797146</v>
      </c>
      <c r="M1038" t="str">
        <f t="shared" si="50"/>
        <v>Premium</v>
      </c>
    </row>
    <row r="1039" spans="1:13" x14ac:dyDescent="0.35">
      <c r="A1039">
        <v>1038</v>
      </c>
      <c r="B1039">
        <v>3181</v>
      </c>
      <c r="C1039" t="str">
        <f t="shared" si="48"/>
        <v>Large</v>
      </c>
      <c r="D1039">
        <v>3</v>
      </c>
      <c r="E1039">
        <v>4</v>
      </c>
      <c r="F1039">
        <v>3</v>
      </c>
      <c r="G1039">
        <v>2003</v>
      </c>
      <c r="H1039" t="str">
        <f t="shared" si="49"/>
        <v>Post-2000</v>
      </c>
      <c r="I1039" t="s">
        <v>14</v>
      </c>
      <c r="J1039" t="s">
        <v>11</v>
      </c>
      <c r="K1039" t="s">
        <v>16</v>
      </c>
      <c r="L1039" s="4">
        <v>353895</v>
      </c>
      <c r="M1039" t="str">
        <f t="shared" si="50"/>
        <v>Medium</v>
      </c>
    </row>
    <row r="1040" spans="1:13" x14ac:dyDescent="0.35">
      <c r="A1040">
        <v>1039</v>
      </c>
      <c r="B1040">
        <v>4129</v>
      </c>
      <c r="C1040" t="str">
        <f t="shared" si="48"/>
        <v>Extra Large</v>
      </c>
      <c r="D1040">
        <v>1</v>
      </c>
      <c r="E1040">
        <v>1</v>
      </c>
      <c r="F1040">
        <v>2</v>
      </c>
      <c r="G1040">
        <v>1966</v>
      </c>
      <c r="H1040" t="str">
        <f t="shared" si="49"/>
        <v>1950-1975</v>
      </c>
      <c r="I1040" t="s">
        <v>17</v>
      </c>
      <c r="J1040" t="s">
        <v>18</v>
      </c>
      <c r="K1040" t="s">
        <v>12</v>
      </c>
      <c r="L1040" s="4">
        <v>962894</v>
      </c>
      <c r="M1040" t="str">
        <f t="shared" si="50"/>
        <v>Premium</v>
      </c>
    </row>
    <row r="1041" spans="1:13" x14ac:dyDescent="0.35">
      <c r="A1041">
        <v>1040</v>
      </c>
      <c r="B1041">
        <v>4725</v>
      </c>
      <c r="C1041" t="str">
        <f t="shared" si="48"/>
        <v>Extra Large</v>
      </c>
      <c r="D1041">
        <v>4</v>
      </c>
      <c r="E1041">
        <v>1</v>
      </c>
      <c r="F1041">
        <v>2</v>
      </c>
      <c r="G1041">
        <v>1986</v>
      </c>
      <c r="H1041" t="str">
        <f t="shared" si="49"/>
        <v>1976-2000</v>
      </c>
      <c r="I1041" t="s">
        <v>14</v>
      </c>
      <c r="J1041" t="s">
        <v>13</v>
      </c>
      <c r="K1041" t="s">
        <v>16</v>
      </c>
      <c r="L1041" s="4">
        <v>136978</v>
      </c>
      <c r="M1041" t="str">
        <f t="shared" si="50"/>
        <v>Low</v>
      </c>
    </row>
    <row r="1042" spans="1:13" x14ac:dyDescent="0.35">
      <c r="A1042">
        <v>1041</v>
      </c>
      <c r="B1042">
        <v>3567</v>
      </c>
      <c r="C1042" t="str">
        <f t="shared" si="48"/>
        <v>Large</v>
      </c>
      <c r="D1042">
        <v>1</v>
      </c>
      <c r="E1042">
        <v>2</v>
      </c>
      <c r="F1042">
        <v>2</v>
      </c>
      <c r="G1042">
        <v>1906</v>
      </c>
      <c r="H1042" t="str">
        <f t="shared" si="49"/>
        <v>Pre-1950</v>
      </c>
      <c r="I1042" t="s">
        <v>10</v>
      </c>
      <c r="J1042" t="s">
        <v>18</v>
      </c>
      <c r="K1042" t="s">
        <v>12</v>
      </c>
      <c r="L1042" s="4">
        <v>329837</v>
      </c>
      <c r="M1042" t="str">
        <f t="shared" si="50"/>
        <v>Medium</v>
      </c>
    </row>
    <row r="1043" spans="1:13" x14ac:dyDescent="0.35">
      <c r="A1043">
        <v>1042</v>
      </c>
      <c r="B1043">
        <v>1886</v>
      </c>
      <c r="C1043" t="str">
        <f t="shared" si="48"/>
        <v>Medium</v>
      </c>
      <c r="D1043">
        <v>1</v>
      </c>
      <c r="E1043">
        <v>4</v>
      </c>
      <c r="F1043">
        <v>1</v>
      </c>
      <c r="G1043">
        <v>1922</v>
      </c>
      <c r="H1043" t="str">
        <f t="shared" si="49"/>
        <v>Pre-1950</v>
      </c>
      <c r="I1043" t="s">
        <v>19</v>
      </c>
      <c r="J1043" t="s">
        <v>18</v>
      </c>
      <c r="K1043" t="s">
        <v>12</v>
      </c>
      <c r="L1043" s="4">
        <v>532757</v>
      </c>
      <c r="M1043" t="str">
        <f t="shared" si="50"/>
        <v>High</v>
      </c>
    </row>
    <row r="1044" spans="1:13" x14ac:dyDescent="0.35">
      <c r="A1044">
        <v>1043</v>
      </c>
      <c r="B1044">
        <v>4276</v>
      </c>
      <c r="C1044" t="str">
        <f t="shared" si="48"/>
        <v>Extra Large</v>
      </c>
      <c r="D1044">
        <v>5</v>
      </c>
      <c r="E1044">
        <v>2</v>
      </c>
      <c r="F1044">
        <v>3</v>
      </c>
      <c r="G1044">
        <v>1960</v>
      </c>
      <c r="H1044" t="str">
        <f t="shared" si="49"/>
        <v>1950-1975</v>
      </c>
      <c r="I1044" t="s">
        <v>19</v>
      </c>
      <c r="J1044" t="s">
        <v>11</v>
      </c>
      <c r="K1044" t="s">
        <v>12</v>
      </c>
      <c r="L1044" s="4">
        <v>218769</v>
      </c>
      <c r="M1044" t="str">
        <f t="shared" si="50"/>
        <v>Medium</v>
      </c>
    </row>
    <row r="1045" spans="1:13" x14ac:dyDescent="0.35">
      <c r="A1045">
        <v>1044</v>
      </c>
      <c r="B1045">
        <v>3366</v>
      </c>
      <c r="C1045" t="str">
        <f t="shared" si="48"/>
        <v>Large</v>
      </c>
      <c r="D1045">
        <v>4</v>
      </c>
      <c r="E1045">
        <v>4</v>
      </c>
      <c r="F1045">
        <v>2</v>
      </c>
      <c r="G1045">
        <v>1970</v>
      </c>
      <c r="H1045" t="str">
        <f t="shared" si="49"/>
        <v>1950-1975</v>
      </c>
      <c r="I1045" t="s">
        <v>17</v>
      </c>
      <c r="J1045" t="s">
        <v>18</v>
      </c>
      <c r="K1045" t="s">
        <v>16</v>
      </c>
      <c r="L1045" s="4">
        <v>406668</v>
      </c>
      <c r="M1045" t="str">
        <f t="shared" si="50"/>
        <v>High</v>
      </c>
    </row>
    <row r="1046" spans="1:13" x14ac:dyDescent="0.35">
      <c r="A1046">
        <v>1045</v>
      </c>
      <c r="B1046">
        <v>3863</v>
      </c>
      <c r="C1046" t="str">
        <f t="shared" si="48"/>
        <v>Large</v>
      </c>
      <c r="D1046">
        <v>3</v>
      </c>
      <c r="E1046">
        <v>4</v>
      </c>
      <c r="F1046">
        <v>2</v>
      </c>
      <c r="G1046">
        <v>2009</v>
      </c>
      <c r="H1046" t="str">
        <f t="shared" si="49"/>
        <v>Post-2000</v>
      </c>
      <c r="I1046" t="s">
        <v>14</v>
      </c>
      <c r="J1046" t="s">
        <v>15</v>
      </c>
      <c r="K1046" t="s">
        <v>16</v>
      </c>
      <c r="L1046" s="4">
        <v>410013</v>
      </c>
      <c r="M1046" t="str">
        <f t="shared" si="50"/>
        <v>High</v>
      </c>
    </row>
    <row r="1047" spans="1:13" x14ac:dyDescent="0.35">
      <c r="A1047">
        <v>1046</v>
      </c>
      <c r="B1047">
        <v>4624</v>
      </c>
      <c r="C1047" t="str">
        <f t="shared" si="48"/>
        <v>Extra Large</v>
      </c>
      <c r="D1047">
        <v>3</v>
      </c>
      <c r="E1047">
        <v>3</v>
      </c>
      <c r="F1047">
        <v>3</v>
      </c>
      <c r="G1047">
        <v>1933</v>
      </c>
      <c r="H1047" t="str">
        <f t="shared" si="49"/>
        <v>Pre-1950</v>
      </c>
      <c r="I1047" t="s">
        <v>19</v>
      </c>
      <c r="J1047" t="s">
        <v>11</v>
      </c>
      <c r="K1047" t="s">
        <v>16</v>
      </c>
      <c r="L1047" s="4">
        <v>735352</v>
      </c>
      <c r="M1047" t="str">
        <f t="shared" si="50"/>
        <v>Premium</v>
      </c>
    </row>
    <row r="1048" spans="1:13" x14ac:dyDescent="0.35">
      <c r="A1048">
        <v>1047</v>
      </c>
      <c r="B1048">
        <v>648</v>
      </c>
      <c r="C1048" t="str">
        <f t="shared" si="48"/>
        <v>Small</v>
      </c>
      <c r="D1048">
        <v>4</v>
      </c>
      <c r="E1048">
        <v>3</v>
      </c>
      <c r="F1048">
        <v>2</v>
      </c>
      <c r="G1048">
        <v>2005</v>
      </c>
      <c r="H1048" t="str">
        <f t="shared" si="49"/>
        <v>Post-2000</v>
      </c>
      <c r="I1048" t="s">
        <v>10</v>
      </c>
      <c r="J1048" t="s">
        <v>18</v>
      </c>
      <c r="K1048" t="s">
        <v>12</v>
      </c>
      <c r="L1048" s="4">
        <v>375969</v>
      </c>
      <c r="M1048" t="str">
        <f t="shared" si="50"/>
        <v>Medium</v>
      </c>
    </row>
    <row r="1049" spans="1:13" x14ac:dyDescent="0.35">
      <c r="A1049">
        <v>1048</v>
      </c>
      <c r="B1049">
        <v>4350</v>
      </c>
      <c r="C1049" t="str">
        <f t="shared" si="48"/>
        <v>Extra Large</v>
      </c>
      <c r="D1049">
        <v>5</v>
      </c>
      <c r="E1049">
        <v>3</v>
      </c>
      <c r="F1049">
        <v>1</v>
      </c>
      <c r="G1049">
        <v>1918</v>
      </c>
      <c r="H1049" t="str">
        <f t="shared" si="49"/>
        <v>Pre-1950</v>
      </c>
      <c r="I1049" t="s">
        <v>10</v>
      </c>
      <c r="J1049" t="s">
        <v>18</v>
      </c>
      <c r="K1049" t="s">
        <v>12</v>
      </c>
      <c r="L1049" s="4">
        <v>714882</v>
      </c>
      <c r="M1049" t="str">
        <f t="shared" si="50"/>
        <v>Premium</v>
      </c>
    </row>
    <row r="1050" spans="1:13" x14ac:dyDescent="0.35">
      <c r="A1050">
        <v>1049</v>
      </c>
      <c r="B1050">
        <v>2558</v>
      </c>
      <c r="C1050" t="str">
        <f t="shared" si="48"/>
        <v>Large</v>
      </c>
      <c r="D1050">
        <v>2</v>
      </c>
      <c r="E1050">
        <v>2</v>
      </c>
      <c r="F1050">
        <v>2</v>
      </c>
      <c r="G1050">
        <v>1957</v>
      </c>
      <c r="H1050" t="str">
        <f t="shared" si="49"/>
        <v>1950-1975</v>
      </c>
      <c r="I1050" t="s">
        <v>10</v>
      </c>
      <c r="J1050" t="s">
        <v>11</v>
      </c>
      <c r="K1050" t="s">
        <v>12</v>
      </c>
      <c r="L1050" s="4">
        <v>442619</v>
      </c>
      <c r="M1050" t="str">
        <f t="shared" si="50"/>
        <v>High</v>
      </c>
    </row>
    <row r="1051" spans="1:13" x14ac:dyDescent="0.35">
      <c r="A1051">
        <v>1050</v>
      </c>
      <c r="B1051">
        <v>1636</v>
      </c>
      <c r="C1051" t="str">
        <f t="shared" si="48"/>
        <v>Medium</v>
      </c>
      <c r="D1051">
        <v>1</v>
      </c>
      <c r="E1051">
        <v>3</v>
      </c>
      <c r="F1051">
        <v>1</v>
      </c>
      <c r="G1051">
        <v>1908</v>
      </c>
      <c r="H1051" t="str">
        <f t="shared" si="49"/>
        <v>Pre-1950</v>
      </c>
      <c r="I1051" t="s">
        <v>17</v>
      </c>
      <c r="J1051" t="s">
        <v>18</v>
      </c>
      <c r="K1051" t="s">
        <v>16</v>
      </c>
      <c r="L1051" s="4">
        <v>881838</v>
      </c>
      <c r="M1051" t="str">
        <f t="shared" si="50"/>
        <v>Premium</v>
      </c>
    </row>
    <row r="1052" spans="1:13" x14ac:dyDescent="0.35">
      <c r="A1052">
        <v>1051</v>
      </c>
      <c r="B1052">
        <v>686</v>
      </c>
      <c r="C1052" t="str">
        <f t="shared" si="48"/>
        <v>Small</v>
      </c>
      <c r="D1052">
        <v>5</v>
      </c>
      <c r="E1052">
        <v>3</v>
      </c>
      <c r="F1052">
        <v>1</v>
      </c>
      <c r="G1052">
        <v>1947</v>
      </c>
      <c r="H1052" t="str">
        <f t="shared" si="49"/>
        <v>Pre-1950</v>
      </c>
      <c r="I1052" t="s">
        <v>17</v>
      </c>
      <c r="J1052" t="s">
        <v>13</v>
      </c>
      <c r="K1052" t="s">
        <v>16</v>
      </c>
      <c r="L1052" s="4">
        <v>288078</v>
      </c>
      <c r="M1052" t="str">
        <f t="shared" si="50"/>
        <v>Medium</v>
      </c>
    </row>
    <row r="1053" spans="1:13" x14ac:dyDescent="0.35">
      <c r="A1053">
        <v>1052</v>
      </c>
      <c r="B1053">
        <v>3354</v>
      </c>
      <c r="C1053" t="str">
        <f t="shared" si="48"/>
        <v>Large</v>
      </c>
      <c r="D1053">
        <v>4</v>
      </c>
      <c r="E1053">
        <v>1</v>
      </c>
      <c r="F1053">
        <v>2</v>
      </c>
      <c r="G1053">
        <v>2014</v>
      </c>
      <c r="H1053" t="str">
        <f t="shared" si="49"/>
        <v>Post-2000</v>
      </c>
      <c r="I1053" t="s">
        <v>14</v>
      </c>
      <c r="J1053" t="s">
        <v>15</v>
      </c>
      <c r="K1053" t="s">
        <v>16</v>
      </c>
      <c r="L1053" s="4">
        <v>290140</v>
      </c>
      <c r="M1053" t="str">
        <f t="shared" si="50"/>
        <v>Medium</v>
      </c>
    </row>
    <row r="1054" spans="1:13" x14ac:dyDescent="0.35">
      <c r="A1054">
        <v>1053</v>
      </c>
      <c r="B1054">
        <v>1750</v>
      </c>
      <c r="C1054" t="str">
        <f t="shared" si="48"/>
        <v>Medium</v>
      </c>
      <c r="D1054">
        <v>1</v>
      </c>
      <c r="E1054">
        <v>4</v>
      </c>
      <c r="F1054">
        <v>3</v>
      </c>
      <c r="G1054">
        <v>1981</v>
      </c>
      <c r="H1054" t="str">
        <f t="shared" si="49"/>
        <v>1976-2000</v>
      </c>
      <c r="I1054" t="s">
        <v>10</v>
      </c>
      <c r="J1054" t="s">
        <v>15</v>
      </c>
      <c r="K1054" t="s">
        <v>16</v>
      </c>
      <c r="L1054" s="4">
        <v>717481</v>
      </c>
      <c r="M1054" t="str">
        <f t="shared" si="50"/>
        <v>Premium</v>
      </c>
    </row>
    <row r="1055" spans="1:13" x14ac:dyDescent="0.35">
      <c r="A1055">
        <v>1054</v>
      </c>
      <c r="B1055">
        <v>1833</v>
      </c>
      <c r="C1055" t="str">
        <f t="shared" si="48"/>
        <v>Medium</v>
      </c>
      <c r="D1055">
        <v>3</v>
      </c>
      <c r="E1055">
        <v>4</v>
      </c>
      <c r="F1055">
        <v>1</v>
      </c>
      <c r="G1055">
        <v>1940</v>
      </c>
      <c r="H1055" t="str">
        <f t="shared" si="49"/>
        <v>Pre-1950</v>
      </c>
      <c r="I1055" t="s">
        <v>14</v>
      </c>
      <c r="J1055" t="s">
        <v>13</v>
      </c>
      <c r="K1055" t="s">
        <v>16</v>
      </c>
      <c r="L1055" s="4">
        <v>697659</v>
      </c>
      <c r="M1055" t="str">
        <f t="shared" si="50"/>
        <v>Premium</v>
      </c>
    </row>
    <row r="1056" spans="1:13" x14ac:dyDescent="0.35">
      <c r="A1056">
        <v>1055</v>
      </c>
      <c r="B1056">
        <v>4693</v>
      </c>
      <c r="C1056" t="str">
        <f t="shared" si="48"/>
        <v>Extra Large</v>
      </c>
      <c r="D1056">
        <v>2</v>
      </c>
      <c r="E1056">
        <v>3</v>
      </c>
      <c r="F1056">
        <v>3</v>
      </c>
      <c r="G1056">
        <v>1947</v>
      </c>
      <c r="H1056" t="str">
        <f t="shared" si="49"/>
        <v>Pre-1950</v>
      </c>
      <c r="I1056" t="s">
        <v>14</v>
      </c>
      <c r="J1056" t="s">
        <v>18</v>
      </c>
      <c r="K1056" t="s">
        <v>12</v>
      </c>
      <c r="L1056" s="4">
        <v>457435</v>
      </c>
      <c r="M1056" t="str">
        <f t="shared" si="50"/>
        <v>High</v>
      </c>
    </row>
    <row r="1057" spans="1:13" x14ac:dyDescent="0.35">
      <c r="A1057">
        <v>1056</v>
      </c>
      <c r="B1057">
        <v>4650</v>
      </c>
      <c r="C1057" t="str">
        <f t="shared" si="48"/>
        <v>Extra Large</v>
      </c>
      <c r="D1057">
        <v>3</v>
      </c>
      <c r="E1057">
        <v>4</v>
      </c>
      <c r="F1057">
        <v>2</v>
      </c>
      <c r="G1057">
        <v>1944</v>
      </c>
      <c r="H1057" t="str">
        <f t="shared" si="49"/>
        <v>Pre-1950</v>
      </c>
      <c r="I1057" t="s">
        <v>10</v>
      </c>
      <c r="J1057" t="s">
        <v>18</v>
      </c>
      <c r="K1057" t="s">
        <v>16</v>
      </c>
      <c r="L1057" s="4">
        <v>838049</v>
      </c>
      <c r="M1057" t="str">
        <f t="shared" si="50"/>
        <v>Premium</v>
      </c>
    </row>
    <row r="1058" spans="1:13" x14ac:dyDescent="0.35">
      <c r="A1058">
        <v>1057</v>
      </c>
      <c r="B1058">
        <v>3211</v>
      </c>
      <c r="C1058" t="str">
        <f t="shared" si="48"/>
        <v>Large</v>
      </c>
      <c r="D1058">
        <v>4</v>
      </c>
      <c r="E1058">
        <v>1</v>
      </c>
      <c r="F1058">
        <v>1</v>
      </c>
      <c r="G1058">
        <v>2005</v>
      </c>
      <c r="H1058" t="str">
        <f t="shared" si="49"/>
        <v>Post-2000</v>
      </c>
      <c r="I1058" t="s">
        <v>14</v>
      </c>
      <c r="J1058" t="s">
        <v>15</v>
      </c>
      <c r="K1058" t="s">
        <v>12</v>
      </c>
      <c r="L1058" s="4">
        <v>93016</v>
      </c>
      <c r="M1058" t="str">
        <f t="shared" si="50"/>
        <v>Low</v>
      </c>
    </row>
    <row r="1059" spans="1:13" x14ac:dyDescent="0.35">
      <c r="A1059">
        <v>1058</v>
      </c>
      <c r="B1059">
        <v>2285</v>
      </c>
      <c r="C1059" t="str">
        <f t="shared" si="48"/>
        <v>Medium</v>
      </c>
      <c r="D1059">
        <v>1</v>
      </c>
      <c r="E1059">
        <v>1</v>
      </c>
      <c r="F1059">
        <v>2</v>
      </c>
      <c r="G1059">
        <v>1924</v>
      </c>
      <c r="H1059" t="str">
        <f t="shared" si="49"/>
        <v>Pre-1950</v>
      </c>
      <c r="I1059" t="s">
        <v>19</v>
      </c>
      <c r="J1059" t="s">
        <v>18</v>
      </c>
      <c r="K1059" t="s">
        <v>12</v>
      </c>
      <c r="L1059" s="4">
        <v>493888</v>
      </c>
      <c r="M1059" t="str">
        <f t="shared" si="50"/>
        <v>High</v>
      </c>
    </row>
    <row r="1060" spans="1:13" x14ac:dyDescent="0.35">
      <c r="A1060">
        <v>1059</v>
      </c>
      <c r="B1060">
        <v>1250</v>
      </c>
      <c r="C1060" t="str">
        <f t="shared" si="48"/>
        <v>Medium</v>
      </c>
      <c r="D1060">
        <v>4</v>
      </c>
      <c r="E1060">
        <v>3</v>
      </c>
      <c r="F1060">
        <v>3</v>
      </c>
      <c r="G1060">
        <v>2015</v>
      </c>
      <c r="H1060" t="str">
        <f t="shared" si="49"/>
        <v>Post-2000</v>
      </c>
      <c r="I1060" t="s">
        <v>17</v>
      </c>
      <c r="J1060" t="s">
        <v>15</v>
      </c>
      <c r="K1060" t="s">
        <v>16</v>
      </c>
      <c r="L1060" s="4">
        <v>336420</v>
      </c>
      <c r="M1060" t="str">
        <f t="shared" si="50"/>
        <v>Medium</v>
      </c>
    </row>
    <row r="1061" spans="1:13" x14ac:dyDescent="0.35">
      <c r="A1061">
        <v>1060</v>
      </c>
      <c r="B1061">
        <v>2262</v>
      </c>
      <c r="C1061" t="str">
        <f t="shared" si="48"/>
        <v>Medium</v>
      </c>
      <c r="D1061">
        <v>1</v>
      </c>
      <c r="E1061">
        <v>1</v>
      </c>
      <c r="F1061">
        <v>2</v>
      </c>
      <c r="G1061">
        <v>1977</v>
      </c>
      <c r="H1061" t="str">
        <f t="shared" si="49"/>
        <v>1976-2000</v>
      </c>
      <c r="I1061" t="s">
        <v>14</v>
      </c>
      <c r="J1061" t="s">
        <v>15</v>
      </c>
      <c r="K1061" t="s">
        <v>12</v>
      </c>
      <c r="L1061" s="4">
        <v>805247</v>
      </c>
      <c r="M1061" t="str">
        <f t="shared" si="50"/>
        <v>Premium</v>
      </c>
    </row>
    <row r="1062" spans="1:13" x14ac:dyDescent="0.35">
      <c r="A1062">
        <v>1061</v>
      </c>
      <c r="B1062">
        <v>4420</v>
      </c>
      <c r="C1062" t="str">
        <f t="shared" si="48"/>
        <v>Extra Large</v>
      </c>
      <c r="D1062">
        <v>5</v>
      </c>
      <c r="E1062">
        <v>4</v>
      </c>
      <c r="F1062">
        <v>2</v>
      </c>
      <c r="G1062">
        <v>2007</v>
      </c>
      <c r="H1062" t="str">
        <f t="shared" si="49"/>
        <v>Post-2000</v>
      </c>
      <c r="I1062" t="s">
        <v>10</v>
      </c>
      <c r="J1062" t="s">
        <v>13</v>
      </c>
      <c r="K1062" t="s">
        <v>16</v>
      </c>
      <c r="L1062" s="4">
        <v>384384</v>
      </c>
      <c r="M1062" t="str">
        <f t="shared" si="50"/>
        <v>Medium</v>
      </c>
    </row>
    <row r="1063" spans="1:13" x14ac:dyDescent="0.35">
      <c r="A1063">
        <v>1062</v>
      </c>
      <c r="B1063">
        <v>4960</v>
      </c>
      <c r="C1063" t="str">
        <f t="shared" si="48"/>
        <v>Extra Large</v>
      </c>
      <c r="D1063">
        <v>2</v>
      </c>
      <c r="E1063">
        <v>2</v>
      </c>
      <c r="F1063">
        <v>1</v>
      </c>
      <c r="G1063">
        <v>1924</v>
      </c>
      <c r="H1063" t="str">
        <f t="shared" si="49"/>
        <v>Pre-1950</v>
      </c>
      <c r="I1063" t="s">
        <v>17</v>
      </c>
      <c r="J1063" t="s">
        <v>15</v>
      </c>
      <c r="K1063" t="s">
        <v>16</v>
      </c>
      <c r="L1063" s="4">
        <v>942724</v>
      </c>
      <c r="M1063" t="str">
        <f t="shared" si="50"/>
        <v>Premium</v>
      </c>
    </row>
    <row r="1064" spans="1:13" x14ac:dyDescent="0.35">
      <c r="A1064">
        <v>1063</v>
      </c>
      <c r="B1064">
        <v>981</v>
      </c>
      <c r="C1064" t="str">
        <f t="shared" si="48"/>
        <v>Small</v>
      </c>
      <c r="D1064">
        <v>5</v>
      </c>
      <c r="E1064">
        <v>4</v>
      </c>
      <c r="F1064">
        <v>2</v>
      </c>
      <c r="G1064">
        <v>1918</v>
      </c>
      <c r="H1064" t="str">
        <f t="shared" si="49"/>
        <v>Pre-1950</v>
      </c>
      <c r="I1064" t="s">
        <v>17</v>
      </c>
      <c r="J1064" t="s">
        <v>18</v>
      </c>
      <c r="K1064" t="s">
        <v>12</v>
      </c>
      <c r="L1064" s="4">
        <v>236807</v>
      </c>
      <c r="M1064" t="str">
        <f t="shared" si="50"/>
        <v>Medium</v>
      </c>
    </row>
    <row r="1065" spans="1:13" x14ac:dyDescent="0.35">
      <c r="A1065">
        <v>1064</v>
      </c>
      <c r="B1065">
        <v>653</v>
      </c>
      <c r="C1065" t="str">
        <f t="shared" si="48"/>
        <v>Small</v>
      </c>
      <c r="D1065">
        <v>5</v>
      </c>
      <c r="E1065">
        <v>2</v>
      </c>
      <c r="F1065">
        <v>2</v>
      </c>
      <c r="G1065">
        <v>1938</v>
      </c>
      <c r="H1065" t="str">
        <f t="shared" si="49"/>
        <v>Pre-1950</v>
      </c>
      <c r="I1065" t="s">
        <v>14</v>
      </c>
      <c r="J1065" t="s">
        <v>18</v>
      </c>
      <c r="K1065" t="s">
        <v>16</v>
      </c>
      <c r="L1065" s="4">
        <v>592247</v>
      </c>
      <c r="M1065" t="str">
        <f t="shared" si="50"/>
        <v>High</v>
      </c>
    </row>
    <row r="1066" spans="1:13" x14ac:dyDescent="0.35">
      <c r="A1066">
        <v>1065</v>
      </c>
      <c r="B1066">
        <v>2024</v>
      </c>
      <c r="C1066" t="str">
        <f t="shared" si="48"/>
        <v>Medium</v>
      </c>
      <c r="D1066">
        <v>4</v>
      </c>
      <c r="E1066">
        <v>3</v>
      </c>
      <c r="F1066">
        <v>2</v>
      </c>
      <c r="G1066">
        <v>2018</v>
      </c>
      <c r="H1066" t="str">
        <f t="shared" si="49"/>
        <v>Post-2000</v>
      </c>
      <c r="I1066" t="s">
        <v>19</v>
      </c>
      <c r="J1066" t="s">
        <v>11</v>
      </c>
      <c r="K1066" t="s">
        <v>16</v>
      </c>
      <c r="L1066" s="4">
        <v>602810</v>
      </c>
      <c r="M1066" t="str">
        <f t="shared" si="50"/>
        <v>Premium</v>
      </c>
    </row>
    <row r="1067" spans="1:13" x14ac:dyDescent="0.35">
      <c r="A1067">
        <v>1066</v>
      </c>
      <c r="B1067">
        <v>2620</v>
      </c>
      <c r="C1067" t="str">
        <f t="shared" si="48"/>
        <v>Large</v>
      </c>
      <c r="D1067">
        <v>2</v>
      </c>
      <c r="E1067">
        <v>2</v>
      </c>
      <c r="F1067">
        <v>1</v>
      </c>
      <c r="G1067">
        <v>1978</v>
      </c>
      <c r="H1067" t="str">
        <f t="shared" si="49"/>
        <v>1976-2000</v>
      </c>
      <c r="I1067" t="s">
        <v>14</v>
      </c>
      <c r="J1067" t="s">
        <v>18</v>
      </c>
      <c r="K1067" t="s">
        <v>12</v>
      </c>
      <c r="L1067" s="4">
        <v>499303</v>
      </c>
      <c r="M1067" t="str">
        <f t="shared" si="50"/>
        <v>High</v>
      </c>
    </row>
    <row r="1068" spans="1:13" x14ac:dyDescent="0.35">
      <c r="A1068">
        <v>1067</v>
      </c>
      <c r="B1068">
        <v>2843</v>
      </c>
      <c r="C1068" t="str">
        <f t="shared" si="48"/>
        <v>Large</v>
      </c>
      <c r="D1068">
        <v>1</v>
      </c>
      <c r="E1068">
        <v>1</v>
      </c>
      <c r="F1068">
        <v>3</v>
      </c>
      <c r="G1068">
        <v>1979</v>
      </c>
      <c r="H1068" t="str">
        <f t="shared" si="49"/>
        <v>1976-2000</v>
      </c>
      <c r="I1068" t="s">
        <v>19</v>
      </c>
      <c r="J1068" t="s">
        <v>11</v>
      </c>
      <c r="K1068" t="s">
        <v>12</v>
      </c>
      <c r="L1068" s="4">
        <v>453169</v>
      </c>
      <c r="M1068" t="str">
        <f t="shared" si="50"/>
        <v>High</v>
      </c>
    </row>
    <row r="1069" spans="1:13" x14ac:dyDescent="0.35">
      <c r="A1069">
        <v>1068</v>
      </c>
      <c r="B1069">
        <v>1740</v>
      </c>
      <c r="C1069" t="str">
        <f t="shared" si="48"/>
        <v>Medium</v>
      </c>
      <c r="D1069">
        <v>1</v>
      </c>
      <c r="E1069">
        <v>4</v>
      </c>
      <c r="F1069">
        <v>3</v>
      </c>
      <c r="G1069">
        <v>1926</v>
      </c>
      <c r="H1069" t="str">
        <f t="shared" si="49"/>
        <v>Pre-1950</v>
      </c>
      <c r="I1069" t="s">
        <v>17</v>
      </c>
      <c r="J1069" t="s">
        <v>15</v>
      </c>
      <c r="K1069" t="s">
        <v>12</v>
      </c>
      <c r="L1069" s="4">
        <v>76567</v>
      </c>
      <c r="M1069" t="str">
        <f t="shared" si="50"/>
        <v>Low</v>
      </c>
    </row>
    <row r="1070" spans="1:13" x14ac:dyDescent="0.35">
      <c r="A1070">
        <v>1069</v>
      </c>
      <c r="B1070">
        <v>560</v>
      </c>
      <c r="C1070" t="str">
        <f t="shared" si="48"/>
        <v>Small</v>
      </c>
      <c r="D1070">
        <v>3</v>
      </c>
      <c r="E1070">
        <v>2</v>
      </c>
      <c r="F1070">
        <v>2</v>
      </c>
      <c r="G1070">
        <v>2003</v>
      </c>
      <c r="H1070" t="str">
        <f t="shared" si="49"/>
        <v>Post-2000</v>
      </c>
      <c r="I1070" t="s">
        <v>14</v>
      </c>
      <c r="J1070" t="s">
        <v>18</v>
      </c>
      <c r="K1070" t="s">
        <v>12</v>
      </c>
      <c r="L1070" s="4">
        <v>503739</v>
      </c>
      <c r="M1070" t="str">
        <f t="shared" si="50"/>
        <v>High</v>
      </c>
    </row>
    <row r="1071" spans="1:13" x14ac:dyDescent="0.35">
      <c r="A1071">
        <v>1070</v>
      </c>
      <c r="B1071">
        <v>1438</v>
      </c>
      <c r="C1071" t="str">
        <f t="shared" si="48"/>
        <v>Medium</v>
      </c>
      <c r="D1071">
        <v>1</v>
      </c>
      <c r="E1071">
        <v>4</v>
      </c>
      <c r="F1071">
        <v>1</v>
      </c>
      <c r="G1071">
        <v>1973</v>
      </c>
      <c r="H1071" t="str">
        <f t="shared" si="49"/>
        <v>1950-1975</v>
      </c>
      <c r="I1071" t="s">
        <v>10</v>
      </c>
      <c r="J1071" t="s">
        <v>13</v>
      </c>
      <c r="K1071" t="s">
        <v>12</v>
      </c>
      <c r="L1071" s="4">
        <v>112708</v>
      </c>
      <c r="M1071" t="str">
        <f t="shared" si="50"/>
        <v>Low</v>
      </c>
    </row>
    <row r="1072" spans="1:13" x14ac:dyDescent="0.35">
      <c r="A1072">
        <v>1071</v>
      </c>
      <c r="B1072">
        <v>2139</v>
      </c>
      <c r="C1072" t="str">
        <f t="shared" si="48"/>
        <v>Medium</v>
      </c>
      <c r="D1072">
        <v>4</v>
      </c>
      <c r="E1072">
        <v>3</v>
      </c>
      <c r="F1072">
        <v>2</v>
      </c>
      <c r="G1072">
        <v>1962</v>
      </c>
      <c r="H1072" t="str">
        <f t="shared" si="49"/>
        <v>1950-1975</v>
      </c>
      <c r="I1072" t="s">
        <v>14</v>
      </c>
      <c r="J1072" t="s">
        <v>13</v>
      </c>
      <c r="K1072" t="s">
        <v>12</v>
      </c>
      <c r="L1072" s="4">
        <v>176206</v>
      </c>
      <c r="M1072" t="str">
        <f t="shared" si="50"/>
        <v>Low</v>
      </c>
    </row>
    <row r="1073" spans="1:13" x14ac:dyDescent="0.35">
      <c r="A1073">
        <v>1072</v>
      </c>
      <c r="B1073">
        <v>4620</v>
      </c>
      <c r="C1073" t="str">
        <f t="shared" si="48"/>
        <v>Extra Large</v>
      </c>
      <c r="D1073">
        <v>5</v>
      </c>
      <c r="E1073">
        <v>3</v>
      </c>
      <c r="F1073">
        <v>3</v>
      </c>
      <c r="G1073">
        <v>1967</v>
      </c>
      <c r="H1073" t="str">
        <f t="shared" si="49"/>
        <v>1950-1975</v>
      </c>
      <c r="I1073" t="s">
        <v>19</v>
      </c>
      <c r="J1073" t="s">
        <v>13</v>
      </c>
      <c r="K1073" t="s">
        <v>16</v>
      </c>
      <c r="L1073" s="4">
        <v>596848</v>
      </c>
      <c r="M1073" t="str">
        <f t="shared" si="50"/>
        <v>High</v>
      </c>
    </row>
    <row r="1074" spans="1:13" x14ac:dyDescent="0.35">
      <c r="A1074">
        <v>1073</v>
      </c>
      <c r="B1074">
        <v>4726</v>
      </c>
      <c r="C1074" t="str">
        <f t="shared" si="48"/>
        <v>Extra Large</v>
      </c>
      <c r="D1074">
        <v>5</v>
      </c>
      <c r="E1074">
        <v>1</v>
      </c>
      <c r="F1074">
        <v>1</v>
      </c>
      <c r="G1074">
        <v>2014</v>
      </c>
      <c r="H1074" t="str">
        <f t="shared" si="49"/>
        <v>Post-2000</v>
      </c>
      <c r="I1074" t="s">
        <v>19</v>
      </c>
      <c r="J1074" t="s">
        <v>15</v>
      </c>
      <c r="K1074" t="s">
        <v>16</v>
      </c>
      <c r="L1074" s="4">
        <v>632678</v>
      </c>
      <c r="M1074" t="str">
        <f t="shared" si="50"/>
        <v>Premium</v>
      </c>
    </row>
    <row r="1075" spans="1:13" x14ac:dyDescent="0.35">
      <c r="A1075">
        <v>1074</v>
      </c>
      <c r="B1075">
        <v>4069</v>
      </c>
      <c r="C1075" t="str">
        <f t="shared" si="48"/>
        <v>Extra Large</v>
      </c>
      <c r="D1075">
        <v>5</v>
      </c>
      <c r="E1075">
        <v>3</v>
      </c>
      <c r="F1075">
        <v>3</v>
      </c>
      <c r="G1075">
        <v>1918</v>
      </c>
      <c r="H1075" t="str">
        <f t="shared" si="49"/>
        <v>Pre-1950</v>
      </c>
      <c r="I1075" t="s">
        <v>14</v>
      </c>
      <c r="J1075" t="s">
        <v>15</v>
      </c>
      <c r="K1075" t="s">
        <v>16</v>
      </c>
      <c r="L1075" s="4">
        <v>700060</v>
      </c>
      <c r="M1075" t="str">
        <f t="shared" si="50"/>
        <v>Premium</v>
      </c>
    </row>
    <row r="1076" spans="1:13" x14ac:dyDescent="0.35">
      <c r="A1076">
        <v>1075</v>
      </c>
      <c r="B1076">
        <v>1752</v>
      </c>
      <c r="C1076" t="str">
        <f t="shared" si="48"/>
        <v>Medium</v>
      </c>
      <c r="D1076">
        <v>2</v>
      </c>
      <c r="E1076">
        <v>2</v>
      </c>
      <c r="F1076">
        <v>3</v>
      </c>
      <c r="G1076">
        <v>1927</v>
      </c>
      <c r="H1076" t="str">
        <f t="shared" si="49"/>
        <v>Pre-1950</v>
      </c>
      <c r="I1076" t="s">
        <v>19</v>
      </c>
      <c r="J1076" t="s">
        <v>11</v>
      </c>
      <c r="K1076" t="s">
        <v>12</v>
      </c>
      <c r="L1076" s="4">
        <v>511365</v>
      </c>
      <c r="M1076" t="str">
        <f t="shared" si="50"/>
        <v>High</v>
      </c>
    </row>
    <row r="1077" spans="1:13" x14ac:dyDescent="0.35">
      <c r="A1077">
        <v>1076</v>
      </c>
      <c r="B1077">
        <v>4703</v>
      </c>
      <c r="C1077" t="str">
        <f t="shared" si="48"/>
        <v>Extra Large</v>
      </c>
      <c r="D1077">
        <v>1</v>
      </c>
      <c r="E1077">
        <v>3</v>
      </c>
      <c r="F1077">
        <v>1</v>
      </c>
      <c r="G1077">
        <v>1984</v>
      </c>
      <c r="H1077" t="str">
        <f t="shared" si="49"/>
        <v>1976-2000</v>
      </c>
      <c r="I1077" t="s">
        <v>17</v>
      </c>
      <c r="J1077" t="s">
        <v>13</v>
      </c>
      <c r="K1077" t="s">
        <v>16</v>
      </c>
      <c r="L1077" s="4">
        <v>357248</v>
      </c>
      <c r="M1077" t="str">
        <f t="shared" si="50"/>
        <v>Medium</v>
      </c>
    </row>
    <row r="1078" spans="1:13" x14ac:dyDescent="0.35">
      <c r="A1078">
        <v>1077</v>
      </c>
      <c r="B1078">
        <v>671</v>
      </c>
      <c r="C1078" t="str">
        <f t="shared" si="48"/>
        <v>Small</v>
      </c>
      <c r="D1078">
        <v>4</v>
      </c>
      <c r="E1078">
        <v>1</v>
      </c>
      <c r="F1078">
        <v>1</v>
      </c>
      <c r="G1078">
        <v>2022</v>
      </c>
      <c r="H1078" t="str">
        <f t="shared" si="49"/>
        <v>Post-2000</v>
      </c>
      <c r="I1078" t="s">
        <v>14</v>
      </c>
      <c r="J1078" t="s">
        <v>11</v>
      </c>
      <c r="K1078" t="s">
        <v>12</v>
      </c>
      <c r="L1078" s="4">
        <v>632093</v>
      </c>
      <c r="M1078" t="str">
        <f t="shared" si="50"/>
        <v>Premium</v>
      </c>
    </row>
    <row r="1079" spans="1:13" x14ac:dyDescent="0.35">
      <c r="A1079">
        <v>1078</v>
      </c>
      <c r="B1079">
        <v>1958</v>
      </c>
      <c r="C1079" t="str">
        <f t="shared" si="48"/>
        <v>Medium</v>
      </c>
      <c r="D1079">
        <v>2</v>
      </c>
      <c r="E1079">
        <v>4</v>
      </c>
      <c r="F1079">
        <v>2</v>
      </c>
      <c r="G1079">
        <v>2010</v>
      </c>
      <c r="H1079" t="str">
        <f t="shared" si="49"/>
        <v>Post-2000</v>
      </c>
      <c r="I1079" t="s">
        <v>19</v>
      </c>
      <c r="J1079" t="s">
        <v>11</v>
      </c>
      <c r="K1079" t="s">
        <v>16</v>
      </c>
      <c r="L1079" s="4">
        <v>286109</v>
      </c>
      <c r="M1079" t="str">
        <f t="shared" si="50"/>
        <v>Medium</v>
      </c>
    </row>
    <row r="1080" spans="1:13" x14ac:dyDescent="0.35">
      <c r="A1080">
        <v>1079</v>
      </c>
      <c r="B1080">
        <v>4049</v>
      </c>
      <c r="C1080" t="str">
        <f t="shared" si="48"/>
        <v>Extra Large</v>
      </c>
      <c r="D1080">
        <v>3</v>
      </c>
      <c r="E1080">
        <v>4</v>
      </c>
      <c r="F1080">
        <v>2</v>
      </c>
      <c r="G1080">
        <v>1977</v>
      </c>
      <c r="H1080" t="str">
        <f t="shared" si="49"/>
        <v>1976-2000</v>
      </c>
      <c r="I1080" t="s">
        <v>14</v>
      </c>
      <c r="J1080" t="s">
        <v>18</v>
      </c>
      <c r="K1080" t="s">
        <v>12</v>
      </c>
      <c r="L1080" s="4">
        <v>545951</v>
      </c>
      <c r="M1080" t="str">
        <f t="shared" si="50"/>
        <v>High</v>
      </c>
    </row>
    <row r="1081" spans="1:13" x14ac:dyDescent="0.35">
      <c r="A1081">
        <v>1080</v>
      </c>
      <c r="B1081">
        <v>4697</v>
      </c>
      <c r="C1081" t="str">
        <f t="shared" si="48"/>
        <v>Extra Large</v>
      </c>
      <c r="D1081">
        <v>4</v>
      </c>
      <c r="E1081">
        <v>3</v>
      </c>
      <c r="F1081">
        <v>3</v>
      </c>
      <c r="G1081">
        <v>1932</v>
      </c>
      <c r="H1081" t="str">
        <f t="shared" si="49"/>
        <v>Pre-1950</v>
      </c>
      <c r="I1081" t="s">
        <v>14</v>
      </c>
      <c r="J1081" t="s">
        <v>18</v>
      </c>
      <c r="K1081" t="s">
        <v>16</v>
      </c>
      <c r="L1081" s="4">
        <v>336640</v>
      </c>
      <c r="M1081" t="str">
        <f t="shared" si="50"/>
        <v>Medium</v>
      </c>
    </row>
    <row r="1082" spans="1:13" x14ac:dyDescent="0.35">
      <c r="A1082">
        <v>1081</v>
      </c>
      <c r="B1082">
        <v>2822</v>
      </c>
      <c r="C1082" t="str">
        <f t="shared" si="48"/>
        <v>Large</v>
      </c>
      <c r="D1082">
        <v>4</v>
      </c>
      <c r="E1082">
        <v>2</v>
      </c>
      <c r="F1082">
        <v>1</v>
      </c>
      <c r="G1082">
        <v>2011</v>
      </c>
      <c r="H1082" t="str">
        <f t="shared" si="49"/>
        <v>Post-2000</v>
      </c>
      <c r="I1082" t="s">
        <v>10</v>
      </c>
      <c r="J1082" t="s">
        <v>13</v>
      </c>
      <c r="K1082" t="s">
        <v>12</v>
      </c>
      <c r="L1082" s="4">
        <v>788661</v>
      </c>
      <c r="M1082" t="str">
        <f t="shared" si="50"/>
        <v>Premium</v>
      </c>
    </row>
    <row r="1083" spans="1:13" x14ac:dyDescent="0.35">
      <c r="A1083">
        <v>1082</v>
      </c>
      <c r="B1083">
        <v>2136</v>
      </c>
      <c r="C1083" t="str">
        <f t="shared" si="48"/>
        <v>Medium</v>
      </c>
      <c r="D1083">
        <v>4</v>
      </c>
      <c r="E1083">
        <v>1</v>
      </c>
      <c r="F1083">
        <v>1</v>
      </c>
      <c r="G1083">
        <v>1909</v>
      </c>
      <c r="H1083" t="str">
        <f t="shared" si="49"/>
        <v>Pre-1950</v>
      </c>
      <c r="I1083" t="s">
        <v>14</v>
      </c>
      <c r="J1083" t="s">
        <v>15</v>
      </c>
      <c r="K1083" t="s">
        <v>12</v>
      </c>
      <c r="L1083" s="4">
        <v>141257</v>
      </c>
      <c r="M1083" t="str">
        <f t="shared" si="50"/>
        <v>Low</v>
      </c>
    </row>
    <row r="1084" spans="1:13" x14ac:dyDescent="0.35">
      <c r="A1084">
        <v>1083</v>
      </c>
      <c r="B1084">
        <v>3615</v>
      </c>
      <c r="C1084" t="str">
        <f t="shared" si="48"/>
        <v>Large</v>
      </c>
      <c r="D1084">
        <v>5</v>
      </c>
      <c r="E1084">
        <v>2</v>
      </c>
      <c r="F1084">
        <v>2</v>
      </c>
      <c r="G1084">
        <v>1982</v>
      </c>
      <c r="H1084" t="str">
        <f t="shared" si="49"/>
        <v>1976-2000</v>
      </c>
      <c r="I1084" t="s">
        <v>10</v>
      </c>
      <c r="J1084" t="s">
        <v>18</v>
      </c>
      <c r="K1084" t="s">
        <v>12</v>
      </c>
      <c r="L1084" s="4">
        <v>53515</v>
      </c>
      <c r="M1084" t="str">
        <f t="shared" si="50"/>
        <v>Low</v>
      </c>
    </row>
    <row r="1085" spans="1:13" x14ac:dyDescent="0.35">
      <c r="A1085">
        <v>1084</v>
      </c>
      <c r="B1085">
        <v>4590</v>
      </c>
      <c r="C1085" t="str">
        <f t="shared" si="48"/>
        <v>Extra Large</v>
      </c>
      <c r="D1085">
        <v>4</v>
      </c>
      <c r="E1085">
        <v>1</v>
      </c>
      <c r="F1085">
        <v>3</v>
      </c>
      <c r="G1085">
        <v>1929</v>
      </c>
      <c r="H1085" t="str">
        <f t="shared" si="49"/>
        <v>Pre-1950</v>
      </c>
      <c r="I1085" t="s">
        <v>19</v>
      </c>
      <c r="J1085" t="s">
        <v>15</v>
      </c>
      <c r="K1085" t="s">
        <v>12</v>
      </c>
      <c r="L1085" s="4">
        <v>578742</v>
      </c>
      <c r="M1085" t="str">
        <f t="shared" si="50"/>
        <v>High</v>
      </c>
    </row>
    <row r="1086" spans="1:13" x14ac:dyDescent="0.35">
      <c r="A1086">
        <v>1085</v>
      </c>
      <c r="B1086">
        <v>3504</v>
      </c>
      <c r="C1086" t="str">
        <f t="shared" si="48"/>
        <v>Large</v>
      </c>
      <c r="D1086">
        <v>1</v>
      </c>
      <c r="E1086">
        <v>3</v>
      </c>
      <c r="F1086">
        <v>3</v>
      </c>
      <c r="G1086">
        <v>1921</v>
      </c>
      <c r="H1086" t="str">
        <f t="shared" si="49"/>
        <v>Pre-1950</v>
      </c>
      <c r="I1086" t="s">
        <v>10</v>
      </c>
      <c r="J1086" t="s">
        <v>11</v>
      </c>
      <c r="K1086" t="s">
        <v>16</v>
      </c>
      <c r="L1086" s="4">
        <v>287145</v>
      </c>
      <c r="M1086" t="str">
        <f t="shared" si="50"/>
        <v>Medium</v>
      </c>
    </row>
    <row r="1087" spans="1:13" x14ac:dyDescent="0.35">
      <c r="A1087">
        <v>1086</v>
      </c>
      <c r="B1087">
        <v>829</v>
      </c>
      <c r="C1087" t="str">
        <f t="shared" si="48"/>
        <v>Small</v>
      </c>
      <c r="D1087">
        <v>4</v>
      </c>
      <c r="E1087">
        <v>1</v>
      </c>
      <c r="F1087">
        <v>2</v>
      </c>
      <c r="G1087">
        <v>1902</v>
      </c>
      <c r="H1087" t="str">
        <f t="shared" si="49"/>
        <v>Pre-1950</v>
      </c>
      <c r="I1087" t="s">
        <v>10</v>
      </c>
      <c r="J1087" t="s">
        <v>11</v>
      </c>
      <c r="K1087" t="s">
        <v>16</v>
      </c>
      <c r="L1087" s="4">
        <v>72873</v>
      </c>
      <c r="M1087" t="str">
        <f t="shared" si="50"/>
        <v>Low</v>
      </c>
    </row>
    <row r="1088" spans="1:13" x14ac:dyDescent="0.35">
      <c r="A1088">
        <v>1087</v>
      </c>
      <c r="B1088">
        <v>4140</v>
      </c>
      <c r="C1088" t="str">
        <f t="shared" si="48"/>
        <v>Extra Large</v>
      </c>
      <c r="D1088">
        <v>5</v>
      </c>
      <c r="E1088">
        <v>1</v>
      </c>
      <c r="F1088">
        <v>1</v>
      </c>
      <c r="G1088">
        <v>2000</v>
      </c>
      <c r="H1088" t="str">
        <f t="shared" si="49"/>
        <v>1976-2000</v>
      </c>
      <c r="I1088" t="s">
        <v>10</v>
      </c>
      <c r="J1088" t="s">
        <v>11</v>
      </c>
      <c r="K1088" t="s">
        <v>12</v>
      </c>
      <c r="L1088" s="4">
        <v>910352</v>
      </c>
      <c r="M1088" t="str">
        <f t="shared" si="50"/>
        <v>Premium</v>
      </c>
    </row>
    <row r="1089" spans="1:13" x14ac:dyDescent="0.35">
      <c r="A1089">
        <v>1088</v>
      </c>
      <c r="B1089">
        <v>4394</v>
      </c>
      <c r="C1089" t="str">
        <f t="shared" si="48"/>
        <v>Extra Large</v>
      </c>
      <c r="D1089">
        <v>4</v>
      </c>
      <c r="E1089">
        <v>3</v>
      </c>
      <c r="F1089">
        <v>2</v>
      </c>
      <c r="G1089">
        <v>2004</v>
      </c>
      <c r="H1089" t="str">
        <f t="shared" si="49"/>
        <v>Post-2000</v>
      </c>
      <c r="I1089" t="s">
        <v>17</v>
      </c>
      <c r="J1089" t="s">
        <v>11</v>
      </c>
      <c r="K1089" t="s">
        <v>12</v>
      </c>
      <c r="L1089" s="4">
        <v>325871</v>
      </c>
      <c r="M1089" t="str">
        <f t="shared" si="50"/>
        <v>Medium</v>
      </c>
    </row>
    <row r="1090" spans="1:13" x14ac:dyDescent="0.35">
      <c r="A1090">
        <v>1089</v>
      </c>
      <c r="B1090">
        <v>4607</v>
      </c>
      <c r="C1090" t="str">
        <f t="shared" si="48"/>
        <v>Extra Large</v>
      </c>
      <c r="D1090">
        <v>3</v>
      </c>
      <c r="E1090">
        <v>2</v>
      </c>
      <c r="F1090">
        <v>2</v>
      </c>
      <c r="G1090">
        <v>1981</v>
      </c>
      <c r="H1090" t="str">
        <f t="shared" si="49"/>
        <v>1976-2000</v>
      </c>
      <c r="I1090" t="s">
        <v>10</v>
      </c>
      <c r="J1090" t="s">
        <v>13</v>
      </c>
      <c r="K1090" t="s">
        <v>12</v>
      </c>
      <c r="L1090" s="4">
        <v>702664</v>
      </c>
      <c r="M1090" t="str">
        <f t="shared" si="50"/>
        <v>Premium</v>
      </c>
    </row>
    <row r="1091" spans="1:13" x14ac:dyDescent="0.35">
      <c r="A1091">
        <v>1090</v>
      </c>
      <c r="B1091">
        <v>1841</v>
      </c>
      <c r="C1091" t="str">
        <f t="shared" ref="C1091:C1154" si="51">IF(B1091&lt;=1000,"Small",IF(B1091&lt;=2500,"Medium",IF(B1091&lt;=4000,"Large",IF(B1091&gt;=4000,"Extra Large"))))</f>
        <v>Medium</v>
      </c>
      <c r="D1091">
        <v>3</v>
      </c>
      <c r="E1091">
        <v>3</v>
      </c>
      <c r="F1091">
        <v>2</v>
      </c>
      <c r="G1091">
        <v>1974</v>
      </c>
      <c r="H1091" t="str">
        <f t="shared" ref="H1091:H1154" si="52">IF(G1091&lt;=1950,"Pre-1950",IF(G1091&lt;=1975,"1950-1975",IF(G1091&lt;=2000,"1976-2000",IF(G1091&gt;=2000,"Post-2000"))))</f>
        <v>1950-1975</v>
      </c>
      <c r="I1091" t="s">
        <v>14</v>
      </c>
      <c r="J1091" t="s">
        <v>11</v>
      </c>
      <c r="K1091" t="s">
        <v>16</v>
      </c>
      <c r="L1091" s="4">
        <v>643358</v>
      </c>
      <c r="M1091" t="str">
        <f t="shared" ref="M1091:M1154" si="53">IF(L1091&lt;=200000,"Low",IF(L1091&lt;=400000,"Medium",IF(L1091&lt;=600000,"High",IF(L1091&gt;=600000,"Premium",""))))</f>
        <v>Premium</v>
      </c>
    </row>
    <row r="1092" spans="1:13" x14ac:dyDescent="0.35">
      <c r="A1092">
        <v>1091</v>
      </c>
      <c r="B1092">
        <v>4163</v>
      </c>
      <c r="C1092" t="str">
        <f t="shared" si="51"/>
        <v>Extra Large</v>
      </c>
      <c r="D1092">
        <v>5</v>
      </c>
      <c r="E1092">
        <v>1</v>
      </c>
      <c r="F1092">
        <v>2</v>
      </c>
      <c r="G1092">
        <v>1947</v>
      </c>
      <c r="H1092" t="str">
        <f t="shared" si="52"/>
        <v>Pre-1950</v>
      </c>
      <c r="I1092" t="s">
        <v>10</v>
      </c>
      <c r="J1092" t="s">
        <v>18</v>
      </c>
      <c r="K1092" t="s">
        <v>12</v>
      </c>
      <c r="L1092" s="4">
        <v>935491</v>
      </c>
      <c r="M1092" t="str">
        <f t="shared" si="53"/>
        <v>Premium</v>
      </c>
    </row>
    <row r="1093" spans="1:13" x14ac:dyDescent="0.35">
      <c r="A1093">
        <v>1092</v>
      </c>
      <c r="B1093">
        <v>715</v>
      </c>
      <c r="C1093" t="str">
        <f t="shared" si="51"/>
        <v>Small</v>
      </c>
      <c r="D1093">
        <v>1</v>
      </c>
      <c r="E1093">
        <v>3</v>
      </c>
      <c r="F1093">
        <v>1</v>
      </c>
      <c r="G1093">
        <v>1901</v>
      </c>
      <c r="H1093" t="str">
        <f t="shared" si="52"/>
        <v>Pre-1950</v>
      </c>
      <c r="I1093" t="s">
        <v>14</v>
      </c>
      <c r="J1093" t="s">
        <v>11</v>
      </c>
      <c r="K1093" t="s">
        <v>12</v>
      </c>
      <c r="L1093" s="4">
        <v>698852</v>
      </c>
      <c r="M1093" t="str">
        <f t="shared" si="53"/>
        <v>Premium</v>
      </c>
    </row>
    <row r="1094" spans="1:13" x14ac:dyDescent="0.35">
      <c r="A1094">
        <v>1093</v>
      </c>
      <c r="B1094">
        <v>838</v>
      </c>
      <c r="C1094" t="str">
        <f t="shared" si="51"/>
        <v>Small</v>
      </c>
      <c r="D1094">
        <v>1</v>
      </c>
      <c r="E1094">
        <v>1</v>
      </c>
      <c r="F1094">
        <v>2</v>
      </c>
      <c r="G1094">
        <v>1975</v>
      </c>
      <c r="H1094" t="str">
        <f t="shared" si="52"/>
        <v>1950-1975</v>
      </c>
      <c r="I1094" t="s">
        <v>10</v>
      </c>
      <c r="J1094" t="s">
        <v>15</v>
      </c>
      <c r="K1094" t="s">
        <v>16</v>
      </c>
      <c r="L1094" s="4">
        <v>278497</v>
      </c>
      <c r="M1094" t="str">
        <f t="shared" si="53"/>
        <v>Medium</v>
      </c>
    </row>
    <row r="1095" spans="1:13" x14ac:dyDescent="0.35">
      <c r="A1095">
        <v>1094</v>
      </c>
      <c r="B1095">
        <v>4562</v>
      </c>
      <c r="C1095" t="str">
        <f t="shared" si="51"/>
        <v>Extra Large</v>
      </c>
      <c r="D1095">
        <v>2</v>
      </c>
      <c r="E1095">
        <v>3</v>
      </c>
      <c r="F1095">
        <v>1</v>
      </c>
      <c r="G1095">
        <v>1953</v>
      </c>
      <c r="H1095" t="str">
        <f t="shared" si="52"/>
        <v>1950-1975</v>
      </c>
      <c r="I1095" t="s">
        <v>17</v>
      </c>
      <c r="J1095" t="s">
        <v>18</v>
      </c>
      <c r="K1095" t="s">
        <v>12</v>
      </c>
      <c r="L1095" s="4">
        <v>691501</v>
      </c>
      <c r="M1095" t="str">
        <f t="shared" si="53"/>
        <v>Premium</v>
      </c>
    </row>
    <row r="1096" spans="1:13" x14ac:dyDescent="0.35">
      <c r="A1096">
        <v>1095</v>
      </c>
      <c r="B1096">
        <v>3208</v>
      </c>
      <c r="C1096" t="str">
        <f t="shared" si="51"/>
        <v>Large</v>
      </c>
      <c r="D1096">
        <v>5</v>
      </c>
      <c r="E1096">
        <v>4</v>
      </c>
      <c r="F1096">
        <v>2</v>
      </c>
      <c r="G1096">
        <v>1905</v>
      </c>
      <c r="H1096" t="str">
        <f t="shared" si="52"/>
        <v>Pre-1950</v>
      </c>
      <c r="I1096" t="s">
        <v>19</v>
      </c>
      <c r="J1096" t="s">
        <v>15</v>
      </c>
      <c r="K1096" t="s">
        <v>12</v>
      </c>
      <c r="L1096" s="4">
        <v>755339</v>
      </c>
      <c r="M1096" t="str">
        <f t="shared" si="53"/>
        <v>Premium</v>
      </c>
    </row>
    <row r="1097" spans="1:13" x14ac:dyDescent="0.35">
      <c r="A1097">
        <v>1096</v>
      </c>
      <c r="B1097">
        <v>3652</v>
      </c>
      <c r="C1097" t="str">
        <f t="shared" si="51"/>
        <v>Large</v>
      </c>
      <c r="D1097">
        <v>4</v>
      </c>
      <c r="E1097">
        <v>4</v>
      </c>
      <c r="F1097">
        <v>3</v>
      </c>
      <c r="G1097">
        <v>2006</v>
      </c>
      <c r="H1097" t="str">
        <f t="shared" si="52"/>
        <v>Post-2000</v>
      </c>
      <c r="I1097" t="s">
        <v>10</v>
      </c>
      <c r="J1097" t="s">
        <v>15</v>
      </c>
      <c r="K1097" t="s">
        <v>16</v>
      </c>
      <c r="L1097" s="4">
        <v>599753</v>
      </c>
      <c r="M1097" t="str">
        <f t="shared" si="53"/>
        <v>High</v>
      </c>
    </row>
    <row r="1098" spans="1:13" x14ac:dyDescent="0.35">
      <c r="A1098">
        <v>1097</v>
      </c>
      <c r="B1098">
        <v>2250</v>
      </c>
      <c r="C1098" t="str">
        <f t="shared" si="51"/>
        <v>Medium</v>
      </c>
      <c r="D1098">
        <v>5</v>
      </c>
      <c r="E1098">
        <v>3</v>
      </c>
      <c r="F1098">
        <v>1</v>
      </c>
      <c r="G1098">
        <v>2022</v>
      </c>
      <c r="H1098" t="str">
        <f t="shared" si="52"/>
        <v>Post-2000</v>
      </c>
      <c r="I1098" t="s">
        <v>10</v>
      </c>
      <c r="J1098" t="s">
        <v>13</v>
      </c>
      <c r="K1098" t="s">
        <v>12</v>
      </c>
      <c r="L1098" s="4">
        <v>234972</v>
      </c>
      <c r="M1098" t="str">
        <f t="shared" si="53"/>
        <v>Medium</v>
      </c>
    </row>
    <row r="1099" spans="1:13" x14ac:dyDescent="0.35">
      <c r="A1099">
        <v>1098</v>
      </c>
      <c r="B1099">
        <v>2921</v>
      </c>
      <c r="C1099" t="str">
        <f t="shared" si="51"/>
        <v>Large</v>
      </c>
      <c r="D1099">
        <v>2</v>
      </c>
      <c r="E1099">
        <v>2</v>
      </c>
      <c r="F1099">
        <v>3</v>
      </c>
      <c r="G1099">
        <v>1939</v>
      </c>
      <c r="H1099" t="str">
        <f t="shared" si="52"/>
        <v>Pre-1950</v>
      </c>
      <c r="I1099" t="s">
        <v>17</v>
      </c>
      <c r="J1099" t="s">
        <v>13</v>
      </c>
      <c r="K1099" t="s">
        <v>12</v>
      </c>
      <c r="L1099" s="4">
        <v>634087</v>
      </c>
      <c r="M1099" t="str">
        <f t="shared" si="53"/>
        <v>Premium</v>
      </c>
    </row>
    <row r="1100" spans="1:13" x14ac:dyDescent="0.35">
      <c r="A1100">
        <v>1099</v>
      </c>
      <c r="B1100">
        <v>1209</v>
      </c>
      <c r="C1100" t="str">
        <f t="shared" si="51"/>
        <v>Medium</v>
      </c>
      <c r="D1100">
        <v>5</v>
      </c>
      <c r="E1100">
        <v>1</v>
      </c>
      <c r="F1100">
        <v>2</v>
      </c>
      <c r="G1100">
        <v>2007</v>
      </c>
      <c r="H1100" t="str">
        <f t="shared" si="52"/>
        <v>Post-2000</v>
      </c>
      <c r="I1100" t="s">
        <v>10</v>
      </c>
      <c r="J1100" t="s">
        <v>15</v>
      </c>
      <c r="K1100" t="s">
        <v>16</v>
      </c>
      <c r="L1100" s="4">
        <v>560237</v>
      </c>
      <c r="M1100" t="str">
        <f t="shared" si="53"/>
        <v>High</v>
      </c>
    </row>
    <row r="1101" spans="1:13" x14ac:dyDescent="0.35">
      <c r="A1101">
        <v>1100</v>
      </c>
      <c r="B1101">
        <v>4226</v>
      </c>
      <c r="C1101" t="str">
        <f t="shared" si="51"/>
        <v>Extra Large</v>
      </c>
      <c r="D1101">
        <v>5</v>
      </c>
      <c r="E1101">
        <v>4</v>
      </c>
      <c r="F1101">
        <v>2</v>
      </c>
      <c r="G1101">
        <v>1992</v>
      </c>
      <c r="H1101" t="str">
        <f t="shared" si="52"/>
        <v>1976-2000</v>
      </c>
      <c r="I1101" t="s">
        <v>14</v>
      </c>
      <c r="J1101" t="s">
        <v>15</v>
      </c>
      <c r="K1101" t="s">
        <v>12</v>
      </c>
      <c r="L1101" s="4">
        <v>670417</v>
      </c>
      <c r="M1101" t="str">
        <f t="shared" si="53"/>
        <v>Premium</v>
      </c>
    </row>
    <row r="1102" spans="1:13" x14ac:dyDescent="0.35">
      <c r="A1102">
        <v>1101</v>
      </c>
      <c r="B1102">
        <v>4142</v>
      </c>
      <c r="C1102" t="str">
        <f t="shared" si="51"/>
        <v>Extra Large</v>
      </c>
      <c r="D1102">
        <v>2</v>
      </c>
      <c r="E1102">
        <v>2</v>
      </c>
      <c r="F1102">
        <v>2</v>
      </c>
      <c r="G1102">
        <v>2022</v>
      </c>
      <c r="H1102" t="str">
        <f t="shared" si="52"/>
        <v>Post-2000</v>
      </c>
      <c r="I1102" t="s">
        <v>10</v>
      </c>
      <c r="J1102" t="s">
        <v>11</v>
      </c>
      <c r="K1102" t="s">
        <v>16</v>
      </c>
      <c r="L1102" s="4">
        <v>464546</v>
      </c>
      <c r="M1102" t="str">
        <f t="shared" si="53"/>
        <v>High</v>
      </c>
    </row>
    <row r="1103" spans="1:13" x14ac:dyDescent="0.35">
      <c r="A1103">
        <v>1102</v>
      </c>
      <c r="B1103">
        <v>4493</v>
      </c>
      <c r="C1103" t="str">
        <f t="shared" si="51"/>
        <v>Extra Large</v>
      </c>
      <c r="D1103">
        <v>1</v>
      </c>
      <c r="E1103">
        <v>1</v>
      </c>
      <c r="F1103">
        <v>1</v>
      </c>
      <c r="G1103">
        <v>1993</v>
      </c>
      <c r="H1103" t="str">
        <f t="shared" si="52"/>
        <v>1976-2000</v>
      </c>
      <c r="I1103" t="s">
        <v>10</v>
      </c>
      <c r="J1103" t="s">
        <v>18</v>
      </c>
      <c r="K1103" t="s">
        <v>12</v>
      </c>
      <c r="L1103" s="4">
        <v>713662</v>
      </c>
      <c r="M1103" t="str">
        <f t="shared" si="53"/>
        <v>Premium</v>
      </c>
    </row>
    <row r="1104" spans="1:13" x14ac:dyDescent="0.35">
      <c r="A1104">
        <v>1103</v>
      </c>
      <c r="B1104">
        <v>988</v>
      </c>
      <c r="C1104" t="str">
        <f t="shared" si="51"/>
        <v>Small</v>
      </c>
      <c r="D1104">
        <v>4</v>
      </c>
      <c r="E1104">
        <v>4</v>
      </c>
      <c r="F1104">
        <v>3</v>
      </c>
      <c r="G1104">
        <v>1901</v>
      </c>
      <c r="H1104" t="str">
        <f t="shared" si="52"/>
        <v>Pre-1950</v>
      </c>
      <c r="I1104" t="s">
        <v>19</v>
      </c>
      <c r="J1104" t="s">
        <v>11</v>
      </c>
      <c r="K1104" t="s">
        <v>12</v>
      </c>
      <c r="L1104" s="4">
        <v>419432</v>
      </c>
      <c r="M1104" t="str">
        <f t="shared" si="53"/>
        <v>High</v>
      </c>
    </row>
    <row r="1105" spans="1:13" x14ac:dyDescent="0.35">
      <c r="A1105">
        <v>1104</v>
      </c>
      <c r="B1105">
        <v>546</v>
      </c>
      <c r="C1105" t="str">
        <f t="shared" si="51"/>
        <v>Small</v>
      </c>
      <c r="D1105">
        <v>2</v>
      </c>
      <c r="E1105">
        <v>4</v>
      </c>
      <c r="F1105">
        <v>1</v>
      </c>
      <c r="G1105">
        <v>1972</v>
      </c>
      <c r="H1105" t="str">
        <f t="shared" si="52"/>
        <v>1950-1975</v>
      </c>
      <c r="I1105" t="s">
        <v>19</v>
      </c>
      <c r="J1105" t="s">
        <v>13</v>
      </c>
      <c r="K1105" t="s">
        <v>12</v>
      </c>
      <c r="L1105" s="4">
        <v>293761</v>
      </c>
      <c r="M1105" t="str">
        <f t="shared" si="53"/>
        <v>Medium</v>
      </c>
    </row>
    <row r="1106" spans="1:13" x14ac:dyDescent="0.35">
      <c r="A1106">
        <v>1105</v>
      </c>
      <c r="B1106">
        <v>3859</v>
      </c>
      <c r="C1106" t="str">
        <f t="shared" si="51"/>
        <v>Large</v>
      </c>
      <c r="D1106">
        <v>3</v>
      </c>
      <c r="E1106">
        <v>3</v>
      </c>
      <c r="F1106">
        <v>1</v>
      </c>
      <c r="G1106">
        <v>2010</v>
      </c>
      <c r="H1106" t="str">
        <f t="shared" si="52"/>
        <v>Post-2000</v>
      </c>
      <c r="I1106" t="s">
        <v>10</v>
      </c>
      <c r="J1106" t="s">
        <v>13</v>
      </c>
      <c r="K1106" t="s">
        <v>12</v>
      </c>
      <c r="L1106" s="4">
        <v>292821</v>
      </c>
      <c r="M1106" t="str">
        <f t="shared" si="53"/>
        <v>Medium</v>
      </c>
    </row>
    <row r="1107" spans="1:13" x14ac:dyDescent="0.35">
      <c r="A1107">
        <v>1106</v>
      </c>
      <c r="B1107">
        <v>900</v>
      </c>
      <c r="C1107" t="str">
        <f t="shared" si="51"/>
        <v>Small</v>
      </c>
      <c r="D1107">
        <v>1</v>
      </c>
      <c r="E1107">
        <v>1</v>
      </c>
      <c r="F1107">
        <v>2</v>
      </c>
      <c r="G1107">
        <v>1901</v>
      </c>
      <c r="H1107" t="str">
        <f t="shared" si="52"/>
        <v>Pre-1950</v>
      </c>
      <c r="I1107" t="s">
        <v>17</v>
      </c>
      <c r="J1107" t="s">
        <v>11</v>
      </c>
      <c r="K1107" t="s">
        <v>12</v>
      </c>
      <c r="L1107" s="4">
        <v>62875</v>
      </c>
      <c r="M1107" t="str">
        <f t="shared" si="53"/>
        <v>Low</v>
      </c>
    </row>
    <row r="1108" spans="1:13" x14ac:dyDescent="0.35">
      <c r="A1108">
        <v>1107</v>
      </c>
      <c r="B1108">
        <v>4490</v>
      </c>
      <c r="C1108" t="str">
        <f t="shared" si="51"/>
        <v>Extra Large</v>
      </c>
      <c r="D1108">
        <v>3</v>
      </c>
      <c r="E1108">
        <v>2</v>
      </c>
      <c r="F1108">
        <v>3</v>
      </c>
      <c r="G1108">
        <v>1992</v>
      </c>
      <c r="H1108" t="str">
        <f t="shared" si="52"/>
        <v>1976-2000</v>
      </c>
      <c r="I1108" t="s">
        <v>19</v>
      </c>
      <c r="J1108" t="s">
        <v>18</v>
      </c>
      <c r="K1108" t="s">
        <v>16</v>
      </c>
      <c r="L1108" s="4">
        <v>601507</v>
      </c>
      <c r="M1108" t="str">
        <f t="shared" si="53"/>
        <v>Premium</v>
      </c>
    </row>
    <row r="1109" spans="1:13" x14ac:dyDescent="0.35">
      <c r="A1109">
        <v>1108</v>
      </c>
      <c r="B1109">
        <v>3657</v>
      </c>
      <c r="C1109" t="str">
        <f t="shared" si="51"/>
        <v>Large</v>
      </c>
      <c r="D1109">
        <v>1</v>
      </c>
      <c r="E1109">
        <v>2</v>
      </c>
      <c r="F1109">
        <v>2</v>
      </c>
      <c r="G1109">
        <v>1996</v>
      </c>
      <c r="H1109" t="str">
        <f t="shared" si="52"/>
        <v>1976-2000</v>
      </c>
      <c r="I1109" t="s">
        <v>10</v>
      </c>
      <c r="J1109" t="s">
        <v>15</v>
      </c>
      <c r="K1109" t="s">
        <v>12</v>
      </c>
      <c r="L1109" s="4">
        <v>872614</v>
      </c>
      <c r="M1109" t="str">
        <f t="shared" si="53"/>
        <v>Premium</v>
      </c>
    </row>
    <row r="1110" spans="1:13" x14ac:dyDescent="0.35">
      <c r="A1110">
        <v>1109</v>
      </c>
      <c r="B1110">
        <v>4845</v>
      </c>
      <c r="C1110" t="str">
        <f t="shared" si="51"/>
        <v>Extra Large</v>
      </c>
      <c r="D1110">
        <v>4</v>
      </c>
      <c r="E1110">
        <v>2</v>
      </c>
      <c r="F1110">
        <v>1</v>
      </c>
      <c r="G1110">
        <v>1973</v>
      </c>
      <c r="H1110" t="str">
        <f t="shared" si="52"/>
        <v>1950-1975</v>
      </c>
      <c r="I1110" t="s">
        <v>19</v>
      </c>
      <c r="J1110" t="s">
        <v>11</v>
      </c>
      <c r="K1110" t="s">
        <v>12</v>
      </c>
      <c r="L1110" s="4">
        <v>785901</v>
      </c>
      <c r="M1110" t="str">
        <f t="shared" si="53"/>
        <v>Premium</v>
      </c>
    </row>
    <row r="1111" spans="1:13" x14ac:dyDescent="0.35">
      <c r="A1111">
        <v>1110</v>
      </c>
      <c r="B1111">
        <v>890</v>
      </c>
      <c r="C1111" t="str">
        <f t="shared" si="51"/>
        <v>Small</v>
      </c>
      <c r="D1111">
        <v>4</v>
      </c>
      <c r="E1111">
        <v>1</v>
      </c>
      <c r="F1111">
        <v>2</v>
      </c>
      <c r="G1111">
        <v>1997</v>
      </c>
      <c r="H1111" t="str">
        <f t="shared" si="52"/>
        <v>1976-2000</v>
      </c>
      <c r="I1111" t="s">
        <v>10</v>
      </c>
      <c r="J1111" t="s">
        <v>13</v>
      </c>
      <c r="K1111" t="s">
        <v>16</v>
      </c>
      <c r="L1111" s="4">
        <v>485485</v>
      </c>
      <c r="M1111" t="str">
        <f t="shared" si="53"/>
        <v>High</v>
      </c>
    </row>
    <row r="1112" spans="1:13" x14ac:dyDescent="0.35">
      <c r="A1112">
        <v>1111</v>
      </c>
      <c r="B1112">
        <v>4353</v>
      </c>
      <c r="C1112" t="str">
        <f t="shared" si="51"/>
        <v>Extra Large</v>
      </c>
      <c r="D1112">
        <v>5</v>
      </c>
      <c r="E1112">
        <v>2</v>
      </c>
      <c r="F1112">
        <v>3</v>
      </c>
      <c r="G1112">
        <v>2007</v>
      </c>
      <c r="H1112" t="str">
        <f t="shared" si="52"/>
        <v>Post-2000</v>
      </c>
      <c r="I1112" t="s">
        <v>19</v>
      </c>
      <c r="J1112" t="s">
        <v>18</v>
      </c>
      <c r="K1112" t="s">
        <v>16</v>
      </c>
      <c r="L1112" s="4">
        <v>391925</v>
      </c>
      <c r="M1112" t="str">
        <f t="shared" si="53"/>
        <v>Medium</v>
      </c>
    </row>
    <row r="1113" spans="1:13" x14ac:dyDescent="0.35">
      <c r="A1113">
        <v>1112</v>
      </c>
      <c r="B1113">
        <v>4930</v>
      </c>
      <c r="C1113" t="str">
        <f t="shared" si="51"/>
        <v>Extra Large</v>
      </c>
      <c r="D1113">
        <v>3</v>
      </c>
      <c r="E1113">
        <v>2</v>
      </c>
      <c r="F1113">
        <v>2</v>
      </c>
      <c r="G1113">
        <v>1954</v>
      </c>
      <c r="H1113" t="str">
        <f t="shared" si="52"/>
        <v>1950-1975</v>
      </c>
      <c r="I1113" t="s">
        <v>19</v>
      </c>
      <c r="J1113" t="s">
        <v>13</v>
      </c>
      <c r="K1113" t="s">
        <v>12</v>
      </c>
      <c r="L1113" s="4">
        <v>56457</v>
      </c>
      <c r="M1113" t="str">
        <f t="shared" si="53"/>
        <v>Low</v>
      </c>
    </row>
    <row r="1114" spans="1:13" x14ac:dyDescent="0.35">
      <c r="A1114">
        <v>1113</v>
      </c>
      <c r="B1114">
        <v>1128</v>
      </c>
      <c r="C1114" t="str">
        <f t="shared" si="51"/>
        <v>Medium</v>
      </c>
      <c r="D1114">
        <v>1</v>
      </c>
      <c r="E1114">
        <v>2</v>
      </c>
      <c r="F1114">
        <v>3</v>
      </c>
      <c r="G1114">
        <v>1971</v>
      </c>
      <c r="H1114" t="str">
        <f t="shared" si="52"/>
        <v>1950-1975</v>
      </c>
      <c r="I1114" t="s">
        <v>14</v>
      </c>
      <c r="J1114" t="s">
        <v>18</v>
      </c>
      <c r="K1114" t="s">
        <v>16</v>
      </c>
      <c r="L1114" s="4">
        <v>974253</v>
      </c>
      <c r="M1114" t="str">
        <f t="shared" si="53"/>
        <v>Premium</v>
      </c>
    </row>
    <row r="1115" spans="1:13" x14ac:dyDescent="0.35">
      <c r="A1115">
        <v>1114</v>
      </c>
      <c r="B1115">
        <v>4732</v>
      </c>
      <c r="C1115" t="str">
        <f t="shared" si="51"/>
        <v>Extra Large</v>
      </c>
      <c r="D1115">
        <v>4</v>
      </c>
      <c r="E1115">
        <v>3</v>
      </c>
      <c r="F1115">
        <v>3</v>
      </c>
      <c r="G1115">
        <v>2000</v>
      </c>
      <c r="H1115" t="str">
        <f t="shared" si="52"/>
        <v>1976-2000</v>
      </c>
      <c r="I1115" t="s">
        <v>10</v>
      </c>
      <c r="J1115" t="s">
        <v>18</v>
      </c>
      <c r="K1115" t="s">
        <v>12</v>
      </c>
      <c r="L1115" s="4">
        <v>83064</v>
      </c>
      <c r="M1115" t="str">
        <f t="shared" si="53"/>
        <v>Low</v>
      </c>
    </row>
    <row r="1116" spans="1:13" x14ac:dyDescent="0.35">
      <c r="A1116">
        <v>1115</v>
      </c>
      <c r="B1116">
        <v>3430</v>
      </c>
      <c r="C1116" t="str">
        <f t="shared" si="51"/>
        <v>Large</v>
      </c>
      <c r="D1116">
        <v>2</v>
      </c>
      <c r="E1116">
        <v>3</v>
      </c>
      <c r="F1116">
        <v>2</v>
      </c>
      <c r="G1116">
        <v>2017</v>
      </c>
      <c r="H1116" t="str">
        <f t="shared" si="52"/>
        <v>Post-2000</v>
      </c>
      <c r="I1116" t="s">
        <v>10</v>
      </c>
      <c r="J1116" t="s">
        <v>18</v>
      </c>
      <c r="K1116" t="s">
        <v>16</v>
      </c>
      <c r="L1116" s="4">
        <v>977325</v>
      </c>
      <c r="M1116" t="str">
        <f t="shared" si="53"/>
        <v>Premium</v>
      </c>
    </row>
    <row r="1117" spans="1:13" x14ac:dyDescent="0.35">
      <c r="A1117">
        <v>1116</v>
      </c>
      <c r="B1117">
        <v>2021</v>
      </c>
      <c r="C1117" t="str">
        <f t="shared" si="51"/>
        <v>Medium</v>
      </c>
      <c r="D1117">
        <v>4</v>
      </c>
      <c r="E1117">
        <v>1</v>
      </c>
      <c r="F1117">
        <v>1</v>
      </c>
      <c r="G1117">
        <v>1959</v>
      </c>
      <c r="H1117" t="str">
        <f t="shared" si="52"/>
        <v>1950-1975</v>
      </c>
      <c r="I1117" t="s">
        <v>10</v>
      </c>
      <c r="J1117" t="s">
        <v>11</v>
      </c>
      <c r="K1117" t="s">
        <v>16</v>
      </c>
      <c r="L1117" s="4">
        <v>689544</v>
      </c>
      <c r="M1117" t="str">
        <f t="shared" si="53"/>
        <v>Premium</v>
      </c>
    </row>
    <row r="1118" spans="1:13" x14ac:dyDescent="0.35">
      <c r="A1118">
        <v>1117</v>
      </c>
      <c r="B1118">
        <v>1326</v>
      </c>
      <c r="C1118" t="str">
        <f t="shared" si="51"/>
        <v>Medium</v>
      </c>
      <c r="D1118">
        <v>2</v>
      </c>
      <c r="E1118">
        <v>1</v>
      </c>
      <c r="F1118">
        <v>2</v>
      </c>
      <c r="G1118">
        <v>1996</v>
      </c>
      <c r="H1118" t="str">
        <f t="shared" si="52"/>
        <v>1976-2000</v>
      </c>
      <c r="I1118" t="s">
        <v>10</v>
      </c>
      <c r="J1118" t="s">
        <v>11</v>
      </c>
      <c r="K1118" t="s">
        <v>12</v>
      </c>
      <c r="L1118" s="4">
        <v>934729</v>
      </c>
      <c r="M1118" t="str">
        <f t="shared" si="53"/>
        <v>Premium</v>
      </c>
    </row>
    <row r="1119" spans="1:13" x14ac:dyDescent="0.35">
      <c r="A1119">
        <v>1118</v>
      </c>
      <c r="B1119">
        <v>2000</v>
      </c>
      <c r="C1119" t="str">
        <f t="shared" si="51"/>
        <v>Medium</v>
      </c>
      <c r="D1119">
        <v>1</v>
      </c>
      <c r="E1119">
        <v>2</v>
      </c>
      <c r="F1119">
        <v>1</v>
      </c>
      <c r="G1119">
        <v>2010</v>
      </c>
      <c r="H1119" t="str">
        <f t="shared" si="52"/>
        <v>Post-2000</v>
      </c>
      <c r="I1119" t="s">
        <v>19</v>
      </c>
      <c r="J1119" t="s">
        <v>11</v>
      </c>
      <c r="K1119" t="s">
        <v>16</v>
      </c>
      <c r="L1119" s="4">
        <v>808947</v>
      </c>
      <c r="M1119" t="str">
        <f t="shared" si="53"/>
        <v>Premium</v>
      </c>
    </row>
    <row r="1120" spans="1:13" x14ac:dyDescent="0.35">
      <c r="A1120">
        <v>1119</v>
      </c>
      <c r="B1120">
        <v>3794</v>
      </c>
      <c r="C1120" t="str">
        <f t="shared" si="51"/>
        <v>Large</v>
      </c>
      <c r="D1120">
        <v>4</v>
      </c>
      <c r="E1120">
        <v>3</v>
      </c>
      <c r="F1120">
        <v>1</v>
      </c>
      <c r="G1120">
        <v>1905</v>
      </c>
      <c r="H1120" t="str">
        <f t="shared" si="52"/>
        <v>Pre-1950</v>
      </c>
      <c r="I1120" t="s">
        <v>14</v>
      </c>
      <c r="J1120" t="s">
        <v>18</v>
      </c>
      <c r="K1120" t="s">
        <v>12</v>
      </c>
      <c r="L1120" s="4">
        <v>259727</v>
      </c>
      <c r="M1120" t="str">
        <f t="shared" si="53"/>
        <v>Medium</v>
      </c>
    </row>
    <row r="1121" spans="1:13" x14ac:dyDescent="0.35">
      <c r="A1121">
        <v>1120</v>
      </c>
      <c r="B1121">
        <v>2919</v>
      </c>
      <c r="C1121" t="str">
        <f t="shared" si="51"/>
        <v>Large</v>
      </c>
      <c r="D1121">
        <v>4</v>
      </c>
      <c r="E1121">
        <v>4</v>
      </c>
      <c r="F1121">
        <v>2</v>
      </c>
      <c r="G1121">
        <v>2007</v>
      </c>
      <c r="H1121" t="str">
        <f t="shared" si="52"/>
        <v>Post-2000</v>
      </c>
      <c r="I1121" t="s">
        <v>14</v>
      </c>
      <c r="J1121" t="s">
        <v>18</v>
      </c>
      <c r="K1121" t="s">
        <v>16</v>
      </c>
      <c r="L1121" s="4">
        <v>975168</v>
      </c>
      <c r="M1121" t="str">
        <f t="shared" si="53"/>
        <v>Premium</v>
      </c>
    </row>
    <row r="1122" spans="1:13" x14ac:dyDescent="0.35">
      <c r="A1122">
        <v>1121</v>
      </c>
      <c r="B1122">
        <v>1434</v>
      </c>
      <c r="C1122" t="str">
        <f t="shared" si="51"/>
        <v>Medium</v>
      </c>
      <c r="D1122">
        <v>1</v>
      </c>
      <c r="E1122">
        <v>4</v>
      </c>
      <c r="F1122">
        <v>1</v>
      </c>
      <c r="G1122">
        <v>2003</v>
      </c>
      <c r="H1122" t="str">
        <f t="shared" si="52"/>
        <v>Post-2000</v>
      </c>
      <c r="I1122" t="s">
        <v>17</v>
      </c>
      <c r="J1122" t="s">
        <v>13</v>
      </c>
      <c r="K1122" t="s">
        <v>16</v>
      </c>
      <c r="L1122" s="4">
        <v>210353</v>
      </c>
      <c r="M1122" t="str">
        <f t="shared" si="53"/>
        <v>Medium</v>
      </c>
    </row>
    <row r="1123" spans="1:13" x14ac:dyDescent="0.35">
      <c r="A1123">
        <v>1122</v>
      </c>
      <c r="B1123">
        <v>3542</v>
      </c>
      <c r="C1123" t="str">
        <f t="shared" si="51"/>
        <v>Large</v>
      </c>
      <c r="D1123">
        <v>4</v>
      </c>
      <c r="E1123">
        <v>2</v>
      </c>
      <c r="F1123">
        <v>1</v>
      </c>
      <c r="G1123">
        <v>2008</v>
      </c>
      <c r="H1123" t="str">
        <f t="shared" si="52"/>
        <v>Post-2000</v>
      </c>
      <c r="I1123" t="s">
        <v>10</v>
      </c>
      <c r="J1123" t="s">
        <v>15</v>
      </c>
      <c r="K1123" t="s">
        <v>16</v>
      </c>
      <c r="L1123" s="4">
        <v>832351</v>
      </c>
      <c r="M1123" t="str">
        <f t="shared" si="53"/>
        <v>Premium</v>
      </c>
    </row>
    <row r="1124" spans="1:13" x14ac:dyDescent="0.35">
      <c r="A1124">
        <v>1123</v>
      </c>
      <c r="B1124">
        <v>4997</v>
      </c>
      <c r="C1124" t="str">
        <f t="shared" si="51"/>
        <v>Extra Large</v>
      </c>
      <c r="D1124">
        <v>2</v>
      </c>
      <c r="E1124">
        <v>2</v>
      </c>
      <c r="F1124">
        <v>2</v>
      </c>
      <c r="G1124">
        <v>1918</v>
      </c>
      <c r="H1124" t="str">
        <f t="shared" si="52"/>
        <v>Pre-1950</v>
      </c>
      <c r="I1124" t="s">
        <v>17</v>
      </c>
      <c r="J1124" t="s">
        <v>11</v>
      </c>
      <c r="K1124" t="s">
        <v>12</v>
      </c>
      <c r="L1124" s="4">
        <v>286887</v>
      </c>
      <c r="M1124" t="str">
        <f t="shared" si="53"/>
        <v>Medium</v>
      </c>
    </row>
    <row r="1125" spans="1:13" x14ac:dyDescent="0.35">
      <c r="A1125">
        <v>1124</v>
      </c>
      <c r="B1125">
        <v>1966</v>
      </c>
      <c r="C1125" t="str">
        <f t="shared" si="51"/>
        <v>Medium</v>
      </c>
      <c r="D1125">
        <v>4</v>
      </c>
      <c r="E1125">
        <v>3</v>
      </c>
      <c r="F1125">
        <v>2</v>
      </c>
      <c r="G1125">
        <v>1995</v>
      </c>
      <c r="H1125" t="str">
        <f t="shared" si="52"/>
        <v>1976-2000</v>
      </c>
      <c r="I1125" t="s">
        <v>19</v>
      </c>
      <c r="J1125" t="s">
        <v>18</v>
      </c>
      <c r="K1125" t="s">
        <v>12</v>
      </c>
      <c r="L1125" s="4">
        <v>475037</v>
      </c>
      <c r="M1125" t="str">
        <f t="shared" si="53"/>
        <v>High</v>
      </c>
    </row>
    <row r="1126" spans="1:13" x14ac:dyDescent="0.35">
      <c r="A1126">
        <v>1125</v>
      </c>
      <c r="B1126">
        <v>4061</v>
      </c>
      <c r="C1126" t="str">
        <f t="shared" si="51"/>
        <v>Extra Large</v>
      </c>
      <c r="D1126">
        <v>3</v>
      </c>
      <c r="E1126">
        <v>3</v>
      </c>
      <c r="F1126">
        <v>2</v>
      </c>
      <c r="G1126">
        <v>1926</v>
      </c>
      <c r="H1126" t="str">
        <f t="shared" si="52"/>
        <v>Pre-1950</v>
      </c>
      <c r="I1126" t="s">
        <v>17</v>
      </c>
      <c r="J1126" t="s">
        <v>13</v>
      </c>
      <c r="K1126" t="s">
        <v>16</v>
      </c>
      <c r="L1126" s="4">
        <v>809129</v>
      </c>
      <c r="M1126" t="str">
        <f t="shared" si="53"/>
        <v>Premium</v>
      </c>
    </row>
    <row r="1127" spans="1:13" x14ac:dyDescent="0.35">
      <c r="A1127">
        <v>1126</v>
      </c>
      <c r="B1127">
        <v>1114</v>
      </c>
      <c r="C1127" t="str">
        <f t="shared" si="51"/>
        <v>Medium</v>
      </c>
      <c r="D1127">
        <v>5</v>
      </c>
      <c r="E1127">
        <v>3</v>
      </c>
      <c r="F1127">
        <v>1</v>
      </c>
      <c r="G1127">
        <v>1900</v>
      </c>
      <c r="H1127" t="str">
        <f t="shared" si="52"/>
        <v>Pre-1950</v>
      </c>
      <c r="I1127" t="s">
        <v>10</v>
      </c>
      <c r="J1127" t="s">
        <v>13</v>
      </c>
      <c r="K1127" t="s">
        <v>12</v>
      </c>
      <c r="L1127" s="4">
        <v>992151</v>
      </c>
      <c r="M1127" t="str">
        <f t="shared" si="53"/>
        <v>Premium</v>
      </c>
    </row>
    <row r="1128" spans="1:13" x14ac:dyDescent="0.35">
      <c r="A1128">
        <v>1127</v>
      </c>
      <c r="B1128">
        <v>1682</v>
      </c>
      <c r="C1128" t="str">
        <f t="shared" si="51"/>
        <v>Medium</v>
      </c>
      <c r="D1128">
        <v>2</v>
      </c>
      <c r="E1128">
        <v>1</v>
      </c>
      <c r="F1128">
        <v>3</v>
      </c>
      <c r="G1128">
        <v>2006</v>
      </c>
      <c r="H1128" t="str">
        <f t="shared" si="52"/>
        <v>Post-2000</v>
      </c>
      <c r="I1128" t="s">
        <v>14</v>
      </c>
      <c r="J1128" t="s">
        <v>13</v>
      </c>
      <c r="K1128" t="s">
        <v>12</v>
      </c>
      <c r="L1128" s="4">
        <v>644206</v>
      </c>
      <c r="M1128" t="str">
        <f t="shared" si="53"/>
        <v>Premium</v>
      </c>
    </row>
    <row r="1129" spans="1:13" x14ac:dyDescent="0.35">
      <c r="A1129">
        <v>1128</v>
      </c>
      <c r="B1129">
        <v>3723</v>
      </c>
      <c r="C1129" t="str">
        <f t="shared" si="51"/>
        <v>Large</v>
      </c>
      <c r="D1129">
        <v>3</v>
      </c>
      <c r="E1129">
        <v>1</v>
      </c>
      <c r="F1129">
        <v>1</v>
      </c>
      <c r="G1129">
        <v>2015</v>
      </c>
      <c r="H1129" t="str">
        <f t="shared" si="52"/>
        <v>Post-2000</v>
      </c>
      <c r="I1129" t="s">
        <v>14</v>
      </c>
      <c r="J1129" t="s">
        <v>11</v>
      </c>
      <c r="K1129" t="s">
        <v>12</v>
      </c>
      <c r="L1129" s="4">
        <v>263057</v>
      </c>
      <c r="M1129" t="str">
        <f t="shared" si="53"/>
        <v>Medium</v>
      </c>
    </row>
    <row r="1130" spans="1:13" x14ac:dyDescent="0.35">
      <c r="A1130">
        <v>1129</v>
      </c>
      <c r="B1130">
        <v>3167</v>
      </c>
      <c r="C1130" t="str">
        <f t="shared" si="51"/>
        <v>Large</v>
      </c>
      <c r="D1130">
        <v>1</v>
      </c>
      <c r="E1130">
        <v>2</v>
      </c>
      <c r="F1130">
        <v>3</v>
      </c>
      <c r="G1130">
        <v>1932</v>
      </c>
      <c r="H1130" t="str">
        <f t="shared" si="52"/>
        <v>Pre-1950</v>
      </c>
      <c r="I1130" t="s">
        <v>10</v>
      </c>
      <c r="J1130" t="s">
        <v>11</v>
      </c>
      <c r="K1130" t="s">
        <v>16</v>
      </c>
      <c r="L1130" s="4">
        <v>526015</v>
      </c>
      <c r="M1130" t="str">
        <f t="shared" si="53"/>
        <v>High</v>
      </c>
    </row>
    <row r="1131" spans="1:13" x14ac:dyDescent="0.35">
      <c r="A1131">
        <v>1130</v>
      </c>
      <c r="B1131">
        <v>630</v>
      </c>
      <c r="C1131" t="str">
        <f t="shared" si="51"/>
        <v>Small</v>
      </c>
      <c r="D1131">
        <v>2</v>
      </c>
      <c r="E1131">
        <v>1</v>
      </c>
      <c r="F1131">
        <v>2</v>
      </c>
      <c r="G1131">
        <v>1939</v>
      </c>
      <c r="H1131" t="str">
        <f t="shared" si="52"/>
        <v>Pre-1950</v>
      </c>
      <c r="I1131" t="s">
        <v>19</v>
      </c>
      <c r="J1131" t="s">
        <v>15</v>
      </c>
      <c r="K1131" t="s">
        <v>12</v>
      </c>
      <c r="L1131" s="4">
        <v>926611</v>
      </c>
      <c r="M1131" t="str">
        <f t="shared" si="53"/>
        <v>Premium</v>
      </c>
    </row>
    <row r="1132" spans="1:13" x14ac:dyDescent="0.35">
      <c r="A1132">
        <v>1131</v>
      </c>
      <c r="B1132">
        <v>3483</v>
      </c>
      <c r="C1132" t="str">
        <f t="shared" si="51"/>
        <v>Large</v>
      </c>
      <c r="D1132">
        <v>5</v>
      </c>
      <c r="E1132">
        <v>3</v>
      </c>
      <c r="F1132">
        <v>3</v>
      </c>
      <c r="G1132">
        <v>1931</v>
      </c>
      <c r="H1132" t="str">
        <f t="shared" si="52"/>
        <v>Pre-1950</v>
      </c>
      <c r="I1132" t="s">
        <v>10</v>
      </c>
      <c r="J1132" t="s">
        <v>13</v>
      </c>
      <c r="K1132" t="s">
        <v>16</v>
      </c>
      <c r="L1132" s="4">
        <v>387088</v>
      </c>
      <c r="M1132" t="str">
        <f t="shared" si="53"/>
        <v>Medium</v>
      </c>
    </row>
    <row r="1133" spans="1:13" x14ac:dyDescent="0.35">
      <c r="A1133">
        <v>1132</v>
      </c>
      <c r="B1133">
        <v>4778</v>
      </c>
      <c r="C1133" t="str">
        <f t="shared" si="51"/>
        <v>Extra Large</v>
      </c>
      <c r="D1133">
        <v>5</v>
      </c>
      <c r="E1133">
        <v>3</v>
      </c>
      <c r="F1133">
        <v>2</v>
      </c>
      <c r="G1133">
        <v>1968</v>
      </c>
      <c r="H1133" t="str">
        <f t="shared" si="52"/>
        <v>1950-1975</v>
      </c>
      <c r="I1133" t="s">
        <v>19</v>
      </c>
      <c r="J1133" t="s">
        <v>11</v>
      </c>
      <c r="K1133" t="s">
        <v>16</v>
      </c>
      <c r="L1133" s="4">
        <v>139142</v>
      </c>
      <c r="M1133" t="str">
        <f t="shared" si="53"/>
        <v>Low</v>
      </c>
    </row>
    <row r="1134" spans="1:13" x14ac:dyDescent="0.35">
      <c r="A1134">
        <v>1133</v>
      </c>
      <c r="B1134">
        <v>4959</v>
      </c>
      <c r="C1134" t="str">
        <f t="shared" si="51"/>
        <v>Extra Large</v>
      </c>
      <c r="D1134">
        <v>1</v>
      </c>
      <c r="E1134">
        <v>1</v>
      </c>
      <c r="F1134">
        <v>2</v>
      </c>
      <c r="G1134">
        <v>1916</v>
      </c>
      <c r="H1134" t="str">
        <f t="shared" si="52"/>
        <v>Pre-1950</v>
      </c>
      <c r="I1134" t="s">
        <v>14</v>
      </c>
      <c r="J1134" t="s">
        <v>13</v>
      </c>
      <c r="K1134" t="s">
        <v>16</v>
      </c>
      <c r="L1134" s="4">
        <v>77603</v>
      </c>
      <c r="M1134" t="str">
        <f t="shared" si="53"/>
        <v>Low</v>
      </c>
    </row>
    <row r="1135" spans="1:13" x14ac:dyDescent="0.35">
      <c r="A1135">
        <v>1134</v>
      </c>
      <c r="B1135">
        <v>538</v>
      </c>
      <c r="C1135" t="str">
        <f t="shared" si="51"/>
        <v>Small</v>
      </c>
      <c r="D1135">
        <v>1</v>
      </c>
      <c r="E1135">
        <v>4</v>
      </c>
      <c r="F1135">
        <v>3</v>
      </c>
      <c r="G1135">
        <v>1907</v>
      </c>
      <c r="H1135" t="str">
        <f t="shared" si="52"/>
        <v>Pre-1950</v>
      </c>
      <c r="I1135" t="s">
        <v>19</v>
      </c>
      <c r="J1135" t="s">
        <v>18</v>
      </c>
      <c r="K1135" t="s">
        <v>16</v>
      </c>
      <c r="L1135" s="4">
        <v>882890</v>
      </c>
      <c r="M1135" t="str">
        <f t="shared" si="53"/>
        <v>Premium</v>
      </c>
    </row>
    <row r="1136" spans="1:13" x14ac:dyDescent="0.35">
      <c r="A1136">
        <v>1135</v>
      </c>
      <c r="B1136">
        <v>4459</v>
      </c>
      <c r="C1136" t="str">
        <f t="shared" si="51"/>
        <v>Extra Large</v>
      </c>
      <c r="D1136">
        <v>2</v>
      </c>
      <c r="E1136">
        <v>2</v>
      </c>
      <c r="F1136">
        <v>2</v>
      </c>
      <c r="G1136">
        <v>1956</v>
      </c>
      <c r="H1136" t="str">
        <f t="shared" si="52"/>
        <v>1950-1975</v>
      </c>
      <c r="I1136" t="s">
        <v>10</v>
      </c>
      <c r="J1136" t="s">
        <v>13</v>
      </c>
      <c r="K1136" t="s">
        <v>16</v>
      </c>
      <c r="L1136" s="4">
        <v>120605</v>
      </c>
      <c r="M1136" t="str">
        <f t="shared" si="53"/>
        <v>Low</v>
      </c>
    </row>
    <row r="1137" spans="1:13" x14ac:dyDescent="0.35">
      <c r="A1137">
        <v>1136</v>
      </c>
      <c r="B1137">
        <v>4087</v>
      </c>
      <c r="C1137" t="str">
        <f t="shared" si="51"/>
        <v>Extra Large</v>
      </c>
      <c r="D1137">
        <v>4</v>
      </c>
      <c r="E1137">
        <v>4</v>
      </c>
      <c r="F1137">
        <v>3</v>
      </c>
      <c r="G1137">
        <v>1941</v>
      </c>
      <c r="H1137" t="str">
        <f t="shared" si="52"/>
        <v>Pre-1950</v>
      </c>
      <c r="I1137" t="s">
        <v>10</v>
      </c>
      <c r="J1137" t="s">
        <v>15</v>
      </c>
      <c r="K1137" t="s">
        <v>12</v>
      </c>
      <c r="L1137" s="4">
        <v>331767</v>
      </c>
      <c r="M1137" t="str">
        <f t="shared" si="53"/>
        <v>Medium</v>
      </c>
    </row>
    <row r="1138" spans="1:13" x14ac:dyDescent="0.35">
      <c r="A1138">
        <v>1137</v>
      </c>
      <c r="B1138">
        <v>1420</v>
      </c>
      <c r="C1138" t="str">
        <f t="shared" si="51"/>
        <v>Medium</v>
      </c>
      <c r="D1138">
        <v>1</v>
      </c>
      <c r="E1138">
        <v>2</v>
      </c>
      <c r="F1138">
        <v>2</v>
      </c>
      <c r="G1138">
        <v>1997</v>
      </c>
      <c r="H1138" t="str">
        <f t="shared" si="52"/>
        <v>1976-2000</v>
      </c>
      <c r="I1138" t="s">
        <v>10</v>
      </c>
      <c r="J1138" t="s">
        <v>11</v>
      </c>
      <c r="K1138" t="s">
        <v>12</v>
      </c>
      <c r="L1138" s="4">
        <v>618728</v>
      </c>
      <c r="M1138" t="str">
        <f t="shared" si="53"/>
        <v>Premium</v>
      </c>
    </row>
    <row r="1139" spans="1:13" x14ac:dyDescent="0.35">
      <c r="A1139">
        <v>1138</v>
      </c>
      <c r="B1139">
        <v>3269</v>
      </c>
      <c r="C1139" t="str">
        <f t="shared" si="51"/>
        <v>Large</v>
      </c>
      <c r="D1139">
        <v>4</v>
      </c>
      <c r="E1139">
        <v>4</v>
      </c>
      <c r="F1139">
        <v>1</v>
      </c>
      <c r="G1139">
        <v>1908</v>
      </c>
      <c r="H1139" t="str">
        <f t="shared" si="52"/>
        <v>Pre-1950</v>
      </c>
      <c r="I1139" t="s">
        <v>19</v>
      </c>
      <c r="J1139" t="s">
        <v>18</v>
      </c>
      <c r="K1139" t="s">
        <v>16</v>
      </c>
      <c r="L1139" s="4">
        <v>918859</v>
      </c>
      <c r="M1139" t="str">
        <f t="shared" si="53"/>
        <v>Premium</v>
      </c>
    </row>
    <row r="1140" spans="1:13" x14ac:dyDescent="0.35">
      <c r="A1140">
        <v>1139</v>
      </c>
      <c r="B1140">
        <v>4611</v>
      </c>
      <c r="C1140" t="str">
        <f t="shared" si="51"/>
        <v>Extra Large</v>
      </c>
      <c r="D1140">
        <v>3</v>
      </c>
      <c r="E1140">
        <v>1</v>
      </c>
      <c r="F1140">
        <v>1</v>
      </c>
      <c r="G1140">
        <v>2019</v>
      </c>
      <c r="H1140" t="str">
        <f t="shared" si="52"/>
        <v>Post-2000</v>
      </c>
      <c r="I1140" t="s">
        <v>19</v>
      </c>
      <c r="J1140" t="s">
        <v>11</v>
      </c>
      <c r="K1140" t="s">
        <v>12</v>
      </c>
      <c r="L1140" s="4">
        <v>975208</v>
      </c>
      <c r="M1140" t="str">
        <f t="shared" si="53"/>
        <v>Premium</v>
      </c>
    </row>
    <row r="1141" spans="1:13" x14ac:dyDescent="0.35">
      <c r="A1141">
        <v>1140</v>
      </c>
      <c r="B1141">
        <v>992</v>
      </c>
      <c r="C1141" t="str">
        <f t="shared" si="51"/>
        <v>Small</v>
      </c>
      <c r="D1141">
        <v>5</v>
      </c>
      <c r="E1141">
        <v>2</v>
      </c>
      <c r="F1141">
        <v>2</v>
      </c>
      <c r="G1141">
        <v>1986</v>
      </c>
      <c r="H1141" t="str">
        <f t="shared" si="52"/>
        <v>1976-2000</v>
      </c>
      <c r="I1141" t="s">
        <v>19</v>
      </c>
      <c r="J1141" t="s">
        <v>18</v>
      </c>
      <c r="K1141" t="s">
        <v>12</v>
      </c>
      <c r="L1141" s="4">
        <v>405970</v>
      </c>
      <c r="M1141" t="str">
        <f t="shared" si="53"/>
        <v>High</v>
      </c>
    </row>
    <row r="1142" spans="1:13" x14ac:dyDescent="0.35">
      <c r="A1142">
        <v>1141</v>
      </c>
      <c r="B1142">
        <v>1631</v>
      </c>
      <c r="C1142" t="str">
        <f t="shared" si="51"/>
        <v>Medium</v>
      </c>
      <c r="D1142">
        <v>4</v>
      </c>
      <c r="E1142">
        <v>2</v>
      </c>
      <c r="F1142">
        <v>2</v>
      </c>
      <c r="G1142">
        <v>1934</v>
      </c>
      <c r="H1142" t="str">
        <f t="shared" si="52"/>
        <v>Pre-1950</v>
      </c>
      <c r="I1142" t="s">
        <v>14</v>
      </c>
      <c r="J1142" t="s">
        <v>13</v>
      </c>
      <c r="K1142" t="s">
        <v>12</v>
      </c>
      <c r="L1142" s="4">
        <v>339604</v>
      </c>
      <c r="M1142" t="str">
        <f t="shared" si="53"/>
        <v>Medium</v>
      </c>
    </row>
    <row r="1143" spans="1:13" x14ac:dyDescent="0.35">
      <c r="A1143">
        <v>1142</v>
      </c>
      <c r="B1143">
        <v>4021</v>
      </c>
      <c r="C1143" t="str">
        <f t="shared" si="51"/>
        <v>Extra Large</v>
      </c>
      <c r="D1143">
        <v>5</v>
      </c>
      <c r="E1143">
        <v>2</v>
      </c>
      <c r="F1143">
        <v>3</v>
      </c>
      <c r="G1143">
        <v>2013</v>
      </c>
      <c r="H1143" t="str">
        <f t="shared" si="52"/>
        <v>Post-2000</v>
      </c>
      <c r="I1143" t="s">
        <v>17</v>
      </c>
      <c r="J1143" t="s">
        <v>13</v>
      </c>
      <c r="K1143" t="s">
        <v>12</v>
      </c>
      <c r="L1143" s="4">
        <v>264117</v>
      </c>
      <c r="M1143" t="str">
        <f t="shared" si="53"/>
        <v>Medium</v>
      </c>
    </row>
    <row r="1144" spans="1:13" x14ac:dyDescent="0.35">
      <c r="A1144">
        <v>1143</v>
      </c>
      <c r="B1144">
        <v>810</v>
      </c>
      <c r="C1144" t="str">
        <f t="shared" si="51"/>
        <v>Small</v>
      </c>
      <c r="D1144">
        <v>4</v>
      </c>
      <c r="E1144">
        <v>3</v>
      </c>
      <c r="F1144">
        <v>1</v>
      </c>
      <c r="G1144">
        <v>1970</v>
      </c>
      <c r="H1144" t="str">
        <f t="shared" si="52"/>
        <v>1950-1975</v>
      </c>
      <c r="I1144" t="s">
        <v>17</v>
      </c>
      <c r="J1144" t="s">
        <v>15</v>
      </c>
      <c r="K1144" t="s">
        <v>12</v>
      </c>
      <c r="L1144" s="4">
        <v>788165</v>
      </c>
      <c r="M1144" t="str">
        <f t="shared" si="53"/>
        <v>Premium</v>
      </c>
    </row>
    <row r="1145" spans="1:13" x14ac:dyDescent="0.35">
      <c r="A1145">
        <v>1144</v>
      </c>
      <c r="B1145">
        <v>1238</v>
      </c>
      <c r="C1145" t="str">
        <f t="shared" si="51"/>
        <v>Medium</v>
      </c>
      <c r="D1145">
        <v>3</v>
      </c>
      <c r="E1145">
        <v>3</v>
      </c>
      <c r="F1145">
        <v>3</v>
      </c>
      <c r="G1145">
        <v>1978</v>
      </c>
      <c r="H1145" t="str">
        <f t="shared" si="52"/>
        <v>1976-2000</v>
      </c>
      <c r="I1145" t="s">
        <v>10</v>
      </c>
      <c r="J1145" t="s">
        <v>15</v>
      </c>
      <c r="K1145" t="s">
        <v>12</v>
      </c>
      <c r="L1145" s="4">
        <v>516727</v>
      </c>
      <c r="M1145" t="str">
        <f t="shared" si="53"/>
        <v>High</v>
      </c>
    </row>
    <row r="1146" spans="1:13" x14ac:dyDescent="0.35">
      <c r="A1146">
        <v>1145</v>
      </c>
      <c r="B1146">
        <v>3741</v>
      </c>
      <c r="C1146" t="str">
        <f t="shared" si="51"/>
        <v>Large</v>
      </c>
      <c r="D1146">
        <v>1</v>
      </c>
      <c r="E1146">
        <v>4</v>
      </c>
      <c r="F1146">
        <v>2</v>
      </c>
      <c r="G1146">
        <v>1952</v>
      </c>
      <c r="H1146" t="str">
        <f t="shared" si="52"/>
        <v>1950-1975</v>
      </c>
      <c r="I1146" t="s">
        <v>14</v>
      </c>
      <c r="J1146" t="s">
        <v>18</v>
      </c>
      <c r="K1146" t="s">
        <v>12</v>
      </c>
      <c r="L1146" s="4">
        <v>160373</v>
      </c>
      <c r="M1146" t="str">
        <f t="shared" si="53"/>
        <v>Low</v>
      </c>
    </row>
    <row r="1147" spans="1:13" x14ac:dyDescent="0.35">
      <c r="A1147">
        <v>1146</v>
      </c>
      <c r="B1147">
        <v>1045</v>
      </c>
      <c r="C1147" t="str">
        <f t="shared" si="51"/>
        <v>Medium</v>
      </c>
      <c r="D1147">
        <v>3</v>
      </c>
      <c r="E1147">
        <v>1</v>
      </c>
      <c r="F1147">
        <v>2</v>
      </c>
      <c r="G1147">
        <v>1953</v>
      </c>
      <c r="H1147" t="str">
        <f t="shared" si="52"/>
        <v>1950-1975</v>
      </c>
      <c r="I1147" t="s">
        <v>19</v>
      </c>
      <c r="J1147" t="s">
        <v>15</v>
      </c>
      <c r="K1147" t="s">
        <v>16</v>
      </c>
      <c r="L1147" s="4">
        <v>974069</v>
      </c>
      <c r="M1147" t="str">
        <f t="shared" si="53"/>
        <v>Premium</v>
      </c>
    </row>
    <row r="1148" spans="1:13" x14ac:dyDescent="0.35">
      <c r="A1148">
        <v>1147</v>
      </c>
      <c r="B1148">
        <v>2961</v>
      </c>
      <c r="C1148" t="str">
        <f t="shared" si="51"/>
        <v>Large</v>
      </c>
      <c r="D1148">
        <v>1</v>
      </c>
      <c r="E1148">
        <v>3</v>
      </c>
      <c r="F1148">
        <v>3</v>
      </c>
      <c r="G1148">
        <v>1983</v>
      </c>
      <c r="H1148" t="str">
        <f t="shared" si="52"/>
        <v>1976-2000</v>
      </c>
      <c r="I1148" t="s">
        <v>10</v>
      </c>
      <c r="J1148" t="s">
        <v>15</v>
      </c>
      <c r="K1148" t="s">
        <v>16</v>
      </c>
      <c r="L1148" s="4">
        <v>317014</v>
      </c>
      <c r="M1148" t="str">
        <f t="shared" si="53"/>
        <v>Medium</v>
      </c>
    </row>
    <row r="1149" spans="1:13" x14ac:dyDescent="0.35">
      <c r="A1149">
        <v>1148</v>
      </c>
      <c r="B1149">
        <v>4846</v>
      </c>
      <c r="C1149" t="str">
        <f t="shared" si="51"/>
        <v>Extra Large</v>
      </c>
      <c r="D1149">
        <v>1</v>
      </c>
      <c r="E1149">
        <v>2</v>
      </c>
      <c r="F1149">
        <v>2</v>
      </c>
      <c r="G1149">
        <v>2013</v>
      </c>
      <c r="H1149" t="str">
        <f t="shared" si="52"/>
        <v>Post-2000</v>
      </c>
      <c r="I1149" t="s">
        <v>14</v>
      </c>
      <c r="J1149" t="s">
        <v>15</v>
      </c>
      <c r="K1149" t="s">
        <v>16</v>
      </c>
      <c r="L1149" s="4">
        <v>68909</v>
      </c>
      <c r="M1149" t="str">
        <f t="shared" si="53"/>
        <v>Low</v>
      </c>
    </row>
    <row r="1150" spans="1:13" x14ac:dyDescent="0.35">
      <c r="A1150">
        <v>1149</v>
      </c>
      <c r="B1150">
        <v>2304</v>
      </c>
      <c r="C1150" t="str">
        <f t="shared" si="51"/>
        <v>Medium</v>
      </c>
      <c r="D1150">
        <v>5</v>
      </c>
      <c r="E1150">
        <v>3</v>
      </c>
      <c r="F1150">
        <v>1</v>
      </c>
      <c r="G1150">
        <v>1924</v>
      </c>
      <c r="H1150" t="str">
        <f t="shared" si="52"/>
        <v>Pre-1950</v>
      </c>
      <c r="I1150" t="s">
        <v>10</v>
      </c>
      <c r="J1150" t="s">
        <v>15</v>
      </c>
      <c r="K1150" t="s">
        <v>12</v>
      </c>
      <c r="L1150" s="4">
        <v>321261</v>
      </c>
      <c r="M1150" t="str">
        <f t="shared" si="53"/>
        <v>Medium</v>
      </c>
    </row>
    <row r="1151" spans="1:13" x14ac:dyDescent="0.35">
      <c r="A1151">
        <v>1150</v>
      </c>
      <c r="B1151">
        <v>3712</v>
      </c>
      <c r="C1151" t="str">
        <f t="shared" si="51"/>
        <v>Large</v>
      </c>
      <c r="D1151">
        <v>3</v>
      </c>
      <c r="E1151">
        <v>1</v>
      </c>
      <c r="F1151">
        <v>3</v>
      </c>
      <c r="G1151">
        <v>1966</v>
      </c>
      <c r="H1151" t="str">
        <f t="shared" si="52"/>
        <v>1950-1975</v>
      </c>
      <c r="I1151" t="s">
        <v>14</v>
      </c>
      <c r="J1151" t="s">
        <v>13</v>
      </c>
      <c r="K1151" t="s">
        <v>12</v>
      </c>
      <c r="L1151" s="4">
        <v>299975</v>
      </c>
      <c r="M1151" t="str">
        <f t="shared" si="53"/>
        <v>Medium</v>
      </c>
    </row>
    <row r="1152" spans="1:13" x14ac:dyDescent="0.35">
      <c r="A1152">
        <v>1151</v>
      </c>
      <c r="B1152">
        <v>4310</v>
      </c>
      <c r="C1152" t="str">
        <f t="shared" si="51"/>
        <v>Extra Large</v>
      </c>
      <c r="D1152">
        <v>4</v>
      </c>
      <c r="E1152">
        <v>3</v>
      </c>
      <c r="F1152">
        <v>1</v>
      </c>
      <c r="G1152">
        <v>2023</v>
      </c>
      <c r="H1152" t="str">
        <f t="shared" si="52"/>
        <v>Post-2000</v>
      </c>
      <c r="I1152" t="s">
        <v>14</v>
      </c>
      <c r="J1152" t="s">
        <v>15</v>
      </c>
      <c r="K1152" t="s">
        <v>16</v>
      </c>
      <c r="L1152" s="4">
        <v>903906</v>
      </c>
      <c r="M1152" t="str">
        <f t="shared" si="53"/>
        <v>Premium</v>
      </c>
    </row>
    <row r="1153" spans="1:13" x14ac:dyDescent="0.35">
      <c r="A1153">
        <v>1152</v>
      </c>
      <c r="B1153">
        <v>1313</v>
      </c>
      <c r="C1153" t="str">
        <f t="shared" si="51"/>
        <v>Medium</v>
      </c>
      <c r="D1153">
        <v>3</v>
      </c>
      <c r="E1153">
        <v>2</v>
      </c>
      <c r="F1153">
        <v>1</v>
      </c>
      <c r="G1153">
        <v>1961</v>
      </c>
      <c r="H1153" t="str">
        <f t="shared" si="52"/>
        <v>1950-1975</v>
      </c>
      <c r="I1153" t="s">
        <v>17</v>
      </c>
      <c r="J1153" t="s">
        <v>13</v>
      </c>
      <c r="K1153" t="s">
        <v>12</v>
      </c>
      <c r="L1153" s="4">
        <v>668214</v>
      </c>
      <c r="M1153" t="str">
        <f t="shared" si="53"/>
        <v>Premium</v>
      </c>
    </row>
    <row r="1154" spans="1:13" x14ac:dyDescent="0.35">
      <c r="A1154">
        <v>1153</v>
      </c>
      <c r="B1154">
        <v>4624</v>
      </c>
      <c r="C1154" t="str">
        <f t="shared" si="51"/>
        <v>Extra Large</v>
      </c>
      <c r="D1154">
        <v>5</v>
      </c>
      <c r="E1154">
        <v>4</v>
      </c>
      <c r="F1154">
        <v>1</v>
      </c>
      <c r="G1154">
        <v>1954</v>
      </c>
      <c r="H1154" t="str">
        <f t="shared" si="52"/>
        <v>1950-1975</v>
      </c>
      <c r="I1154" t="s">
        <v>10</v>
      </c>
      <c r="J1154" t="s">
        <v>13</v>
      </c>
      <c r="K1154" t="s">
        <v>12</v>
      </c>
      <c r="L1154" s="4">
        <v>487538</v>
      </c>
      <c r="M1154" t="str">
        <f t="shared" si="53"/>
        <v>High</v>
      </c>
    </row>
    <row r="1155" spans="1:13" x14ac:dyDescent="0.35">
      <c r="A1155">
        <v>1154</v>
      </c>
      <c r="B1155">
        <v>2532</v>
      </c>
      <c r="C1155" t="str">
        <f t="shared" ref="C1155:C1218" si="54">IF(B1155&lt;=1000,"Small",IF(B1155&lt;=2500,"Medium",IF(B1155&lt;=4000,"Large",IF(B1155&gt;=4000,"Extra Large"))))</f>
        <v>Large</v>
      </c>
      <c r="D1155">
        <v>1</v>
      </c>
      <c r="E1155">
        <v>2</v>
      </c>
      <c r="F1155">
        <v>3</v>
      </c>
      <c r="G1155">
        <v>1945</v>
      </c>
      <c r="H1155" t="str">
        <f t="shared" ref="H1155:H1218" si="55">IF(G1155&lt;=1950,"Pre-1950",IF(G1155&lt;=1975,"1950-1975",IF(G1155&lt;=2000,"1976-2000",IF(G1155&gt;=2000,"Post-2000"))))</f>
        <v>Pre-1950</v>
      </c>
      <c r="I1155" t="s">
        <v>19</v>
      </c>
      <c r="J1155" t="s">
        <v>11</v>
      </c>
      <c r="K1155" t="s">
        <v>16</v>
      </c>
      <c r="L1155" s="4">
        <v>177463</v>
      </c>
      <c r="M1155" t="str">
        <f t="shared" ref="M1155:M1218" si="56">IF(L1155&lt;=200000,"Low",IF(L1155&lt;=400000,"Medium",IF(L1155&lt;=600000,"High",IF(L1155&gt;=600000,"Premium",""))))</f>
        <v>Low</v>
      </c>
    </row>
    <row r="1156" spans="1:13" x14ac:dyDescent="0.35">
      <c r="A1156">
        <v>1155</v>
      </c>
      <c r="B1156">
        <v>4913</v>
      </c>
      <c r="C1156" t="str">
        <f t="shared" si="54"/>
        <v>Extra Large</v>
      </c>
      <c r="D1156">
        <v>5</v>
      </c>
      <c r="E1156">
        <v>1</v>
      </c>
      <c r="F1156">
        <v>2</v>
      </c>
      <c r="G1156">
        <v>1923</v>
      </c>
      <c r="H1156" t="str">
        <f t="shared" si="55"/>
        <v>Pre-1950</v>
      </c>
      <c r="I1156" t="s">
        <v>17</v>
      </c>
      <c r="J1156" t="s">
        <v>13</v>
      </c>
      <c r="K1156" t="s">
        <v>16</v>
      </c>
      <c r="L1156" s="4">
        <v>151536</v>
      </c>
      <c r="M1156" t="str">
        <f t="shared" si="56"/>
        <v>Low</v>
      </c>
    </row>
    <row r="1157" spans="1:13" x14ac:dyDescent="0.35">
      <c r="A1157">
        <v>1156</v>
      </c>
      <c r="B1157">
        <v>744</v>
      </c>
      <c r="C1157" t="str">
        <f t="shared" si="54"/>
        <v>Small</v>
      </c>
      <c r="D1157">
        <v>2</v>
      </c>
      <c r="E1157">
        <v>4</v>
      </c>
      <c r="F1157">
        <v>1</v>
      </c>
      <c r="G1157">
        <v>1997</v>
      </c>
      <c r="H1157" t="str">
        <f t="shared" si="55"/>
        <v>1976-2000</v>
      </c>
      <c r="I1157" t="s">
        <v>17</v>
      </c>
      <c r="J1157" t="s">
        <v>13</v>
      </c>
      <c r="K1157" t="s">
        <v>16</v>
      </c>
      <c r="L1157" s="4">
        <v>856560</v>
      </c>
      <c r="M1157" t="str">
        <f t="shared" si="56"/>
        <v>Premium</v>
      </c>
    </row>
    <row r="1158" spans="1:13" x14ac:dyDescent="0.35">
      <c r="A1158">
        <v>1157</v>
      </c>
      <c r="B1158">
        <v>771</v>
      </c>
      <c r="C1158" t="str">
        <f t="shared" si="54"/>
        <v>Small</v>
      </c>
      <c r="D1158">
        <v>2</v>
      </c>
      <c r="E1158">
        <v>3</v>
      </c>
      <c r="F1158">
        <v>1</v>
      </c>
      <c r="G1158">
        <v>1945</v>
      </c>
      <c r="H1158" t="str">
        <f t="shared" si="55"/>
        <v>Pre-1950</v>
      </c>
      <c r="I1158" t="s">
        <v>19</v>
      </c>
      <c r="J1158" t="s">
        <v>15</v>
      </c>
      <c r="K1158" t="s">
        <v>12</v>
      </c>
      <c r="L1158" s="4">
        <v>301981</v>
      </c>
      <c r="M1158" t="str">
        <f t="shared" si="56"/>
        <v>Medium</v>
      </c>
    </row>
    <row r="1159" spans="1:13" x14ac:dyDescent="0.35">
      <c r="A1159">
        <v>1158</v>
      </c>
      <c r="B1159">
        <v>4011</v>
      </c>
      <c r="C1159" t="str">
        <f t="shared" si="54"/>
        <v>Extra Large</v>
      </c>
      <c r="D1159">
        <v>4</v>
      </c>
      <c r="E1159">
        <v>3</v>
      </c>
      <c r="F1159">
        <v>1</v>
      </c>
      <c r="G1159">
        <v>1921</v>
      </c>
      <c r="H1159" t="str">
        <f t="shared" si="55"/>
        <v>Pre-1950</v>
      </c>
      <c r="I1159" t="s">
        <v>14</v>
      </c>
      <c r="J1159" t="s">
        <v>13</v>
      </c>
      <c r="K1159" t="s">
        <v>12</v>
      </c>
      <c r="L1159" s="4">
        <v>540533</v>
      </c>
      <c r="M1159" t="str">
        <f t="shared" si="56"/>
        <v>High</v>
      </c>
    </row>
    <row r="1160" spans="1:13" x14ac:dyDescent="0.35">
      <c r="A1160">
        <v>1159</v>
      </c>
      <c r="B1160">
        <v>2271</v>
      </c>
      <c r="C1160" t="str">
        <f t="shared" si="54"/>
        <v>Medium</v>
      </c>
      <c r="D1160">
        <v>5</v>
      </c>
      <c r="E1160">
        <v>3</v>
      </c>
      <c r="F1160">
        <v>2</v>
      </c>
      <c r="G1160">
        <v>1910</v>
      </c>
      <c r="H1160" t="str">
        <f t="shared" si="55"/>
        <v>Pre-1950</v>
      </c>
      <c r="I1160" t="s">
        <v>19</v>
      </c>
      <c r="J1160" t="s">
        <v>18</v>
      </c>
      <c r="K1160" t="s">
        <v>12</v>
      </c>
      <c r="L1160" s="4">
        <v>381145</v>
      </c>
      <c r="M1160" t="str">
        <f t="shared" si="56"/>
        <v>Medium</v>
      </c>
    </row>
    <row r="1161" spans="1:13" x14ac:dyDescent="0.35">
      <c r="A1161">
        <v>1160</v>
      </c>
      <c r="B1161">
        <v>1762</v>
      </c>
      <c r="C1161" t="str">
        <f t="shared" si="54"/>
        <v>Medium</v>
      </c>
      <c r="D1161">
        <v>4</v>
      </c>
      <c r="E1161">
        <v>4</v>
      </c>
      <c r="F1161">
        <v>2</v>
      </c>
      <c r="G1161">
        <v>1947</v>
      </c>
      <c r="H1161" t="str">
        <f t="shared" si="55"/>
        <v>Pre-1950</v>
      </c>
      <c r="I1161" t="s">
        <v>10</v>
      </c>
      <c r="J1161" t="s">
        <v>15</v>
      </c>
      <c r="K1161" t="s">
        <v>16</v>
      </c>
      <c r="L1161" s="4">
        <v>836872</v>
      </c>
      <c r="M1161" t="str">
        <f t="shared" si="56"/>
        <v>Premium</v>
      </c>
    </row>
    <row r="1162" spans="1:13" x14ac:dyDescent="0.35">
      <c r="A1162">
        <v>1161</v>
      </c>
      <c r="B1162">
        <v>2924</v>
      </c>
      <c r="C1162" t="str">
        <f t="shared" si="54"/>
        <v>Large</v>
      </c>
      <c r="D1162">
        <v>4</v>
      </c>
      <c r="E1162">
        <v>2</v>
      </c>
      <c r="F1162">
        <v>3</v>
      </c>
      <c r="G1162">
        <v>1907</v>
      </c>
      <c r="H1162" t="str">
        <f t="shared" si="55"/>
        <v>Pre-1950</v>
      </c>
      <c r="I1162" t="s">
        <v>19</v>
      </c>
      <c r="J1162" t="s">
        <v>15</v>
      </c>
      <c r="K1162" t="s">
        <v>16</v>
      </c>
      <c r="L1162" s="4">
        <v>230685</v>
      </c>
      <c r="M1162" t="str">
        <f t="shared" si="56"/>
        <v>Medium</v>
      </c>
    </row>
    <row r="1163" spans="1:13" x14ac:dyDescent="0.35">
      <c r="A1163">
        <v>1162</v>
      </c>
      <c r="B1163">
        <v>4861</v>
      </c>
      <c r="C1163" t="str">
        <f t="shared" si="54"/>
        <v>Extra Large</v>
      </c>
      <c r="D1163">
        <v>2</v>
      </c>
      <c r="E1163">
        <v>4</v>
      </c>
      <c r="F1163">
        <v>2</v>
      </c>
      <c r="G1163">
        <v>1938</v>
      </c>
      <c r="H1163" t="str">
        <f t="shared" si="55"/>
        <v>Pre-1950</v>
      </c>
      <c r="I1163" t="s">
        <v>14</v>
      </c>
      <c r="J1163" t="s">
        <v>15</v>
      </c>
      <c r="K1163" t="s">
        <v>12</v>
      </c>
      <c r="L1163" s="4">
        <v>697779</v>
      </c>
      <c r="M1163" t="str">
        <f t="shared" si="56"/>
        <v>Premium</v>
      </c>
    </row>
    <row r="1164" spans="1:13" x14ac:dyDescent="0.35">
      <c r="A1164">
        <v>1163</v>
      </c>
      <c r="B1164">
        <v>1420</v>
      </c>
      <c r="C1164" t="str">
        <f t="shared" si="54"/>
        <v>Medium</v>
      </c>
      <c r="D1164">
        <v>4</v>
      </c>
      <c r="E1164">
        <v>4</v>
      </c>
      <c r="F1164">
        <v>3</v>
      </c>
      <c r="G1164">
        <v>2006</v>
      </c>
      <c r="H1164" t="str">
        <f t="shared" si="55"/>
        <v>Post-2000</v>
      </c>
      <c r="I1164" t="s">
        <v>19</v>
      </c>
      <c r="J1164" t="s">
        <v>11</v>
      </c>
      <c r="K1164" t="s">
        <v>16</v>
      </c>
      <c r="L1164" s="4">
        <v>979167</v>
      </c>
      <c r="M1164" t="str">
        <f t="shared" si="56"/>
        <v>Premium</v>
      </c>
    </row>
    <row r="1165" spans="1:13" x14ac:dyDescent="0.35">
      <c r="A1165">
        <v>1164</v>
      </c>
      <c r="B1165">
        <v>3930</v>
      </c>
      <c r="C1165" t="str">
        <f t="shared" si="54"/>
        <v>Large</v>
      </c>
      <c r="D1165">
        <v>2</v>
      </c>
      <c r="E1165">
        <v>1</v>
      </c>
      <c r="F1165">
        <v>3</v>
      </c>
      <c r="G1165">
        <v>1934</v>
      </c>
      <c r="H1165" t="str">
        <f t="shared" si="55"/>
        <v>Pre-1950</v>
      </c>
      <c r="I1165" t="s">
        <v>14</v>
      </c>
      <c r="J1165" t="s">
        <v>15</v>
      </c>
      <c r="K1165" t="s">
        <v>16</v>
      </c>
      <c r="L1165" s="4">
        <v>547275</v>
      </c>
      <c r="M1165" t="str">
        <f t="shared" si="56"/>
        <v>High</v>
      </c>
    </row>
    <row r="1166" spans="1:13" x14ac:dyDescent="0.35">
      <c r="A1166">
        <v>1165</v>
      </c>
      <c r="B1166">
        <v>4935</v>
      </c>
      <c r="C1166" t="str">
        <f t="shared" si="54"/>
        <v>Extra Large</v>
      </c>
      <c r="D1166">
        <v>1</v>
      </c>
      <c r="E1166">
        <v>4</v>
      </c>
      <c r="F1166">
        <v>3</v>
      </c>
      <c r="G1166">
        <v>1948</v>
      </c>
      <c r="H1166" t="str">
        <f t="shared" si="55"/>
        <v>Pre-1950</v>
      </c>
      <c r="I1166" t="s">
        <v>14</v>
      </c>
      <c r="J1166" t="s">
        <v>13</v>
      </c>
      <c r="K1166" t="s">
        <v>12</v>
      </c>
      <c r="L1166" s="4">
        <v>200619</v>
      </c>
      <c r="M1166" t="str">
        <f t="shared" si="56"/>
        <v>Medium</v>
      </c>
    </row>
    <row r="1167" spans="1:13" x14ac:dyDescent="0.35">
      <c r="A1167">
        <v>1166</v>
      </c>
      <c r="B1167">
        <v>4984</v>
      </c>
      <c r="C1167" t="str">
        <f t="shared" si="54"/>
        <v>Extra Large</v>
      </c>
      <c r="D1167">
        <v>5</v>
      </c>
      <c r="E1167">
        <v>3</v>
      </c>
      <c r="F1167">
        <v>3</v>
      </c>
      <c r="G1167">
        <v>1945</v>
      </c>
      <c r="H1167" t="str">
        <f t="shared" si="55"/>
        <v>Pre-1950</v>
      </c>
      <c r="I1167" t="s">
        <v>10</v>
      </c>
      <c r="J1167" t="s">
        <v>18</v>
      </c>
      <c r="K1167" t="s">
        <v>16</v>
      </c>
      <c r="L1167" s="4">
        <v>655950</v>
      </c>
      <c r="M1167" t="str">
        <f t="shared" si="56"/>
        <v>Premium</v>
      </c>
    </row>
    <row r="1168" spans="1:13" x14ac:dyDescent="0.35">
      <c r="A1168">
        <v>1167</v>
      </c>
      <c r="B1168">
        <v>3124</v>
      </c>
      <c r="C1168" t="str">
        <f t="shared" si="54"/>
        <v>Large</v>
      </c>
      <c r="D1168">
        <v>4</v>
      </c>
      <c r="E1168">
        <v>2</v>
      </c>
      <c r="F1168">
        <v>3</v>
      </c>
      <c r="G1168">
        <v>1937</v>
      </c>
      <c r="H1168" t="str">
        <f t="shared" si="55"/>
        <v>Pre-1950</v>
      </c>
      <c r="I1168" t="s">
        <v>19</v>
      </c>
      <c r="J1168" t="s">
        <v>15</v>
      </c>
      <c r="K1168" t="s">
        <v>16</v>
      </c>
      <c r="L1168" s="4">
        <v>810416</v>
      </c>
      <c r="M1168" t="str">
        <f t="shared" si="56"/>
        <v>Premium</v>
      </c>
    </row>
    <row r="1169" spans="1:13" x14ac:dyDescent="0.35">
      <c r="A1169">
        <v>1168</v>
      </c>
      <c r="B1169">
        <v>4260</v>
      </c>
      <c r="C1169" t="str">
        <f t="shared" si="54"/>
        <v>Extra Large</v>
      </c>
      <c r="D1169">
        <v>2</v>
      </c>
      <c r="E1169">
        <v>2</v>
      </c>
      <c r="F1169">
        <v>1</v>
      </c>
      <c r="G1169">
        <v>1907</v>
      </c>
      <c r="H1169" t="str">
        <f t="shared" si="55"/>
        <v>Pre-1950</v>
      </c>
      <c r="I1169" t="s">
        <v>19</v>
      </c>
      <c r="J1169" t="s">
        <v>15</v>
      </c>
      <c r="K1169" t="s">
        <v>16</v>
      </c>
      <c r="L1169" s="4">
        <v>50005</v>
      </c>
      <c r="M1169" t="str">
        <f t="shared" si="56"/>
        <v>Low</v>
      </c>
    </row>
    <row r="1170" spans="1:13" x14ac:dyDescent="0.35">
      <c r="A1170">
        <v>1169</v>
      </c>
      <c r="B1170">
        <v>2550</v>
      </c>
      <c r="C1170" t="str">
        <f t="shared" si="54"/>
        <v>Large</v>
      </c>
      <c r="D1170">
        <v>3</v>
      </c>
      <c r="E1170">
        <v>2</v>
      </c>
      <c r="F1170">
        <v>2</v>
      </c>
      <c r="G1170">
        <v>1953</v>
      </c>
      <c r="H1170" t="str">
        <f t="shared" si="55"/>
        <v>1950-1975</v>
      </c>
      <c r="I1170" t="s">
        <v>10</v>
      </c>
      <c r="J1170" t="s">
        <v>18</v>
      </c>
      <c r="K1170" t="s">
        <v>12</v>
      </c>
      <c r="L1170" s="4">
        <v>284152</v>
      </c>
      <c r="M1170" t="str">
        <f t="shared" si="56"/>
        <v>Medium</v>
      </c>
    </row>
    <row r="1171" spans="1:13" x14ac:dyDescent="0.35">
      <c r="A1171">
        <v>1170</v>
      </c>
      <c r="B1171">
        <v>4000</v>
      </c>
      <c r="C1171" t="str">
        <f t="shared" si="54"/>
        <v>Large</v>
      </c>
      <c r="D1171">
        <v>4</v>
      </c>
      <c r="E1171">
        <v>3</v>
      </c>
      <c r="F1171">
        <v>1</v>
      </c>
      <c r="G1171">
        <v>1936</v>
      </c>
      <c r="H1171" t="str">
        <f t="shared" si="55"/>
        <v>Pre-1950</v>
      </c>
      <c r="I1171" t="s">
        <v>14</v>
      </c>
      <c r="J1171" t="s">
        <v>15</v>
      </c>
      <c r="K1171" t="s">
        <v>12</v>
      </c>
      <c r="L1171" s="4">
        <v>319182</v>
      </c>
      <c r="M1171" t="str">
        <f t="shared" si="56"/>
        <v>Medium</v>
      </c>
    </row>
    <row r="1172" spans="1:13" x14ac:dyDescent="0.35">
      <c r="A1172">
        <v>1171</v>
      </c>
      <c r="B1172">
        <v>1665</v>
      </c>
      <c r="C1172" t="str">
        <f t="shared" si="54"/>
        <v>Medium</v>
      </c>
      <c r="D1172">
        <v>1</v>
      </c>
      <c r="E1172">
        <v>3</v>
      </c>
      <c r="F1172">
        <v>3</v>
      </c>
      <c r="G1172">
        <v>1990</v>
      </c>
      <c r="H1172" t="str">
        <f t="shared" si="55"/>
        <v>1976-2000</v>
      </c>
      <c r="I1172" t="s">
        <v>19</v>
      </c>
      <c r="J1172" t="s">
        <v>11</v>
      </c>
      <c r="K1172" t="s">
        <v>16</v>
      </c>
      <c r="L1172" s="4">
        <v>842846</v>
      </c>
      <c r="M1172" t="str">
        <f t="shared" si="56"/>
        <v>Premium</v>
      </c>
    </row>
    <row r="1173" spans="1:13" x14ac:dyDescent="0.35">
      <c r="A1173">
        <v>1172</v>
      </c>
      <c r="B1173">
        <v>875</v>
      </c>
      <c r="C1173" t="str">
        <f t="shared" si="54"/>
        <v>Small</v>
      </c>
      <c r="D1173">
        <v>1</v>
      </c>
      <c r="E1173">
        <v>3</v>
      </c>
      <c r="F1173">
        <v>2</v>
      </c>
      <c r="G1173">
        <v>1991</v>
      </c>
      <c r="H1173" t="str">
        <f t="shared" si="55"/>
        <v>1976-2000</v>
      </c>
      <c r="I1173" t="s">
        <v>10</v>
      </c>
      <c r="J1173" t="s">
        <v>13</v>
      </c>
      <c r="K1173" t="s">
        <v>12</v>
      </c>
      <c r="L1173" s="4">
        <v>530875</v>
      </c>
      <c r="M1173" t="str">
        <f t="shared" si="56"/>
        <v>High</v>
      </c>
    </row>
    <row r="1174" spans="1:13" x14ac:dyDescent="0.35">
      <c r="A1174">
        <v>1173</v>
      </c>
      <c r="B1174">
        <v>2533</v>
      </c>
      <c r="C1174" t="str">
        <f t="shared" si="54"/>
        <v>Large</v>
      </c>
      <c r="D1174">
        <v>3</v>
      </c>
      <c r="E1174">
        <v>3</v>
      </c>
      <c r="F1174">
        <v>1</v>
      </c>
      <c r="G1174">
        <v>1939</v>
      </c>
      <c r="H1174" t="str">
        <f t="shared" si="55"/>
        <v>Pre-1950</v>
      </c>
      <c r="I1174" t="s">
        <v>14</v>
      </c>
      <c r="J1174" t="s">
        <v>18</v>
      </c>
      <c r="K1174" t="s">
        <v>12</v>
      </c>
      <c r="L1174" s="4">
        <v>905938</v>
      </c>
      <c r="M1174" t="str">
        <f t="shared" si="56"/>
        <v>Premium</v>
      </c>
    </row>
    <row r="1175" spans="1:13" x14ac:dyDescent="0.35">
      <c r="A1175">
        <v>1174</v>
      </c>
      <c r="B1175">
        <v>645</v>
      </c>
      <c r="C1175" t="str">
        <f t="shared" si="54"/>
        <v>Small</v>
      </c>
      <c r="D1175">
        <v>2</v>
      </c>
      <c r="E1175">
        <v>3</v>
      </c>
      <c r="F1175">
        <v>1</v>
      </c>
      <c r="G1175">
        <v>1933</v>
      </c>
      <c r="H1175" t="str">
        <f t="shared" si="55"/>
        <v>Pre-1950</v>
      </c>
      <c r="I1175" t="s">
        <v>10</v>
      </c>
      <c r="J1175" t="s">
        <v>18</v>
      </c>
      <c r="K1175" t="s">
        <v>12</v>
      </c>
      <c r="L1175" s="4">
        <v>913018</v>
      </c>
      <c r="M1175" t="str">
        <f t="shared" si="56"/>
        <v>Premium</v>
      </c>
    </row>
    <row r="1176" spans="1:13" x14ac:dyDescent="0.35">
      <c r="A1176">
        <v>1175</v>
      </c>
      <c r="B1176">
        <v>4888</v>
      </c>
      <c r="C1176" t="str">
        <f t="shared" si="54"/>
        <v>Extra Large</v>
      </c>
      <c r="D1176">
        <v>4</v>
      </c>
      <c r="E1176">
        <v>4</v>
      </c>
      <c r="F1176">
        <v>3</v>
      </c>
      <c r="G1176">
        <v>1995</v>
      </c>
      <c r="H1176" t="str">
        <f t="shared" si="55"/>
        <v>1976-2000</v>
      </c>
      <c r="I1176" t="s">
        <v>19</v>
      </c>
      <c r="J1176" t="s">
        <v>11</v>
      </c>
      <c r="K1176" t="s">
        <v>16</v>
      </c>
      <c r="L1176" s="4">
        <v>445822</v>
      </c>
      <c r="M1176" t="str">
        <f t="shared" si="56"/>
        <v>High</v>
      </c>
    </row>
    <row r="1177" spans="1:13" x14ac:dyDescent="0.35">
      <c r="A1177">
        <v>1176</v>
      </c>
      <c r="B1177">
        <v>931</v>
      </c>
      <c r="C1177" t="str">
        <f t="shared" si="54"/>
        <v>Small</v>
      </c>
      <c r="D1177">
        <v>2</v>
      </c>
      <c r="E1177">
        <v>3</v>
      </c>
      <c r="F1177">
        <v>1</v>
      </c>
      <c r="G1177">
        <v>1978</v>
      </c>
      <c r="H1177" t="str">
        <f t="shared" si="55"/>
        <v>1976-2000</v>
      </c>
      <c r="I1177" t="s">
        <v>10</v>
      </c>
      <c r="J1177" t="s">
        <v>13</v>
      </c>
      <c r="K1177" t="s">
        <v>12</v>
      </c>
      <c r="L1177" s="4">
        <v>852914</v>
      </c>
      <c r="M1177" t="str">
        <f t="shared" si="56"/>
        <v>Premium</v>
      </c>
    </row>
    <row r="1178" spans="1:13" x14ac:dyDescent="0.35">
      <c r="A1178">
        <v>1177</v>
      </c>
      <c r="B1178">
        <v>1204</v>
      </c>
      <c r="C1178" t="str">
        <f t="shared" si="54"/>
        <v>Medium</v>
      </c>
      <c r="D1178">
        <v>1</v>
      </c>
      <c r="E1178">
        <v>3</v>
      </c>
      <c r="F1178">
        <v>1</v>
      </c>
      <c r="G1178">
        <v>2007</v>
      </c>
      <c r="H1178" t="str">
        <f t="shared" si="55"/>
        <v>Post-2000</v>
      </c>
      <c r="I1178" t="s">
        <v>17</v>
      </c>
      <c r="J1178" t="s">
        <v>11</v>
      </c>
      <c r="K1178" t="s">
        <v>16</v>
      </c>
      <c r="L1178" s="4">
        <v>804189</v>
      </c>
      <c r="M1178" t="str">
        <f t="shared" si="56"/>
        <v>Premium</v>
      </c>
    </row>
    <row r="1179" spans="1:13" x14ac:dyDescent="0.35">
      <c r="A1179">
        <v>1178</v>
      </c>
      <c r="B1179">
        <v>3132</v>
      </c>
      <c r="C1179" t="str">
        <f t="shared" si="54"/>
        <v>Large</v>
      </c>
      <c r="D1179">
        <v>2</v>
      </c>
      <c r="E1179">
        <v>3</v>
      </c>
      <c r="F1179">
        <v>1</v>
      </c>
      <c r="G1179">
        <v>1916</v>
      </c>
      <c r="H1179" t="str">
        <f t="shared" si="55"/>
        <v>Pre-1950</v>
      </c>
      <c r="I1179" t="s">
        <v>14</v>
      </c>
      <c r="J1179" t="s">
        <v>13</v>
      </c>
      <c r="K1179" t="s">
        <v>16</v>
      </c>
      <c r="L1179" s="4">
        <v>252945</v>
      </c>
      <c r="M1179" t="str">
        <f t="shared" si="56"/>
        <v>Medium</v>
      </c>
    </row>
    <row r="1180" spans="1:13" x14ac:dyDescent="0.35">
      <c r="A1180">
        <v>1179</v>
      </c>
      <c r="B1180">
        <v>4994</v>
      </c>
      <c r="C1180" t="str">
        <f t="shared" si="54"/>
        <v>Extra Large</v>
      </c>
      <c r="D1180">
        <v>1</v>
      </c>
      <c r="E1180">
        <v>3</v>
      </c>
      <c r="F1180">
        <v>1</v>
      </c>
      <c r="G1180">
        <v>1932</v>
      </c>
      <c r="H1180" t="str">
        <f t="shared" si="55"/>
        <v>Pre-1950</v>
      </c>
      <c r="I1180" t="s">
        <v>17</v>
      </c>
      <c r="J1180" t="s">
        <v>11</v>
      </c>
      <c r="K1180" t="s">
        <v>12</v>
      </c>
      <c r="L1180" s="4">
        <v>608236</v>
      </c>
      <c r="M1180" t="str">
        <f t="shared" si="56"/>
        <v>Premium</v>
      </c>
    </row>
    <row r="1181" spans="1:13" x14ac:dyDescent="0.35">
      <c r="A1181">
        <v>1180</v>
      </c>
      <c r="B1181">
        <v>1463</v>
      </c>
      <c r="C1181" t="str">
        <f t="shared" si="54"/>
        <v>Medium</v>
      </c>
      <c r="D1181">
        <v>2</v>
      </c>
      <c r="E1181">
        <v>2</v>
      </c>
      <c r="F1181">
        <v>1</v>
      </c>
      <c r="G1181">
        <v>1946</v>
      </c>
      <c r="H1181" t="str">
        <f t="shared" si="55"/>
        <v>Pre-1950</v>
      </c>
      <c r="I1181" t="s">
        <v>17</v>
      </c>
      <c r="J1181" t="s">
        <v>15</v>
      </c>
      <c r="K1181" t="s">
        <v>16</v>
      </c>
      <c r="L1181" s="4">
        <v>402131</v>
      </c>
      <c r="M1181" t="str">
        <f t="shared" si="56"/>
        <v>High</v>
      </c>
    </row>
    <row r="1182" spans="1:13" x14ac:dyDescent="0.35">
      <c r="A1182">
        <v>1181</v>
      </c>
      <c r="B1182">
        <v>2734</v>
      </c>
      <c r="C1182" t="str">
        <f t="shared" si="54"/>
        <v>Large</v>
      </c>
      <c r="D1182">
        <v>3</v>
      </c>
      <c r="E1182">
        <v>3</v>
      </c>
      <c r="F1182">
        <v>3</v>
      </c>
      <c r="G1182">
        <v>2009</v>
      </c>
      <c r="H1182" t="str">
        <f t="shared" si="55"/>
        <v>Post-2000</v>
      </c>
      <c r="I1182" t="s">
        <v>14</v>
      </c>
      <c r="J1182" t="s">
        <v>11</v>
      </c>
      <c r="K1182" t="s">
        <v>12</v>
      </c>
      <c r="L1182" s="4">
        <v>272873</v>
      </c>
      <c r="M1182" t="str">
        <f t="shared" si="56"/>
        <v>Medium</v>
      </c>
    </row>
    <row r="1183" spans="1:13" x14ac:dyDescent="0.35">
      <c r="A1183">
        <v>1182</v>
      </c>
      <c r="B1183">
        <v>2541</v>
      </c>
      <c r="C1183" t="str">
        <f t="shared" si="54"/>
        <v>Large</v>
      </c>
      <c r="D1183">
        <v>5</v>
      </c>
      <c r="E1183">
        <v>4</v>
      </c>
      <c r="F1183">
        <v>3</v>
      </c>
      <c r="G1183">
        <v>1951</v>
      </c>
      <c r="H1183" t="str">
        <f t="shared" si="55"/>
        <v>1950-1975</v>
      </c>
      <c r="I1183" t="s">
        <v>14</v>
      </c>
      <c r="J1183" t="s">
        <v>18</v>
      </c>
      <c r="K1183" t="s">
        <v>12</v>
      </c>
      <c r="L1183" s="4">
        <v>272322</v>
      </c>
      <c r="M1183" t="str">
        <f t="shared" si="56"/>
        <v>Medium</v>
      </c>
    </row>
    <row r="1184" spans="1:13" x14ac:dyDescent="0.35">
      <c r="A1184">
        <v>1183</v>
      </c>
      <c r="B1184">
        <v>2328</v>
      </c>
      <c r="C1184" t="str">
        <f t="shared" si="54"/>
        <v>Medium</v>
      </c>
      <c r="D1184">
        <v>3</v>
      </c>
      <c r="E1184">
        <v>4</v>
      </c>
      <c r="F1184">
        <v>1</v>
      </c>
      <c r="G1184">
        <v>2017</v>
      </c>
      <c r="H1184" t="str">
        <f t="shared" si="55"/>
        <v>Post-2000</v>
      </c>
      <c r="I1184" t="s">
        <v>10</v>
      </c>
      <c r="J1184" t="s">
        <v>18</v>
      </c>
      <c r="K1184" t="s">
        <v>16</v>
      </c>
      <c r="L1184" s="4">
        <v>70875</v>
      </c>
      <c r="M1184" t="str">
        <f t="shared" si="56"/>
        <v>Low</v>
      </c>
    </row>
    <row r="1185" spans="1:13" x14ac:dyDescent="0.35">
      <c r="A1185">
        <v>1184</v>
      </c>
      <c r="B1185">
        <v>2608</v>
      </c>
      <c r="C1185" t="str">
        <f t="shared" si="54"/>
        <v>Large</v>
      </c>
      <c r="D1185">
        <v>3</v>
      </c>
      <c r="E1185">
        <v>4</v>
      </c>
      <c r="F1185">
        <v>3</v>
      </c>
      <c r="G1185">
        <v>1979</v>
      </c>
      <c r="H1185" t="str">
        <f t="shared" si="55"/>
        <v>1976-2000</v>
      </c>
      <c r="I1185" t="s">
        <v>14</v>
      </c>
      <c r="J1185" t="s">
        <v>18</v>
      </c>
      <c r="K1185" t="s">
        <v>16</v>
      </c>
      <c r="L1185" s="4">
        <v>325201</v>
      </c>
      <c r="M1185" t="str">
        <f t="shared" si="56"/>
        <v>Medium</v>
      </c>
    </row>
    <row r="1186" spans="1:13" x14ac:dyDescent="0.35">
      <c r="A1186">
        <v>1185</v>
      </c>
      <c r="B1186">
        <v>4568</v>
      </c>
      <c r="C1186" t="str">
        <f t="shared" si="54"/>
        <v>Extra Large</v>
      </c>
      <c r="D1186">
        <v>5</v>
      </c>
      <c r="E1186">
        <v>1</v>
      </c>
      <c r="F1186">
        <v>3</v>
      </c>
      <c r="G1186">
        <v>1992</v>
      </c>
      <c r="H1186" t="str">
        <f t="shared" si="55"/>
        <v>1976-2000</v>
      </c>
      <c r="I1186" t="s">
        <v>17</v>
      </c>
      <c r="J1186" t="s">
        <v>11</v>
      </c>
      <c r="K1186" t="s">
        <v>12</v>
      </c>
      <c r="L1186" s="4">
        <v>82400</v>
      </c>
      <c r="M1186" t="str">
        <f t="shared" si="56"/>
        <v>Low</v>
      </c>
    </row>
    <row r="1187" spans="1:13" x14ac:dyDescent="0.35">
      <c r="A1187">
        <v>1186</v>
      </c>
      <c r="B1187">
        <v>1438</v>
      </c>
      <c r="C1187" t="str">
        <f t="shared" si="54"/>
        <v>Medium</v>
      </c>
      <c r="D1187">
        <v>5</v>
      </c>
      <c r="E1187">
        <v>2</v>
      </c>
      <c r="F1187">
        <v>2</v>
      </c>
      <c r="G1187">
        <v>1908</v>
      </c>
      <c r="H1187" t="str">
        <f t="shared" si="55"/>
        <v>Pre-1950</v>
      </c>
      <c r="I1187" t="s">
        <v>17</v>
      </c>
      <c r="J1187" t="s">
        <v>18</v>
      </c>
      <c r="K1187" t="s">
        <v>12</v>
      </c>
      <c r="L1187" s="4">
        <v>514674</v>
      </c>
      <c r="M1187" t="str">
        <f t="shared" si="56"/>
        <v>High</v>
      </c>
    </row>
    <row r="1188" spans="1:13" x14ac:dyDescent="0.35">
      <c r="A1188">
        <v>1187</v>
      </c>
      <c r="B1188">
        <v>1306</v>
      </c>
      <c r="C1188" t="str">
        <f t="shared" si="54"/>
        <v>Medium</v>
      </c>
      <c r="D1188">
        <v>4</v>
      </c>
      <c r="E1188">
        <v>3</v>
      </c>
      <c r="F1188">
        <v>1</v>
      </c>
      <c r="G1188">
        <v>1932</v>
      </c>
      <c r="H1188" t="str">
        <f t="shared" si="55"/>
        <v>Pre-1950</v>
      </c>
      <c r="I1188" t="s">
        <v>19</v>
      </c>
      <c r="J1188" t="s">
        <v>18</v>
      </c>
      <c r="K1188" t="s">
        <v>12</v>
      </c>
      <c r="L1188" s="4">
        <v>118607</v>
      </c>
      <c r="M1188" t="str">
        <f t="shared" si="56"/>
        <v>Low</v>
      </c>
    </row>
    <row r="1189" spans="1:13" x14ac:dyDescent="0.35">
      <c r="A1189">
        <v>1188</v>
      </c>
      <c r="B1189">
        <v>1963</v>
      </c>
      <c r="C1189" t="str">
        <f t="shared" si="54"/>
        <v>Medium</v>
      </c>
      <c r="D1189">
        <v>4</v>
      </c>
      <c r="E1189">
        <v>1</v>
      </c>
      <c r="F1189">
        <v>3</v>
      </c>
      <c r="G1189">
        <v>1959</v>
      </c>
      <c r="H1189" t="str">
        <f t="shared" si="55"/>
        <v>1950-1975</v>
      </c>
      <c r="I1189" t="s">
        <v>14</v>
      </c>
      <c r="J1189" t="s">
        <v>15</v>
      </c>
      <c r="K1189" t="s">
        <v>12</v>
      </c>
      <c r="L1189" s="4">
        <v>923993</v>
      </c>
      <c r="M1189" t="str">
        <f t="shared" si="56"/>
        <v>Premium</v>
      </c>
    </row>
    <row r="1190" spans="1:13" x14ac:dyDescent="0.35">
      <c r="A1190">
        <v>1189</v>
      </c>
      <c r="B1190">
        <v>3915</v>
      </c>
      <c r="C1190" t="str">
        <f t="shared" si="54"/>
        <v>Large</v>
      </c>
      <c r="D1190">
        <v>3</v>
      </c>
      <c r="E1190">
        <v>3</v>
      </c>
      <c r="F1190">
        <v>3</v>
      </c>
      <c r="G1190">
        <v>2012</v>
      </c>
      <c r="H1190" t="str">
        <f t="shared" si="55"/>
        <v>Post-2000</v>
      </c>
      <c r="I1190" t="s">
        <v>17</v>
      </c>
      <c r="J1190" t="s">
        <v>15</v>
      </c>
      <c r="K1190" t="s">
        <v>16</v>
      </c>
      <c r="L1190" s="4">
        <v>339647</v>
      </c>
      <c r="M1190" t="str">
        <f t="shared" si="56"/>
        <v>Medium</v>
      </c>
    </row>
    <row r="1191" spans="1:13" x14ac:dyDescent="0.35">
      <c r="A1191">
        <v>1190</v>
      </c>
      <c r="B1191">
        <v>510</v>
      </c>
      <c r="C1191" t="str">
        <f t="shared" si="54"/>
        <v>Small</v>
      </c>
      <c r="D1191">
        <v>3</v>
      </c>
      <c r="E1191">
        <v>1</v>
      </c>
      <c r="F1191">
        <v>1</v>
      </c>
      <c r="G1191">
        <v>1992</v>
      </c>
      <c r="H1191" t="str">
        <f t="shared" si="55"/>
        <v>1976-2000</v>
      </c>
      <c r="I1191" t="s">
        <v>19</v>
      </c>
      <c r="J1191" t="s">
        <v>13</v>
      </c>
      <c r="K1191" t="s">
        <v>16</v>
      </c>
      <c r="L1191" s="4">
        <v>466981</v>
      </c>
      <c r="M1191" t="str">
        <f t="shared" si="56"/>
        <v>High</v>
      </c>
    </row>
    <row r="1192" spans="1:13" x14ac:dyDescent="0.35">
      <c r="A1192">
        <v>1191</v>
      </c>
      <c r="B1192">
        <v>2368</v>
      </c>
      <c r="C1192" t="str">
        <f t="shared" si="54"/>
        <v>Medium</v>
      </c>
      <c r="D1192">
        <v>1</v>
      </c>
      <c r="E1192">
        <v>1</v>
      </c>
      <c r="F1192">
        <v>2</v>
      </c>
      <c r="G1192">
        <v>1976</v>
      </c>
      <c r="H1192" t="str">
        <f t="shared" si="55"/>
        <v>1976-2000</v>
      </c>
      <c r="I1192" t="s">
        <v>19</v>
      </c>
      <c r="J1192" t="s">
        <v>13</v>
      </c>
      <c r="K1192" t="s">
        <v>16</v>
      </c>
      <c r="L1192" s="4">
        <v>151096</v>
      </c>
      <c r="M1192" t="str">
        <f t="shared" si="56"/>
        <v>Low</v>
      </c>
    </row>
    <row r="1193" spans="1:13" x14ac:dyDescent="0.35">
      <c r="A1193">
        <v>1192</v>
      </c>
      <c r="B1193">
        <v>1384</v>
      </c>
      <c r="C1193" t="str">
        <f t="shared" si="54"/>
        <v>Medium</v>
      </c>
      <c r="D1193">
        <v>1</v>
      </c>
      <c r="E1193">
        <v>4</v>
      </c>
      <c r="F1193">
        <v>1</v>
      </c>
      <c r="G1193">
        <v>1920</v>
      </c>
      <c r="H1193" t="str">
        <f t="shared" si="55"/>
        <v>Pre-1950</v>
      </c>
      <c r="I1193" t="s">
        <v>10</v>
      </c>
      <c r="J1193" t="s">
        <v>13</v>
      </c>
      <c r="K1193" t="s">
        <v>12</v>
      </c>
      <c r="L1193" s="4">
        <v>620900</v>
      </c>
      <c r="M1193" t="str">
        <f t="shared" si="56"/>
        <v>Premium</v>
      </c>
    </row>
    <row r="1194" spans="1:13" x14ac:dyDescent="0.35">
      <c r="A1194">
        <v>1193</v>
      </c>
      <c r="B1194">
        <v>4064</v>
      </c>
      <c r="C1194" t="str">
        <f t="shared" si="54"/>
        <v>Extra Large</v>
      </c>
      <c r="D1194">
        <v>4</v>
      </c>
      <c r="E1194">
        <v>4</v>
      </c>
      <c r="F1194">
        <v>2</v>
      </c>
      <c r="G1194">
        <v>1957</v>
      </c>
      <c r="H1194" t="str">
        <f t="shared" si="55"/>
        <v>1950-1975</v>
      </c>
      <c r="I1194" t="s">
        <v>17</v>
      </c>
      <c r="J1194" t="s">
        <v>11</v>
      </c>
      <c r="K1194" t="s">
        <v>16</v>
      </c>
      <c r="L1194" s="4">
        <v>934750</v>
      </c>
      <c r="M1194" t="str">
        <f t="shared" si="56"/>
        <v>Premium</v>
      </c>
    </row>
    <row r="1195" spans="1:13" x14ac:dyDescent="0.35">
      <c r="A1195">
        <v>1194</v>
      </c>
      <c r="B1195">
        <v>1889</v>
      </c>
      <c r="C1195" t="str">
        <f t="shared" si="54"/>
        <v>Medium</v>
      </c>
      <c r="D1195">
        <v>4</v>
      </c>
      <c r="E1195">
        <v>1</v>
      </c>
      <c r="F1195">
        <v>1</v>
      </c>
      <c r="G1195">
        <v>1984</v>
      </c>
      <c r="H1195" t="str">
        <f t="shared" si="55"/>
        <v>1976-2000</v>
      </c>
      <c r="I1195" t="s">
        <v>10</v>
      </c>
      <c r="J1195" t="s">
        <v>13</v>
      </c>
      <c r="K1195" t="s">
        <v>16</v>
      </c>
      <c r="L1195" s="4">
        <v>311538</v>
      </c>
      <c r="M1195" t="str">
        <f t="shared" si="56"/>
        <v>Medium</v>
      </c>
    </row>
    <row r="1196" spans="1:13" x14ac:dyDescent="0.35">
      <c r="A1196">
        <v>1195</v>
      </c>
      <c r="B1196">
        <v>3901</v>
      </c>
      <c r="C1196" t="str">
        <f t="shared" si="54"/>
        <v>Large</v>
      </c>
      <c r="D1196">
        <v>1</v>
      </c>
      <c r="E1196">
        <v>4</v>
      </c>
      <c r="F1196">
        <v>1</v>
      </c>
      <c r="G1196">
        <v>1968</v>
      </c>
      <c r="H1196" t="str">
        <f t="shared" si="55"/>
        <v>1950-1975</v>
      </c>
      <c r="I1196" t="s">
        <v>17</v>
      </c>
      <c r="J1196" t="s">
        <v>11</v>
      </c>
      <c r="K1196" t="s">
        <v>16</v>
      </c>
      <c r="L1196" s="4">
        <v>134335</v>
      </c>
      <c r="M1196" t="str">
        <f t="shared" si="56"/>
        <v>Low</v>
      </c>
    </row>
    <row r="1197" spans="1:13" x14ac:dyDescent="0.35">
      <c r="A1197">
        <v>1196</v>
      </c>
      <c r="B1197">
        <v>4821</v>
      </c>
      <c r="C1197" t="str">
        <f t="shared" si="54"/>
        <v>Extra Large</v>
      </c>
      <c r="D1197">
        <v>1</v>
      </c>
      <c r="E1197">
        <v>1</v>
      </c>
      <c r="F1197">
        <v>1</v>
      </c>
      <c r="G1197">
        <v>1909</v>
      </c>
      <c r="H1197" t="str">
        <f t="shared" si="55"/>
        <v>Pre-1950</v>
      </c>
      <c r="I1197" t="s">
        <v>10</v>
      </c>
      <c r="J1197" t="s">
        <v>11</v>
      </c>
      <c r="K1197" t="s">
        <v>16</v>
      </c>
      <c r="L1197" s="4">
        <v>413133</v>
      </c>
      <c r="M1197" t="str">
        <f t="shared" si="56"/>
        <v>High</v>
      </c>
    </row>
    <row r="1198" spans="1:13" x14ac:dyDescent="0.35">
      <c r="A1198">
        <v>1197</v>
      </c>
      <c r="B1198">
        <v>1324</v>
      </c>
      <c r="C1198" t="str">
        <f t="shared" si="54"/>
        <v>Medium</v>
      </c>
      <c r="D1198">
        <v>2</v>
      </c>
      <c r="E1198">
        <v>2</v>
      </c>
      <c r="F1198">
        <v>1</v>
      </c>
      <c r="G1198">
        <v>1905</v>
      </c>
      <c r="H1198" t="str">
        <f t="shared" si="55"/>
        <v>Pre-1950</v>
      </c>
      <c r="I1198" t="s">
        <v>10</v>
      </c>
      <c r="J1198" t="s">
        <v>13</v>
      </c>
      <c r="K1198" t="s">
        <v>12</v>
      </c>
      <c r="L1198" s="4">
        <v>667300</v>
      </c>
      <c r="M1198" t="str">
        <f t="shared" si="56"/>
        <v>Premium</v>
      </c>
    </row>
    <row r="1199" spans="1:13" x14ac:dyDescent="0.35">
      <c r="A1199">
        <v>1198</v>
      </c>
      <c r="B1199">
        <v>2765</v>
      </c>
      <c r="C1199" t="str">
        <f t="shared" si="54"/>
        <v>Large</v>
      </c>
      <c r="D1199">
        <v>2</v>
      </c>
      <c r="E1199">
        <v>4</v>
      </c>
      <c r="F1199">
        <v>2</v>
      </c>
      <c r="G1199">
        <v>2019</v>
      </c>
      <c r="H1199" t="str">
        <f t="shared" si="55"/>
        <v>Post-2000</v>
      </c>
      <c r="I1199" t="s">
        <v>14</v>
      </c>
      <c r="J1199" t="s">
        <v>13</v>
      </c>
      <c r="K1199" t="s">
        <v>16</v>
      </c>
      <c r="L1199" s="4">
        <v>131748</v>
      </c>
      <c r="M1199" t="str">
        <f t="shared" si="56"/>
        <v>Low</v>
      </c>
    </row>
    <row r="1200" spans="1:13" x14ac:dyDescent="0.35">
      <c r="A1200">
        <v>1199</v>
      </c>
      <c r="B1200">
        <v>1436</v>
      </c>
      <c r="C1200" t="str">
        <f t="shared" si="54"/>
        <v>Medium</v>
      </c>
      <c r="D1200">
        <v>1</v>
      </c>
      <c r="E1200">
        <v>4</v>
      </c>
      <c r="F1200">
        <v>2</v>
      </c>
      <c r="G1200">
        <v>2014</v>
      </c>
      <c r="H1200" t="str">
        <f t="shared" si="55"/>
        <v>Post-2000</v>
      </c>
      <c r="I1200" t="s">
        <v>10</v>
      </c>
      <c r="J1200" t="s">
        <v>11</v>
      </c>
      <c r="K1200" t="s">
        <v>16</v>
      </c>
      <c r="L1200" s="4">
        <v>976932</v>
      </c>
      <c r="M1200" t="str">
        <f t="shared" si="56"/>
        <v>Premium</v>
      </c>
    </row>
    <row r="1201" spans="1:13" x14ac:dyDescent="0.35">
      <c r="A1201">
        <v>1200</v>
      </c>
      <c r="B1201">
        <v>3300</v>
      </c>
      <c r="C1201" t="str">
        <f t="shared" si="54"/>
        <v>Large</v>
      </c>
      <c r="D1201">
        <v>2</v>
      </c>
      <c r="E1201">
        <v>4</v>
      </c>
      <c r="F1201">
        <v>3</v>
      </c>
      <c r="G1201">
        <v>2020</v>
      </c>
      <c r="H1201" t="str">
        <f t="shared" si="55"/>
        <v>Post-2000</v>
      </c>
      <c r="I1201" t="s">
        <v>14</v>
      </c>
      <c r="J1201" t="s">
        <v>15</v>
      </c>
      <c r="K1201" t="s">
        <v>16</v>
      </c>
      <c r="L1201" s="4">
        <v>736779</v>
      </c>
      <c r="M1201" t="str">
        <f t="shared" si="56"/>
        <v>Premium</v>
      </c>
    </row>
    <row r="1202" spans="1:13" x14ac:dyDescent="0.35">
      <c r="A1202">
        <v>1201</v>
      </c>
      <c r="B1202">
        <v>3053</v>
      </c>
      <c r="C1202" t="str">
        <f t="shared" si="54"/>
        <v>Large</v>
      </c>
      <c r="D1202">
        <v>5</v>
      </c>
      <c r="E1202">
        <v>2</v>
      </c>
      <c r="F1202">
        <v>1</v>
      </c>
      <c r="G1202">
        <v>1912</v>
      </c>
      <c r="H1202" t="str">
        <f t="shared" si="55"/>
        <v>Pre-1950</v>
      </c>
      <c r="I1202" t="s">
        <v>19</v>
      </c>
      <c r="J1202" t="s">
        <v>18</v>
      </c>
      <c r="K1202" t="s">
        <v>16</v>
      </c>
      <c r="L1202" s="4">
        <v>115195</v>
      </c>
      <c r="M1202" t="str">
        <f t="shared" si="56"/>
        <v>Low</v>
      </c>
    </row>
    <row r="1203" spans="1:13" x14ac:dyDescent="0.35">
      <c r="A1203">
        <v>1202</v>
      </c>
      <c r="B1203">
        <v>4345</v>
      </c>
      <c r="C1203" t="str">
        <f t="shared" si="54"/>
        <v>Extra Large</v>
      </c>
      <c r="D1203">
        <v>4</v>
      </c>
      <c r="E1203">
        <v>1</v>
      </c>
      <c r="F1203">
        <v>2</v>
      </c>
      <c r="G1203">
        <v>1964</v>
      </c>
      <c r="H1203" t="str">
        <f t="shared" si="55"/>
        <v>1950-1975</v>
      </c>
      <c r="I1203" t="s">
        <v>17</v>
      </c>
      <c r="J1203" t="s">
        <v>18</v>
      </c>
      <c r="K1203" t="s">
        <v>12</v>
      </c>
      <c r="L1203" s="4">
        <v>779055</v>
      </c>
      <c r="M1203" t="str">
        <f t="shared" si="56"/>
        <v>Premium</v>
      </c>
    </row>
    <row r="1204" spans="1:13" x14ac:dyDescent="0.35">
      <c r="A1204">
        <v>1203</v>
      </c>
      <c r="B1204">
        <v>2296</v>
      </c>
      <c r="C1204" t="str">
        <f t="shared" si="54"/>
        <v>Medium</v>
      </c>
      <c r="D1204">
        <v>4</v>
      </c>
      <c r="E1204">
        <v>3</v>
      </c>
      <c r="F1204">
        <v>2</v>
      </c>
      <c r="G1204">
        <v>1919</v>
      </c>
      <c r="H1204" t="str">
        <f t="shared" si="55"/>
        <v>Pre-1950</v>
      </c>
      <c r="I1204" t="s">
        <v>19</v>
      </c>
      <c r="J1204" t="s">
        <v>18</v>
      </c>
      <c r="K1204" t="s">
        <v>12</v>
      </c>
      <c r="L1204" s="4">
        <v>664134</v>
      </c>
      <c r="M1204" t="str">
        <f t="shared" si="56"/>
        <v>Premium</v>
      </c>
    </row>
    <row r="1205" spans="1:13" x14ac:dyDescent="0.35">
      <c r="A1205">
        <v>1204</v>
      </c>
      <c r="B1205">
        <v>553</v>
      </c>
      <c r="C1205" t="str">
        <f t="shared" si="54"/>
        <v>Small</v>
      </c>
      <c r="D1205">
        <v>1</v>
      </c>
      <c r="E1205">
        <v>4</v>
      </c>
      <c r="F1205">
        <v>2</v>
      </c>
      <c r="G1205">
        <v>1956</v>
      </c>
      <c r="H1205" t="str">
        <f t="shared" si="55"/>
        <v>1950-1975</v>
      </c>
      <c r="I1205" t="s">
        <v>17</v>
      </c>
      <c r="J1205" t="s">
        <v>15</v>
      </c>
      <c r="K1205" t="s">
        <v>16</v>
      </c>
      <c r="L1205" s="4">
        <v>676692</v>
      </c>
      <c r="M1205" t="str">
        <f t="shared" si="56"/>
        <v>Premium</v>
      </c>
    </row>
    <row r="1206" spans="1:13" x14ac:dyDescent="0.35">
      <c r="A1206">
        <v>1205</v>
      </c>
      <c r="B1206">
        <v>1226</v>
      </c>
      <c r="C1206" t="str">
        <f t="shared" si="54"/>
        <v>Medium</v>
      </c>
      <c r="D1206">
        <v>3</v>
      </c>
      <c r="E1206">
        <v>1</v>
      </c>
      <c r="F1206">
        <v>1</v>
      </c>
      <c r="G1206">
        <v>2010</v>
      </c>
      <c r="H1206" t="str">
        <f t="shared" si="55"/>
        <v>Post-2000</v>
      </c>
      <c r="I1206" t="s">
        <v>19</v>
      </c>
      <c r="J1206" t="s">
        <v>11</v>
      </c>
      <c r="K1206" t="s">
        <v>12</v>
      </c>
      <c r="L1206" s="4">
        <v>351286</v>
      </c>
      <c r="M1206" t="str">
        <f t="shared" si="56"/>
        <v>Medium</v>
      </c>
    </row>
    <row r="1207" spans="1:13" x14ac:dyDescent="0.35">
      <c r="A1207">
        <v>1206</v>
      </c>
      <c r="B1207">
        <v>3236</v>
      </c>
      <c r="C1207" t="str">
        <f t="shared" si="54"/>
        <v>Large</v>
      </c>
      <c r="D1207">
        <v>1</v>
      </c>
      <c r="E1207">
        <v>2</v>
      </c>
      <c r="F1207">
        <v>3</v>
      </c>
      <c r="G1207">
        <v>1945</v>
      </c>
      <c r="H1207" t="str">
        <f t="shared" si="55"/>
        <v>Pre-1950</v>
      </c>
      <c r="I1207" t="s">
        <v>17</v>
      </c>
      <c r="J1207" t="s">
        <v>13</v>
      </c>
      <c r="K1207" t="s">
        <v>12</v>
      </c>
      <c r="L1207" s="4">
        <v>835608</v>
      </c>
      <c r="M1207" t="str">
        <f t="shared" si="56"/>
        <v>Premium</v>
      </c>
    </row>
    <row r="1208" spans="1:13" x14ac:dyDescent="0.35">
      <c r="A1208">
        <v>1207</v>
      </c>
      <c r="B1208">
        <v>3670</v>
      </c>
      <c r="C1208" t="str">
        <f t="shared" si="54"/>
        <v>Large</v>
      </c>
      <c r="D1208">
        <v>2</v>
      </c>
      <c r="E1208">
        <v>3</v>
      </c>
      <c r="F1208">
        <v>2</v>
      </c>
      <c r="G1208">
        <v>1907</v>
      </c>
      <c r="H1208" t="str">
        <f t="shared" si="55"/>
        <v>Pre-1950</v>
      </c>
      <c r="I1208" t="s">
        <v>10</v>
      </c>
      <c r="J1208" t="s">
        <v>11</v>
      </c>
      <c r="K1208" t="s">
        <v>12</v>
      </c>
      <c r="L1208" s="4">
        <v>121540</v>
      </c>
      <c r="M1208" t="str">
        <f t="shared" si="56"/>
        <v>Low</v>
      </c>
    </row>
    <row r="1209" spans="1:13" x14ac:dyDescent="0.35">
      <c r="A1209">
        <v>1208</v>
      </c>
      <c r="B1209">
        <v>2413</v>
      </c>
      <c r="C1209" t="str">
        <f t="shared" si="54"/>
        <v>Medium</v>
      </c>
      <c r="D1209">
        <v>3</v>
      </c>
      <c r="E1209">
        <v>4</v>
      </c>
      <c r="F1209">
        <v>1</v>
      </c>
      <c r="G1209">
        <v>1909</v>
      </c>
      <c r="H1209" t="str">
        <f t="shared" si="55"/>
        <v>Pre-1950</v>
      </c>
      <c r="I1209" t="s">
        <v>17</v>
      </c>
      <c r="J1209" t="s">
        <v>11</v>
      </c>
      <c r="K1209" t="s">
        <v>12</v>
      </c>
      <c r="L1209" s="4">
        <v>743649</v>
      </c>
      <c r="M1209" t="str">
        <f t="shared" si="56"/>
        <v>Premium</v>
      </c>
    </row>
    <row r="1210" spans="1:13" x14ac:dyDescent="0.35">
      <c r="A1210">
        <v>1209</v>
      </c>
      <c r="B1210">
        <v>2096</v>
      </c>
      <c r="C1210" t="str">
        <f t="shared" si="54"/>
        <v>Medium</v>
      </c>
      <c r="D1210">
        <v>2</v>
      </c>
      <c r="E1210">
        <v>2</v>
      </c>
      <c r="F1210">
        <v>2</v>
      </c>
      <c r="G1210">
        <v>1972</v>
      </c>
      <c r="H1210" t="str">
        <f t="shared" si="55"/>
        <v>1950-1975</v>
      </c>
      <c r="I1210" t="s">
        <v>17</v>
      </c>
      <c r="J1210" t="s">
        <v>13</v>
      </c>
      <c r="K1210" t="s">
        <v>16</v>
      </c>
      <c r="L1210" s="4">
        <v>389092</v>
      </c>
      <c r="M1210" t="str">
        <f t="shared" si="56"/>
        <v>Medium</v>
      </c>
    </row>
    <row r="1211" spans="1:13" x14ac:dyDescent="0.35">
      <c r="A1211">
        <v>1210</v>
      </c>
      <c r="B1211">
        <v>2414</v>
      </c>
      <c r="C1211" t="str">
        <f t="shared" si="54"/>
        <v>Medium</v>
      </c>
      <c r="D1211">
        <v>5</v>
      </c>
      <c r="E1211">
        <v>2</v>
      </c>
      <c r="F1211">
        <v>2</v>
      </c>
      <c r="G1211">
        <v>2012</v>
      </c>
      <c r="H1211" t="str">
        <f t="shared" si="55"/>
        <v>Post-2000</v>
      </c>
      <c r="I1211" t="s">
        <v>19</v>
      </c>
      <c r="J1211" t="s">
        <v>15</v>
      </c>
      <c r="K1211" t="s">
        <v>12</v>
      </c>
      <c r="L1211" s="4">
        <v>895383</v>
      </c>
      <c r="M1211" t="str">
        <f t="shared" si="56"/>
        <v>Premium</v>
      </c>
    </row>
    <row r="1212" spans="1:13" x14ac:dyDescent="0.35">
      <c r="A1212">
        <v>1211</v>
      </c>
      <c r="B1212">
        <v>2966</v>
      </c>
      <c r="C1212" t="str">
        <f t="shared" si="54"/>
        <v>Large</v>
      </c>
      <c r="D1212">
        <v>2</v>
      </c>
      <c r="E1212">
        <v>3</v>
      </c>
      <c r="F1212">
        <v>3</v>
      </c>
      <c r="G1212">
        <v>2004</v>
      </c>
      <c r="H1212" t="str">
        <f t="shared" si="55"/>
        <v>Post-2000</v>
      </c>
      <c r="I1212" t="s">
        <v>19</v>
      </c>
      <c r="J1212" t="s">
        <v>18</v>
      </c>
      <c r="K1212" t="s">
        <v>12</v>
      </c>
      <c r="L1212" s="4">
        <v>61755</v>
      </c>
      <c r="M1212" t="str">
        <f t="shared" si="56"/>
        <v>Low</v>
      </c>
    </row>
    <row r="1213" spans="1:13" x14ac:dyDescent="0.35">
      <c r="A1213">
        <v>1212</v>
      </c>
      <c r="B1213">
        <v>3237</v>
      </c>
      <c r="C1213" t="str">
        <f t="shared" si="54"/>
        <v>Large</v>
      </c>
      <c r="D1213">
        <v>5</v>
      </c>
      <c r="E1213">
        <v>1</v>
      </c>
      <c r="F1213">
        <v>2</v>
      </c>
      <c r="G1213">
        <v>1966</v>
      </c>
      <c r="H1213" t="str">
        <f t="shared" si="55"/>
        <v>1950-1975</v>
      </c>
      <c r="I1213" t="s">
        <v>19</v>
      </c>
      <c r="J1213" t="s">
        <v>18</v>
      </c>
      <c r="K1213" t="s">
        <v>16</v>
      </c>
      <c r="L1213" s="4">
        <v>827203</v>
      </c>
      <c r="M1213" t="str">
        <f t="shared" si="56"/>
        <v>Premium</v>
      </c>
    </row>
    <row r="1214" spans="1:13" x14ac:dyDescent="0.35">
      <c r="A1214">
        <v>1213</v>
      </c>
      <c r="B1214">
        <v>1349</v>
      </c>
      <c r="C1214" t="str">
        <f t="shared" si="54"/>
        <v>Medium</v>
      </c>
      <c r="D1214">
        <v>5</v>
      </c>
      <c r="E1214">
        <v>4</v>
      </c>
      <c r="F1214">
        <v>2</v>
      </c>
      <c r="G1214">
        <v>1910</v>
      </c>
      <c r="H1214" t="str">
        <f t="shared" si="55"/>
        <v>Pre-1950</v>
      </c>
      <c r="I1214" t="s">
        <v>14</v>
      </c>
      <c r="J1214" t="s">
        <v>11</v>
      </c>
      <c r="K1214" t="s">
        <v>16</v>
      </c>
      <c r="L1214" s="4">
        <v>430129</v>
      </c>
      <c r="M1214" t="str">
        <f t="shared" si="56"/>
        <v>High</v>
      </c>
    </row>
    <row r="1215" spans="1:13" x14ac:dyDescent="0.35">
      <c r="A1215">
        <v>1214</v>
      </c>
      <c r="B1215">
        <v>2609</v>
      </c>
      <c r="C1215" t="str">
        <f t="shared" si="54"/>
        <v>Large</v>
      </c>
      <c r="D1215">
        <v>2</v>
      </c>
      <c r="E1215">
        <v>4</v>
      </c>
      <c r="F1215">
        <v>1</v>
      </c>
      <c r="G1215">
        <v>1911</v>
      </c>
      <c r="H1215" t="str">
        <f t="shared" si="55"/>
        <v>Pre-1950</v>
      </c>
      <c r="I1215" t="s">
        <v>14</v>
      </c>
      <c r="J1215" t="s">
        <v>15</v>
      </c>
      <c r="K1215" t="s">
        <v>16</v>
      </c>
      <c r="L1215" s="4">
        <v>658841</v>
      </c>
      <c r="M1215" t="str">
        <f t="shared" si="56"/>
        <v>Premium</v>
      </c>
    </row>
    <row r="1216" spans="1:13" x14ac:dyDescent="0.35">
      <c r="A1216">
        <v>1215</v>
      </c>
      <c r="B1216">
        <v>502</v>
      </c>
      <c r="C1216" t="str">
        <f t="shared" si="54"/>
        <v>Small</v>
      </c>
      <c r="D1216">
        <v>2</v>
      </c>
      <c r="E1216">
        <v>1</v>
      </c>
      <c r="F1216">
        <v>1</v>
      </c>
      <c r="G1216">
        <v>1909</v>
      </c>
      <c r="H1216" t="str">
        <f t="shared" si="55"/>
        <v>Pre-1950</v>
      </c>
      <c r="I1216" t="s">
        <v>17</v>
      </c>
      <c r="J1216" t="s">
        <v>18</v>
      </c>
      <c r="K1216" t="s">
        <v>16</v>
      </c>
      <c r="L1216" s="4">
        <v>184962</v>
      </c>
      <c r="M1216" t="str">
        <f t="shared" si="56"/>
        <v>Low</v>
      </c>
    </row>
    <row r="1217" spans="1:13" x14ac:dyDescent="0.35">
      <c r="A1217">
        <v>1216</v>
      </c>
      <c r="B1217">
        <v>4755</v>
      </c>
      <c r="C1217" t="str">
        <f t="shared" si="54"/>
        <v>Extra Large</v>
      </c>
      <c r="D1217">
        <v>5</v>
      </c>
      <c r="E1217">
        <v>1</v>
      </c>
      <c r="F1217">
        <v>3</v>
      </c>
      <c r="G1217">
        <v>1924</v>
      </c>
      <c r="H1217" t="str">
        <f t="shared" si="55"/>
        <v>Pre-1950</v>
      </c>
      <c r="I1217" t="s">
        <v>17</v>
      </c>
      <c r="J1217" t="s">
        <v>15</v>
      </c>
      <c r="K1217" t="s">
        <v>12</v>
      </c>
      <c r="L1217" s="4">
        <v>930808</v>
      </c>
      <c r="M1217" t="str">
        <f t="shared" si="56"/>
        <v>Premium</v>
      </c>
    </row>
    <row r="1218" spans="1:13" x14ac:dyDescent="0.35">
      <c r="A1218">
        <v>1217</v>
      </c>
      <c r="B1218">
        <v>4569</v>
      </c>
      <c r="C1218" t="str">
        <f t="shared" si="54"/>
        <v>Extra Large</v>
      </c>
      <c r="D1218">
        <v>3</v>
      </c>
      <c r="E1218">
        <v>1</v>
      </c>
      <c r="F1218">
        <v>1</v>
      </c>
      <c r="G1218">
        <v>1948</v>
      </c>
      <c r="H1218" t="str">
        <f t="shared" si="55"/>
        <v>Pre-1950</v>
      </c>
      <c r="I1218" t="s">
        <v>10</v>
      </c>
      <c r="J1218" t="s">
        <v>13</v>
      </c>
      <c r="K1218" t="s">
        <v>16</v>
      </c>
      <c r="L1218" s="4">
        <v>306760</v>
      </c>
      <c r="M1218" t="str">
        <f t="shared" si="56"/>
        <v>Medium</v>
      </c>
    </row>
    <row r="1219" spans="1:13" x14ac:dyDescent="0.35">
      <c r="A1219">
        <v>1218</v>
      </c>
      <c r="B1219">
        <v>1392</v>
      </c>
      <c r="C1219" t="str">
        <f t="shared" ref="C1219:C1282" si="57">IF(B1219&lt;=1000,"Small",IF(B1219&lt;=2500,"Medium",IF(B1219&lt;=4000,"Large",IF(B1219&gt;=4000,"Extra Large"))))</f>
        <v>Medium</v>
      </c>
      <c r="D1219">
        <v>5</v>
      </c>
      <c r="E1219">
        <v>3</v>
      </c>
      <c r="F1219">
        <v>1</v>
      </c>
      <c r="G1219">
        <v>1948</v>
      </c>
      <c r="H1219" t="str">
        <f t="shared" ref="H1219:H1282" si="58">IF(G1219&lt;=1950,"Pre-1950",IF(G1219&lt;=1975,"1950-1975",IF(G1219&lt;=2000,"1976-2000",IF(G1219&gt;=2000,"Post-2000"))))</f>
        <v>Pre-1950</v>
      </c>
      <c r="I1219" t="s">
        <v>10</v>
      </c>
      <c r="J1219" t="s">
        <v>11</v>
      </c>
      <c r="K1219" t="s">
        <v>12</v>
      </c>
      <c r="L1219" s="4">
        <v>67175</v>
      </c>
      <c r="M1219" t="str">
        <f t="shared" ref="M1219:M1282" si="59">IF(L1219&lt;=200000,"Low",IF(L1219&lt;=400000,"Medium",IF(L1219&lt;=600000,"High",IF(L1219&gt;=600000,"Premium",""))))</f>
        <v>Low</v>
      </c>
    </row>
    <row r="1220" spans="1:13" x14ac:dyDescent="0.35">
      <c r="A1220">
        <v>1219</v>
      </c>
      <c r="B1220">
        <v>2530</v>
      </c>
      <c r="C1220" t="str">
        <f t="shared" si="57"/>
        <v>Large</v>
      </c>
      <c r="D1220">
        <v>4</v>
      </c>
      <c r="E1220">
        <v>3</v>
      </c>
      <c r="F1220">
        <v>3</v>
      </c>
      <c r="G1220">
        <v>1988</v>
      </c>
      <c r="H1220" t="str">
        <f t="shared" si="58"/>
        <v>1976-2000</v>
      </c>
      <c r="I1220" t="s">
        <v>17</v>
      </c>
      <c r="J1220" t="s">
        <v>11</v>
      </c>
      <c r="K1220" t="s">
        <v>12</v>
      </c>
      <c r="L1220" s="4">
        <v>902119</v>
      </c>
      <c r="M1220" t="str">
        <f t="shared" si="59"/>
        <v>Premium</v>
      </c>
    </row>
    <row r="1221" spans="1:13" x14ac:dyDescent="0.35">
      <c r="A1221">
        <v>1220</v>
      </c>
      <c r="B1221">
        <v>3660</v>
      </c>
      <c r="C1221" t="str">
        <f t="shared" si="57"/>
        <v>Large</v>
      </c>
      <c r="D1221">
        <v>5</v>
      </c>
      <c r="E1221">
        <v>4</v>
      </c>
      <c r="F1221">
        <v>2</v>
      </c>
      <c r="G1221">
        <v>1910</v>
      </c>
      <c r="H1221" t="str">
        <f t="shared" si="58"/>
        <v>Pre-1950</v>
      </c>
      <c r="I1221" t="s">
        <v>14</v>
      </c>
      <c r="J1221" t="s">
        <v>15</v>
      </c>
      <c r="K1221" t="s">
        <v>16</v>
      </c>
      <c r="L1221" s="4">
        <v>921415</v>
      </c>
      <c r="M1221" t="str">
        <f t="shared" si="59"/>
        <v>Premium</v>
      </c>
    </row>
    <row r="1222" spans="1:13" x14ac:dyDescent="0.35">
      <c r="A1222">
        <v>1221</v>
      </c>
      <c r="B1222">
        <v>2876</v>
      </c>
      <c r="C1222" t="str">
        <f t="shared" si="57"/>
        <v>Large</v>
      </c>
      <c r="D1222">
        <v>3</v>
      </c>
      <c r="E1222">
        <v>3</v>
      </c>
      <c r="F1222">
        <v>3</v>
      </c>
      <c r="G1222">
        <v>1961</v>
      </c>
      <c r="H1222" t="str">
        <f t="shared" si="58"/>
        <v>1950-1975</v>
      </c>
      <c r="I1222" t="s">
        <v>17</v>
      </c>
      <c r="J1222" t="s">
        <v>18</v>
      </c>
      <c r="K1222" t="s">
        <v>16</v>
      </c>
      <c r="L1222" s="4">
        <v>531503</v>
      </c>
      <c r="M1222" t="str">
        <f t="shared" si="59"/>
        <v>High</v>
      </c>
    </row>
    <row r="1223" spans="1:13" x14ac:dyDescent="0.35">
      <c r="A1223">
        <v>1222</v>
      </c>
      <c r="B1223">
        <v>2433</v>
      </c>
      <c r="C1223" t="str">
        <f t="shared" si="57"/>
        <v>Medium</v>
      </c>
      <c r="D1223">
        <v>4</v>
      </c>
      <c r="E1223">
        <v>2</v>
      </c>
      <c r="F1223">
        <v>1</v>
      </c>
      <c r="G1223">
        <v>2017</v>
      </c>
      <c r="H1223" t="str">
        <f t="shared" si="58"/>
        <v>Post-2000</v>
      </c>
      <c r="I1223" t="s">
        <v>10</v>
      </c>
      <c r="J1223" t="s">
        <v>15</v>
      </c>
      <c r="K1223" t="s">
        <v>12</v>
      </c>
      <c r="L1223" s="4">
        <v>800071</v>
      </c>
      <c r="M1223" t="str">
        <f t="shared" si="59"/>
        <v>Premium</v>
      </c>
    </row>
    <row r="1224" spans="1:13" x14ac:dyDescent="0.35">
      <c r="A1224">
        <v>1223</v>
      </c>
      <c r="B1224">
        <v>1880</v>
      </c>
      <c r="C1224" t="str">
        <f t="shared" si="57"/>
        <v>Medium</v>
      </c>
      <c r="D1224">
        <v>1</v>
      </c>
      <c r="E1224">
        <v>4</v>
      </c>
      <c r="F1224">
        <v>3</v>
      </c>
      <c r="G1224">
        <v>1935</v>
      </c>
      <c r="H1224" t="str">
        <f t="shared" si="58"/>
        <v>Pre-1950</v>
      </c>
      <c r="I1224" t="s">
        <v>14</v>
      </c>
      <c r="J1224" t="s">
        <v>13</v>
      </c>
      <c r="K1224" t="s">
        <v>12</v>
      </c>
      <c r="L1224" s="4">
        <v>729648</v>
      </c>
      <c r="M1224" t="str">
        <f t="shared" si="59"/>
        <v>Premium</v>
      </c>
    </row>
    <row r="1225" spans="1:13" x14ac:dyDescent="0.35">
      <c r="A1225">
        <v>1224</v>
      </c>
      <c r="B1225">
        <v>4181</v>
      </c>
      <c r="C1225" t="str">
        <f t="shared" si="57"/>
        <v>Extra Large</v>
      </c>
      <c r="D1225">
        <v>1</v>
      </c>
      <c r="E1225">
        <v>3</v>
      </c>
      <c r="F1225">
        <v>2</v>
      </c>
      <c r="G1225">
        <v>1938</v>
      </c>
      <c r="H1225" t="str">
        <f t="shared" si="58"/>
        <v>Pre-1950</v>
      </c>
      <c r="I1225" t="s">
        <v>14</v>
      </c>
      <c r="J1225" t="s">
        <v>18</v>
      </c>
      <c r="K1225" t="s">
        <v>16</v>
      </c>
      <c r="L1225" s="4">
        <v>96629</v>
      </c>
      <c r="M1225" t="str">
        <f t="shared" si="59"/>
        <v>Low</v>
      </c>
    </row>
    <row r="1226" spans="1:13" x14ac:dyDescent="0.35">
      <c r="A1226">
        <v>1225</v>
      </c>
      <c r="B1226">
        <v>1790</v>
      </c>
      <c r="C1226" t="str">
        <f t="shared" si="57"/>
        <v>Medium</v>
      </c>
      <c r="D1226">
        <v>3</v>
      </c>
      <c r="E1226">
        <v>1</v>
      </c>
      <c r="F1226">
        <v>3</v>
      </c>
      <c r="G1226">
        <v>1952</v>
      </c>
      <c r="H1226" t="str">
        <f t="shared" si="58"/>
        <v>1950-1975</v>
      </c>
      <c r="I1226" t="s">
        <v>10</v>
      </c>
      <c r="J1226" t="s">
        <v>18</v>
      </c>
      <c r="K1226" t="s">
        <v>16</v>
      </c>
      <c r="L1226" s="4">
        <v>691067</v>
      </c>
      <c r="M1226" t="str">
        <f t="shared" si="59"/>
        <v>Premium</v>
      </c>
    </row>
    <row r="1227" spans="1:13" x14ac:dyDescent="0.35">
      <c r="A1227">
        <v>1226</v>
      </c>
      <c r="B1227">
        <v>2140</v>
      </c>
      <c r="C1227" t="str">
        <f t="shared" si="57"/>
        <v>Medium</v>
      </c>
      <c r="D1227">
        <v>5</v>
      </c>
      <c r="E1227">
        <v>2</v>
      </c>
      <c r="F1227">
        <v>1</v>
      </c>
      <c r="G1227">
        <v>1989</v>
      </c>
      <c r="H1227" t="str">
        <f t="shared" si="58"/>
        <v>1976-2000</v>
      </c>
      <c r="I1227" t="s">
        <v>17</v>
      </c>
      <c r="J1227" t="s">
        <v>15</v>
      </c>
      <c r="K1227" t="s">
        <v>16</v>
      </c>
      <c r="L1227" s="4">
        <v>228872</v>
      </c>
      <c r="M1227" t="str">
        <f t="shared" si="59"/>
        <v>Medium</v>
      </c>
    </row>
    <row r="1228" spans="1:13" x14ac:dyDescent="0.35">
      <c r="A1228">
        <v>1227</v>
      </c>
      <c r="B1228">
        <v>3182</v>
      </c>
      <c r="C1228" t="str">
        <f t="shared" si="57"/>
        <v>Large</v>
      </c>
      <c r="D1228">
        <v>2</v>
      </c>
      <c r="E1228">
        <v>1</v>
      </c>
      <c r="F1228">
        <v>1</v>
      </c>
      <c r="G1228">
        <v>1977</v>
      </c>
      <c r="H1228" t="str">
        <f t="shared" si="58"/>
        <v>1976-2000</v>
      </c>
      <c r="I1228" t="s">
        <v>19</v>
      </c>
      <c r="J1228" t="s">
        <v>13</v>
      </c>
      <c r="K1228" t="s">
        <v>12</v>
      </c>
      <c r="L1228" s="4">
        <v>742727</v>
      </c>
      <c r="M1228" t="str">
        <f t="shared" si="59"/>
        <v>Premium</v>
      </c>
    </row>
    <row r="1229" spans="1:13" x14ac:dyDescent="0.35">
      <c r="A1229">
        <v>1228</v>
      </c>
      <c r="B1229">
        <v>1487</v>
      </c>
      <c r="C1229" t="str">
        <f t="shared" si="57"/>
        <v>Medium</v>
      </c>
      <c r="D1229">
        <v>3</v>
      </c>
      <c r="E1229">
        <v>4</v>
      </c>
      <c r="F1229">
        <v>3</v>
      </c>
      <c r="G1229">
        <v>2002</v>
      </c>
      <c r="H1229" t="str">
        <f t="shared" si="58"/>
        <v>Post-2000</v>
      </c>
      <c r="I1229" t="s">
        <v>17</v>
      </c>
      <c r="J1229" t="s">
        <v>18</v>
      </c>
      <c r="K1229" t="s">
        <v>12</v>
      </c>
      <c r="L1229" s="4">
        <v>520970</v>
      </c>
      <c r="M1229" t="str">
        <f t="shared" si="59"/>
        <v>High</v>
      </c>
    </row>
    <row r="1230" spans="1:13" x14ac:dyDescent="0.35">
      <c r="A1230">
        <v>1229</v>
      </c>
      <c r="B1230">
        <v>1718</v>
      </c>
      <c r="C1230" t="str">
        <f t="shared" si="57"/>
        <v>Medium</v>
      </c>
      <c r="D1230">
        <v>4</v>
      </c>
      <c r="E1230">
        <v>1</v>
      </c>
      <c r="F1230">
        <v>2</v>
      </c>
      <c r="G1230">
        <v>1955</v>
      </c>
      <c r="H1230" t="str">
        <f t="shared" si="58"/>
        <v>1950-1975</v>
      </c>
      <c r="I1230" t="s">
        <v>17</v>
      </c>
      <c r="J1230" t="s">
        <v>11</v>
      </c>
      <c r="K1230" t="s">
        <v>16</v>
      </c>
      <c r="L1230" s="4">
        <v>380657</v>
      </c>
      <c r="M1230" t="str">
        <f t="shared" si="59"/>
        <v>Medium</v>
      </c>
    </row>
    <row r="1231" spans="1:13" x14ac:dyDescent="0.35">
      <c r="A1231">
        <v>1230</v>
      </c>
      <c r="B1231">
        <v>1855</v>
      </c>
      <c r="C1231" t="str">
        <f t="shared" si="57"/>
        <v>Medium</v>
      </c>
      <c r="D1231">
        <v>4</v>
      </c>
      <c r="E1231">
        <v>3</v>
      </c>
      <c r="F1231">
        <v>3</v>
      </c>
      <c r="G1231">
        <v>2003</v>
      </c>
      <c r="H1231" t="str">
        <f t="shared" si="58"/>
        <v>Post-2000</v>
      </c>
      <c r="I1231" t="s">
        <v>10</v>
      </c>
      <c r="J1231" t="s">
        <v>13</v>
      </c>
      <c r="K1231" t="s">
        <v>12</v>
      </c>
      <c r="L1231" s="4">
        <v>657050</v>
      </c>
      <c r="M1231" t="str">
        <f t="shared" si="59"/>
        <v>Premium</v>
      </c>
    </row>
    <row r="1232" spans="1:13" x14ac:dyDescent="0.35">
      <c r="A1232">
        <v>1231</v>
      </c>
      <c r="B1232">
        <v>4765</v>
      </c>
      <c r="C1232" t="str">
        <f t="shared" si="57"/>
        <v>Extra Large</v>
      </c>
      <c r="D1232">
        <v>1</v>
      </c>
      <c r="E1232">
        <v>3</v>
      </c>
      <c r="F1232">
        <v>2</v>
      </c>
      <c r="G1232">
        <v>1900</v>
      </c>
      <c r="H1232" t="str">
        <f t="shared" si="58"/>
        <v>Pre-1950</v>
      </c>
      <c r="I1232" t="s">
        <v>14</v>
      </c>
      <c r="J1232" t="s">
        <v>18</v>
      </c>
      <c r="K1232" t="s">
        <v>16</v>
      </c>
      <c r="L1232" s="4">
        <v>210094</v>
      </c>
      <c r="M1232" t="str">
        <f t="shared" si="59"/>
        <v>Medium</v>
      </c>
    </row>
    <row r="1233" spans="1:13" x14ac:dyDescent="0.35">
      <c r="A1233">
        <v>1232</v>
      </c>
      <c r="B1233">
        <v>4635</v>
      </c>
      <c r="C1233" t="str">
        <f t="shared" si="57"/>
        <v>Extra Large</v>
      </c>
      <c r="D1233">
        <v>4</v>
      </c>
      <c r="E1233">
        <v>4</v>
      </c>
      <c r="F1233">
        <v>2</v>
      </c>
      <c r="G1233">
        <v>1955</v>
      </c>
      <c r="H1233" t="str">
        <f t="shared" si="58"/>
        <v>1950-1975</v>
      </c>
      <c r="I1233" t="s">
        <v>10</v>
      </c>
      <c r="J1233" t="s">
        <v>15</v>
      </c>
      <c r="K1233" t="s">
        <v>12</v>
      </c>
      <c r="L1233" s="4">
        <v>774689</v>
      </c>
      <c r="M1233" t="str">
        <f t="shared" si="59"/>
        <v>Premium</v>
      </c>
    </row>
    <row r="1234" spans="1:13" x14ac:dyDescent="0.35">
      <c r="A1234">
        <v>1233</v>
      </c>
      <c r="B1234">
        <v>2060</v>
      </c>
      <c r="C1234" t="str">
        <f t="shared" si="57"/>
        <v>Medium</v>
      </c>
      <c r="D1234">
        <v>3</v>
      </c>
      <c r="E1234">
        <v>1</v>
      </c>
      <c r="F1234">
        <v>3</v>
      </c>
      <c r="G1234">
        <v>2017</v>
      </c>
      <c r="H1234" t="str">
        <f t="shared" si="58"/>
        <v>Post-2000</v>
      </c>
      <c r="I1234" t="s">
        <v>17</v>
      </c>
      <c r="J1234" t="s">
        <v>18</v>
      </c>
      <c r="K1234" t="s">
        <v>12</v>
      </c>
      <c r="L1234" s="4">
        <v>969163</v>
      </c>
      <c r="M1234" t="str">
        <f t="shared" si="59"/>
        <v>Premium</v>
      </c>
    </row>
    <row r="1235" spans="1:13" x14ac:dyDescent="0.35">
      <c r="A1235">
        <v>1234</v>
      </c>
      <c r="B1235">
        <v>1918</v>
      </c>
      <c r="C1235" t="str">
        <f t="shared" si="57"/>
        <v>Medium</v>
      </c>
      <c r="D1235">
        <v>4</v>
      </c>
      <c r="E1235">
        <v>4</v>
      </c>
      <c r="F1235">
        <v>2</v>
      </c>
      <c r="G1235">
        <v>1903</v>
      </c>
      <c r="H1235" t="str">
        <f t="shared" si="58"/>
        <v>Pre-1950</v>
      </c>
      <c r="I1235" t="s">
        <v>19</v>
      </c>
      <c r="J1235" t="s">
        <v>11</v>
      </c>
      <c r="K1235" t="s">
        <v>16</v>
      </c>
      <c r="L1235" s="4">
        <v>107941</v>
      </c>
      <c r="M1235" t="str">
        <f t="shared" si="59"/>
        <v>Low</v>
      </c>
    </row>
    <row r="1236" spans="1:13" x14ac:dyDescent="0.35">
      <c r="A1236">
        <v>1235</v>
      </c>
      <c r="B1236">
        <v>1454</v>
      </c>
      <c r="C1236" t="str">
        <f t="shared" si="57"/>
        <v>Medium</v>
      </c>
      <c r="D1236">
        <v>3</v>
      </c>
      <c r="E1236">
        <v>1</v>
      </c>
      <c r="F1236">
        <v>1</v>
      </c>
      <c r="G1236">
        <v>1929</v>
      </c>
      <c r="H1236" t="str">
        <f t="shared" si="58"/>
        <v>Pre-1950</v>
      </c>
      <c r="I1236" t="s">
        <v>19</v>
      </c>
      <c r="J1236" t="s">
        <v>13</v>
      </c>
      <c r="K1236" t="s">
        <v>16</v>
      </c>
      <c r="L1236" s="4">
        <v>355617</v>
      </c>
      <c r="M1236" t="str">
        <f t="shared" si="59"/>
        <v>Medium</v>
      </c>
    </row>
    <row r="1237" spans="1:13" x14ac:dyDescent="0.35">
      <c r="A1237">
        <v>1236</v>
      </c>
      <c r="B1237">
        <v>1483</v>
      </c>
      <c r="C1237" t="str">
        <f t="shared" si="57"/>
        <v>Medium</v>
      </c>
      <c r="D1237">
        <v>2</v>
      </c>
      <c r="E1237">
        <v>2</v>
      </c>
      <c r="F1237">
        <v>3</v>
      </c>
      <c r="G1237">
        <v>1911</v>
      </c>
      <c r="H1237" t="str">
        <f t="shared" si="58"/>
        <v>Pre-1950</v>
      </c>
      <c r="I1237" t="s">
        <v>19</v>
      </c>
      <c r="J1237" t="s">
        <v>18</v>
      </c>
      <c r="K1237" t="s">
        <v>16</v>
      </c>
      <c r="L1237" s="4">
        <v>760958</v>
      </c>
      <c r="M1237" t="str">
        <f t="shared" si="59"/>
        <v>Premium</v>
      </c>
    </row>
    <row r="1238" spans="1:13" x14ac:dyDescent="0.35">
      <c r="A1238">
        <v>1237</v>
      </c>
      <c r="B1238">
        <v>1474</v>
      </c>
      <c r="C1238" t="str">
        <f t="shared" si="57"/>
        <v>Medium</v>
      </c>
      <c r="D1238">
        <v>1</v>
      </c>
      <c r="E1238">
        <v>3</v>
      </c>
      <c r="F1238">
        <v>2</v>
      </c>
      <c r="G1238">
        <v>2019</v>
      </c>
      <c r="H1238" t="str">
        <f t="shared" si="58"/>
        <v>Post-2000</v>
      </c>
      <c r="I1238" t="s">
        <v>10</v>
      </c>
      <c r="J1238" t="s">
        <v>11</v>
      </c>
      <c r="K1238" t="s">
        <v>12</v>
      </c>
      <c r="L1238" s="4">
        <v>66040</v>
      </c>
      <c r="M1238" t="str">
        <f t="shared" si="59"/>
        <v>Low</v>
      </c>
    </row>
    <row r="1239" spans="1:13" x14ac:dyDescent="0.35">
      <c r="A1239">
        <v>1238</v>
      </c>
      <c r="B1239">
        <v>4633</v>
      </c>
      <c r="C1239" t="str">
        <f t="shared" si="57"/>
        <v>Extra Large</v>
      </c>
      <c r="D1239">
        <v>4</v>
      </c>
      <c r="E1239">
        <v>4</v>
      </c>
      <c r="F1239">
        <v>1</v>
      </c>
      <c r="G1239">
        <v>1934</v>
      </c>
      <c r="H1239" t="str">
        <f t="shared" si="58"/>
        <v>Pre-1950</v>
      </c>
      <c r="I1239" t="s">
        <v>14</v>
      </c>
      <c r="J1239" t="s">
        <v>18</v>
      </c>
      <c r="K1239" t="s">
        <v>12</v>
      </c>
      <c r="L1239" s="4">
        <v>119806</v>
      </c>
      <c r="M1239" t="str">
        <f t="shared" si="59"/>
        <v>Low</v>
      </c>
    </row>
    <row r="1240" spans="1:13" x14ac:dyDescent="0.35">
      <c r="A1240">
        <v>1239</v>
      </c>
      <c r="B1240">
        <v>4472</v>
      </c>
      <c r="C1240" t="str">
        <f t="shared" si="57"/>
        <v>Extra Large</v>
      </c>
      <c r="D1240">
        <v>3</v>
      </c>
      <c r="E1240">
        <v>2</v>
      </c>
      <c r="F1240">
        <v>3</v>
      </c>
      <c r="G1240">
        <v>1976</v>
      </c>
      <c r="H1240" t="str">
        <f t="shared" si="58"/>
        <v>1976-2000</v>
      </c>
      <c r="I1240" t="s">
        <v>10</v>
      </c>
      <c r="J1240" t="s">
        <v>18</v>
      </c>
      <c r="K1240" t="s">
        <v>16</v>
      </c>
      <c r="L1240" s="4">
        <v>718646</v>
      </c>
      <c r="M1240" t="str">
        <f t="shared" si="59"/>
        <v>Premium</v>
      </c>
    </row>
    <row r="1241" spans="1:13" x14ac:dyDescent="0.35">
      <c r="A1241">
        <v>1240</v>
      </c>
      <c r="B1241">
        <v>1413</v>
      </c>
      <c r="C1241" t="str">
        <f t="shared" si="57"/>
        <v>Medium</v>
      </c>
      <c r="D1241">
        <v>5</v>
      </c>
      <c r="E1241">
        <v>2</v>
      </c>
      <c r="F1241">
        <v>1</v>
      </c>
      <c r="G1241">
        <v>1951</v>
      </c>
      <c r="H1241" t="str">
        <f t="shared" si="58"/>
        <v>1950-1975</v>
      </c>
      <c r="I1241" t="s">
        <v>19</v>
      </c>
      <c r="J1241" t="s">
        <v>13</v>
      </c>
      <c r="K1241" t="s">
        <v>12</v>
      </c>
      <c r="L1241" s="4">
        <v>250211</v>
      </c>
      <c r="M1241" t="str">
        <f t="shared" si="59"/>
        <v>Medium</v>
      </c>
    </row>
    <row r="1242" spans="1:13" x14ac:dyDescent="0.35">
      <c r="A1242">
        <v>1241</v>
      </c>
      <c r="B1242">
        <v>536</v>
      </c>
      <c r="C1242" t="str">
        <f t="shared" si="57"/>
        <v>Small</v>
      </c>
      <c r="D1242">
        <v>1</v>
      </c>
      <c r="E1242">
        <v>4</v>
      </c>
      <c r="F1242">
        <v>1</v>
      </c>
      <c r="G1242">
        <v>1930</v>
      </c>
      <c r="H1242" t="str">
        <f t="shared" si="58"/>
        <v>Pre-1950</v>
      </c>
      <c r="I1242" t="s">
        <v>17</v>
      </c>
      <c r="J1242" t="s">
        <v>15</v>
      </c>
      <c r="K1242" t="s">
        <v>16</v>
      </c>
      <c r="L1242" s="4">
        <v>686364</v>
      </c>
      <c r="M1242" t="str">
        <f t="shared" si="59"/>
        <v>Premium</v>
      </c>
    </row>
    <row r="1243" spans="1:13" x14ac:dyDescent="0.35">
      <c r="A1243">
        <v>1242</v>
      </c>
      <c r="B1243">
        <v>3887</v>
      </c>
      <c r="C1243" t="str">
        <f t="shared" si="57"/>
        <v>Large</v>
      </c>
      <c r="D1243">
        <v>2</v>
      </c>
      <c r="E1243">
        <v>4</v>
      </c>
      <c r="F1243">
        <v>1</v>
      </c>
      <c r="G1243">
        <v>2001</v>
      </c>
      <c r="H1243" t="str">
        <f t="shared" si="58"/>
        <v>Post-2000</v>
      </c>
      <c r="I1243" t="s">
        <v>14</v>
      </c>
      <c r="J1243" t="s">
        <v>15</v>
      </c>
      <c r="K1243" t="s">
        <v>12</v>
      </c>
      <c r="L1243" s="4">
        <v>105916</v>
      </c>
      <c r="M1243" t="str">
        <f t="shared" si="59"/>
        <v>Low</v>
      </c>
    </row>
    <row r="1244" spans="1:13" x14ac:dyDescent="0.35">
      <c r="A1244">
        <v>1243</v>
      </c>
      <c r="B1244">
        <v>2211</v>
      </c>
      <c r="C1244" t="str">
        <f t="shared" si="57"/>
        <v>Medium</v>
      </c>
      <c r="D1244">
        <v>3</v>
      </c>
      <c r="E1244">
        <v>2</v>
      </c>
      <c r="F1244">
        <v>2</v>
      </c>
      <c r="G1244">
        <v>2006</v>
      </c>
      <c r="H1244" t="str">
        <f t="shared" si="58"/>
        <v>Post-2000</v>
      </c>
      <c r="I1244" t="s">
        <v>10</v>
      </c>
      <c r="J1244" t="s">
        <v>11</v>
      </c>
      <c r="K1244" t="s">
        <v>16</v>
      </c>
      <c r="L1244" s="4">
        <v>722960</v>
      </c>
      <c r="M1244" t="str">
        <f t="shared" si="59"/>
        <v>Premium</v>
      </c>
    </row>
    <row r="1245" spans="1:13" x14ac:dyDescent="0.35">
      <c r="A1245">
        <v>1244</v>
      </c>
      <c r="B1245">
        <v>3520</v>
      </c>
      <c r="C1245" t="str">
        <f t="shared" si="57"/>
        <v>Large</v>
      </c>
      <c r="D1245">
        <v>2</v>
      </c>
      <c r="E1245">
        <v>1</v>
      </c>
      <c r="F1245">
        <v>3</v>
      </c>
      <c r="G1245">
        <v>1986</v>
      </c>
      <c r="H1245" t="str">
        <f t="shared" si="58"/>
        <v>1976-2000</v>
      </c>
      <c r="I1245" t="s">
        <v>10</v>
      </c>
      <c r="J1245" t="s">
        <v>11</v>
      </c>
      <c r="K1245" t="s">
        <v>12</v>
      </c>
      <c r="L1245" s="4">
        <v>445507</v>
      </c>
      <c r="M1245" t="str">
        <f t="shared" si="59"/>
        <v>High</v>
      </c>
    </row>
    <row r="1246" spans="1:13" x14ac:dyDescent="0.35">
      <c r="A1246">
        <v>1245</v>
      </c>
      <c r="B1246">
        <v>1295</v>
      </c>
      <c r="C1246" t="str">
        <f t="shared" si="57"/>
        <v>Medium</v>
      </c>
      <c r="D1246">
        <v>2</v>
      </c>
      <c r="E1246">
        <v>2</v>
      </c>
      <c r="F1246">
        <v>3</v>
      </c>
      <c r="G1246">
        <v>1967</v>
      </c>
      <c r="H1246" t="str">
        <f t="shared" si="58"/>
        <v>1950-1975</v>
      </c>
      <c r="I1246" t="s">
        <v>14</v>
      </c>
      <c r="J1246" t="s">
        <v>11</v>
      </c>
      <c r="K1246" t="s">
        <v>12</v>
      </c>
      <c r="L1246" s="4">
        <v>456339</v>
      </c>
      <c r="M1246" t="str">
        <f t="shared" si="59"/>
        <v>High</v>
      </c>
    </row>
    <row r="1247" spans="1:13" x14ac:dyDescent="0.35">
      <c r="A1247">
        <v>1246</v>
      </c>
      <c r="B1247">
        <v>4536</v>
      </c>
      <c r="C1247" t="str">
        <f t="shared" si="57"/>
        <v>Extra Large</v>
      </c>
      <c r="D1247">
        <v>4</v>
      </c>
      <c r="E1247">
        <v>4</v>
      </c>
      <c r="F1247">
        <v>2</v>
      </c>
      <c r="G1247">
        <v>1951</v>
      </c>
      <c r="H1247" t="str">
        <f t="shared" si="58"/>
        <v>1950-1975</v>
      </c>
      <c r="I1247" t="s">
        <v>14</v>
      </c>
      <c r="J1247" t="s">
        <v>13</v>
      </c>
      <c r="K1247" t="s">
        <v>12</v>
      </c>
      <c r="L1247" s="4">
        <v>840243</v>
      </c>
      <c r="M1247" t="str">
        <f t="shared" si="59"/>
        <v>Premium</v>
      </c>
    </row>
    <row r="1248" spans="1:13" x14ac:dyDescent="0.35">
      <c r="A1248">
        <v>1247</v>
      </c>
      <c r="B1248">
        <v>3611</v>
      </c>
      <c r="C1248" t="str">
        <f t="shared" si="57"/>
        <v>Large</v>
      </c>
      <c r="D1248">
        <v>4</v>
      </c>
      <c r="E1248">
        <v>2</v>
      </c>
      <c r="F1248">
        <v>3</v>
      </c>
      <c r="G1248">
        <v>1979</v>
      </c>
      <c r="H1248" t="str">
        <f t="shared" si="58"/>
        <v>1976-2000</v>
      </c>
      <c r="I1248" t="s">
        <v>17</v>
      </c>
      <c r="J1248" t="s">
        <v>15</v>
      </c>
      <c r="K1248" t="s">
        <v>12</v>
      </c>
      <c r="L1248" s="4">
        <v>605564</v>
      </c>
      <c r="M1248" t="str">
        <f t="shared" si="59"/>
        <v>Premium</v>
      </c>
    </row>
    <row r="1249" spans="1:13" x14ac:dyDescent="0.35">
      <c r="A1249">
        <v>1248</v>
      </c>
      <c r="B1249">
        <v>1824</v>
      </c>
      <c r="C1249" t="str">
        <f t="shared" si="57"/>
        <v>Medium</v>
      </c>
      <c r="D1249">
        <v>3</v>
      </c>
      <c r="E1249">
        <v>1</v>
      </c>
      <c r="F1249">
        <v>1</v>
      </c>
      <c r="G1249">
        <v>1906</v>
      </c>
      <c r="H1249" t="str">
        <f t="shared" si="58"/>
        <v>Pre-1950</v>
      </c>
      <c r="I1249" t="s">
        <v>14</v>
      </c>
      <c r="J1249" t="s">
        <v>11</v>
      </c>
      <c r="K1249" t="s">
        <v>16</v>
      </c>
      <c r="L1249" s="4">
        <v>235217</v>
      </c>
      <c r="M1249" t="str">
        <f t="shared" si="59"/>
        <v>Medium</v>
      </c>
    </row>
    <row r="1250" spans="1:13" x14ac:dyDescent="0.35">
      <c r="A1250">
        <v>1249</v>
      </c>
      <c r="B1250">
        <v>817</v>
      </c>
      <c r="C1250" t="str">
        <f t="shared" si="57"/>
        <v>Small</v>
      </c>
      <c r="D1250">
        <v>5</v>
      </c>
      <c r="E1250">
        <v>3</v>
      </c>
      <c r="F1250">
        <v>3</v>
      </c>
      <c r="G1250">
        <v>1921</v>
      </c>
      <c r="H1250" t="str">
        <f t="shared" si="58"/>
        <v>Pre-1950</v>
      </c>
      <c r="I1250" t="s">
        <v>17</v>
      </c>
      <c r="J1250" t="s">
        <v>11</v>
      </c>
      <c r="K1250" t="s">
        <v>12</v>
      </c>
      <c r="L1250" s="4">
        <v>917481</v>
      </c>
      <c r="M1250" t="str">
        <f t="shared" si="59"/>
        <v>Premium</v>
      </c>
    </row>
    <row r="1251" spans="1:13" x14ac:dyDescent="0.35">
      <c r="A1251">
        <v>1250</v>
      </c>
      <c r="B1251">
        <v>2896</v>
      </c>
      <c r="C1251" t="str">
        <f t="shared" si="57"/>
        <v>Large</v>
      </c>
      <c r="D1251">
        <v>3</v>
      </c>
      <c r="E1251">
        <v>3</v>
      </c>
      <c r="F1251">
        <v>2</v>
      </c>
      <c r="G1251">
        <v>1992</v>
      </c>
      <c r="H1251" t="str">
        <f t="shared" si="58"/>
        <v>1976-2000</v>
      </c>
      <c r="I1251" t="s">
        <v>19</v>
      </c>
      <c r="J1251" t="s">
        <v>18</v>
      </c>
      <c r="K1251" t="s">
        <v>16</v>
      </c>
      <c r="L1251" s="4">
        <v>251750</v>
      </c>
      <c r="M1251" t="str">
        <f t="shared" si="59"/>
        <v>Medium</v>
      </c>
    </row>
    <row r="1252" spans="1:13" x14ac:dyDescent="0.35">
      <c r="A1252">
        <v>1251</v>
      </c>
      <c r="B1252">
        <v>2662</v>
      </c>
      <c r="C1252" t="str">
        <f t="shared" si="57"/>
        <v>Large</v>
      </c>
      <c r="D1252">
        <v>5</v>
      </c>
      <c r="E1252">
        <v>2</v>
      </c>
      <c r="F1252">
        <v>1</v>
      </c>
      <c r="G1252">
        <v>1974</v>
      </c>
      <c r="H1252" t="str">
        <f t="shared" si="58"/>
        <v>1950-1975</v>
      </c>
      <c r="I1252" t="s">
        <v>19</v>
      </c>
      <c r="J1252" t="s">
        <v>18</v>
      </c>
      <c r="K1252" t="s">
        <v>16</v>
      </c>
      <c r="L1252" s="4">
        <v>269854</v>
      </c>
      <c r="M1252" t="str">
        <f t="shared" si="59"/>
        <v>Medium</v>
      </c>
    </row>
    <row r="1253" spans="1:13" x14ac:dyDescent="0.35">
      <c r="A1253">
        <v>1252</v>
      </c>
      <c r="B1253">
        <v>3245</v>
      </c>
      <c r="C1253" t="str">
        <f t="shared" si="57"/>
        <v>Large</v>
      </c>
      <c r="D1253">
        <v>2</v>
      </c>
      <c r="E1253">
        <v>1</v>
      </c>
      <c r="F1253">
        <v>2</v>
      </c>
      <c r="G1253">
        <v>1955</v>
      </c>
      <c r="H1253" t="str">
        <f t="shared" si="58"/>
        <v>1950-1975</v>
      </c>
      <c r="I1253" t="s">
        <v>10</v>
      </c>
      <c r="J1253" t="s">
        <v>11</v>
      </c>
      <c r="K1253" t="s">
        <v>16</v>
      </c>
      <c r="L1253" s="4">
        <v>796403</v>
      </c>
      <c r="M1253" t="str">
        <f t="shared" si="59"/>
        <v>Premium</v>
      </c>
    </row>
    <row r="1254" spans="1:13" x14ac:dyDescent="0.35">
      <c r="A1254">
        <v>1253</v>
      </c>
      <c r="B1254">
        <v>2091</v>
      </c>
      <c r="C1254" t="str">
        <f t="shared" si="57"/>
        <v>Medium</v>
      </c>
      <c r="D1254">
        <v>1</v>
      </c>
      <c r="E1254">
        <v>3</v>
      </c>
      <c r="F1254">
        <v>1</v>
      </c>
      <c r="G1254">
        <v>1996</v>
      </c>
      <c r="H1254" t="str">
        <f t="shared" si="58"/>
        <v>1976-2000</v>
      </c>
      <c r="I1254" t="s">
        <v>19</v>
      </c>
      <c r="J1254" t="s">
        <v>18</v>
      </c>
      <c r="K1254" t="s">
        <v>16</v>
      </c>
      <c r="L1254" s="4">
        <v>994218</v>
      </c>
      <c r="M1254" t="str">
        <f t="shared" si="59"/>
        <v>Premium</v>
      </c>
    </row>
    <row r="1255" spans="1:13" x14ac:dyDescent="0.35">
      <c r="A1255">
        <v>1254</v>
      </c>
      <c r="B1255">
        <v>3611</v>
      </c>
      <c r="C1255" t="str">
        <f t="shared" si="57"/>
        <v>Large</v>
      </c>
      <c r="D1255">
        <v>3</v>
      </c>
      <c r="E1255">
        <v>2</v>
      </c>
      <c r="F1255">
        <v>1</v>
      </c>
      <c r="G1255">
        <v>1957</v>
      </c>
      <c r="H1255" t="str">
        <f t="shared" si="58"/>
        <v>1950-1975</v>
      </c>
      <c r="I1255" t="s">
        <v>19</v>
      </c>
      <c r="J1255" t="s">
        <v>18</v>
      </c>
      <c r="K1255" t="s">
        <v>12</v>
      </c>
      <c r="L1255" s="4">
        <v>761045</v>
      </c>
      <c r="M1255" t="str">
        <f t="shared" si="59"/>
        <v>Premium</v>
      </c>
    </row>
    <row r="1256" spans="1:13" x14ac:dyDescent="0.35">
      <c r="A1256">
        <v>1255</v>
      </c>
      <c r="B1256">
        <v>4430</v>
      </c>
      <c r="C1256" t="str">
        <f t="shared" si="57"/>
        <v>Extra Large</v>
      </c>
      <c r="D1256">
        <v>3</v>
      </c>
      <c r="E1256">
        <v>2</v>
      </c>
      <c r="F1256">
        <v>3</v>
      </c>
      <c r="G1256">
        <v>1992</v>
      </c>
      <c r="H1256" t="str">
        <f t="shared" si="58"/>
        <v>1976-2000</v>
      </c>
      <c r="I1256" t="s">
        <v>17</v>
      </c>
      <c r="J1256" t="s">
        <v>18</v>
      </c>
      <c r="K1256" t="s">
        <v>16</v>
      </c>
      <c r="L1256" s="4">
        <v>717554</v>
      </c>
      <c r="M1256" t="str">
        <f t="shared" si="59"/>
        <v>Premium</v>
      </c>
    </row>
    <row r="1257" spans="1:13" x14ac:dyDescent="0.35">
      <c r="A1257">
        <v>1256</v>
      </c>
      <c r="B1257">
        <v>2496</v>
      </c>
      <c r="C1257" t="str">
        <f t="shared" si="57"/>
        <v>Medium</v>
      </c>
      <c r="D1257">
        <v>5</v>
      </c>
      <c r="E1257">
        <v>1</v>
      </c>
      <c r="F1257">
        <v>1</v>
      </c>
      <c r="G1257">
        <v>1963</v>
      </c>
      <c r="H1257" t="str">
        <f t="shared" si="58"/>
        <v>1950-1975</v>
      </c>
      <c r="I1257" t="s">
        <v>10</v>
      </c>
      <c r="J1257" t="s">
        <v>13</v>
      </c>
      <c r="K1257" t="s">
        <v>12</v>
      </c>
      <c r="L1257" s="4">
        <v>385206</v>
      </c>
      <c r="M1257" t="str">
        <f t="shared" si="59"/>
        <v>Medium</v>
      </c>
    </row>
    <row r="1258" spans="1:13" x14ac:dyDescent="0.35">
      <c r="A1258">
        <v>1257</v>
      </c>
      <c r="B1258">
        <v>1812</v>
      </c>
      <c r="C1258" t="str">
        <f t="shared" si="57"/>
        <v>Medium</v>
      </c>
      <c r="D1258">
        <v>2</v>
      </c>
      <c r="E1258">
        <v>4</v>
      </c>
      <c r="F1258">
        <v>2</v>
      </c>
      <c r="G1258">
        <v>2022</v>
      </c>
      <c r="H1258" t="str">
        <f t="shared" si="58"/>
        <v>Post-2000</v>
      </c>
      <c r="I1258" t="s">
        <v>14</v>
      </c>
      <c r="J1258" t="s">
        <v>11</v>
      </c>
      <c r="K1258" t="s">
        <v>12</v>
      </c>
      <c r="L1258" s="4">
        <v>200434</v>
      </c>
      <c r="M1258" t="str">
        <f t="shared" si="59"/>
        <v>Medium</v>
      </c>
    </row>
    <row r="1259" spans="1:13" x14ac:dyDescent="0.35">
      <c r="A1259">
        <v>1258</v>
      </c>
      <c r="B1259">
        <v>1785</v>
      </c>
      <c r="C1259" t="str">
        <f t="shared" si="57"/>
        <v>Medium</v>
      </c>
      <c r="D1259">
        <v>2</v>
      </c>
      <c r="E1259">
        <v>2</v>
      </c>
      <c r="F1259">
        <v>3</v>
      </c>
      <c r="G1259">
        <v>2002</v>
      </c>
      <c r="H1259" t="str">
        <f t="shared" si="58"/>
        <v>Post-2000</v>
      </c>
      <c r="I1259" t="s">
        <v>10</v>
      </c>
      <c r="J1259" t="s">
        <v>11</v>
      </c>
      <c r="K1259" t="s">
        <v>12</v>
      </c>
      <c r="L1259" s="4">
        <v>890931</v>
      </c>
      <c r="M1259" t="str">
        <f t="shared" si="59"/>
        <v>Premium</v>
      </c>
    </row>
    <row r="1260" spans="1:13" x14ac:dyDescent="0.35">
      <c r="A1260">
        <v>1259</v>
      </c>
      <c r="B1260">
        <v>4811</v>
      </c>
      <c r="C1260" t="str">
        <f t="shared" si="57"/>
        <v>Extra Large</v>
      </c>
      <c r="D1260">
        <v>5</v>
      </c>
      <c r="E1260">
        <v>4</v>
      </c>
      <c r="F1260">
        <v>2</v>
      </c>
      <c r="G1260">
        <v>1911</v>
      </c>
      <c r="H1260" t="str">
        <f t="shared" si="58"/>
        <v>Pre-1950</v>
      </c>
      <c r="I1260" t="s">
        <v>19</v>
      </c>
      <c r="J1260" t="s">
        <v>18</v>
      </c>
      <c r="K1260" t="s">
        <v>12</v>
      </c>
      <c r="L1260" s="4">
        <v>620569</v>
      </c>
      <c r="M1260" t="str">
        <f t="shared" si="59"/>
        <v>Premium</v>
      </c>
    </row>
    <row r="1261" spans="1:13" x14ac:dyDescent="0.35">
      <c r="A1261">
        <v>1260</v>
      </c>
      <c r="B1261">
        <v>2883</v>
      </c>
      <c r="C1261" t="str">
        <f t="shared" si="57"/>
        <v>Large</v>
      </c>
      <c r="D1261">
        <v>2</v>
      </c>
      <c r="E1261">
        <v>4</v>
      </c>
      <c r="F1261">
        <v>1</v>
      </c>
      <c r="G1261">
        <v>1906</v>
      </c>
      <c r="H1261" t="str">
        <f t="shared" si="58"/>
        <v>Pre-1950</v>
      </c>
      <c r="I1261" t="s">
        <v>14</v>
      </c>
      <c r="J1261" t="s">
        <v>13</v>
      </c>
      <c r="K1261" t="s">
        <v>16</v>
      </c>
      <c r="L1261" s="4">
        <v>881284</v>
      </c>
      <c r="M1261" t="str">
        <f t="shared" si="59"/>
        <v>Premium</v>
      </c>
    </row>
    <row r="1262" spans="1:13" x14ac:dyDescent="0.35">
      <c r="A1262">
        <v>1261</v>
      </c>
      <c r="B1262">
        <v>3739</v>
      </c>
      <c r="C1262" t="str">
        <f t="shared" si="57"/>
        <v>Large</v>
      </c>
      <c r="D1262">
        <v>4</v>
      </c>
      <c r="E1262">
        <v>3</v>
      </c>
      <c r="F1262">
        <v>2</v>
      </c>
      <c r="G1262">
        <v>2022</v>
      </c>
      <c r="H1262" t="str">
        <f t="shared" si="58"/>
        <v>Post-2000</v>
      </c>
      <c r="I1262" t="s">
        <v>10</v>
      </c>
      <c r="J1262" t="s">
        <v>18</v>
      </c>
      <c r="K1262" t="s">
        <v>12</v>
      </c>
      <c r="L1262" s="4">
        <v>836408</v>
      </c>
      <c r="M1262" t="str">
        <f t="shared" si="59"/>
        <v>Premium</v>
      </c>
    </row>
    <row r="1263" spans="1:13" x14ac:dyDescent="0.35">
      <c r="A1263">
        <v>1262</v>
      </c>
      <c r="B1263">
        <v>2639</v>
      </c>
      <c r="C1263" t="str">
        <f t="shared" si="57"/>
        <v>Large</v>
      </c>
      <c r="D1263">
        <v>1</v>
      </c>
      <c r="E1263">
        <v>4</v>
      </c>
      <c r="F1263">
        <v>2</v>
      </c>
      <c r="G1263">
        <v>1954</v>
      </c>
      <c r="H1263" t="str">
        <f t="shared" si="58"/>
        <v>1950-1975</v>
      </c>
      <c r="I1263" t="s">
        <v>10</v>
      </c>
      <c r="J1263" t="s">
        <v>13</v>
      </c>
      <c r="K1263" t="s">
        <v>16</v>
      </c>
      <c r="L1263" s="4">
        <v>827981</v>
      </c>
      <c r="M1263" t="str">
        <f t="shared" si="59"/>
        <v>Premium</v>
      </c>
    </row>
    <row r="1264" spans="1:13" x14ac:dyDescent="0.35">
      <c r="A1264">
        <v>1263</v>
      </c>
      <c r="B1264">
        <v>2204</v>
      </c>
      <c r="C1264" t="str">
        <f t="shared" si="57"/>
        <v>Medium</v>
      </c>
      <c r="D1264">
        <v>3</v>
      </c>
      <c r="E1264">
        <v>1</v>
      </c>
      <c r="F1264">
        <v>1</v>
      </c>
      <c r="G1264">
        <v>2002</v>
      </c>
      <c r="H1264" t="str">
        <f t="shared" si="58"/>
        <v>Post-2000</v>
      </c>
      <c r="I1264" t="s">
        <v>10</v>
      </c>
      <c r="J1264" t="s">
        <v>11</v>
      </c>
      <c r="K1264" t="s">
        <v>12</v>
      </c>
      <c r="L1264" s="4">
        <v>554869</v>
      </c>
      <c r="M1264" t="str">
        <f t="shared" si="59"/>
        <v>High</v>
      </c>
    </row>
    <row r="1265" spans="1:13" x14ac:dyDescent="0.35">
      <c r="A1265">
        <v>1264</v>
      </c>
      <c r="B1265">
        <v>862</v>
      </c>
      <c r="C1265" t="str">
        <f t="shared" si="57"/>
        <v>Small</v>
      </c>
      <c r="D1265">
        <v>1</v>
      </c>
      <c r="E1265">
        <v>3</v>
      </c>
      <c r="F1265">
        <v>3</v>
      </c>
      <c r="G1265">
        <v>2005</v>
      </c>
      <c r="H1265" t="str">
        <f t="shared" si="58"/>
        <v>Post-2000</v>
      </c>
      <c r="I1265" t="s">
        <v>10</v>
      </c>
      <c r="J1265" t="s">
        <v>18</v>
      </c>
      <c r="K1265" t="s">
        <v>12</v>
      </c>
      <c r="L1265" s="4">
        <v>753196</v>
      </c>
      <c r="M1265" t="str">
        <f t="shared" si="59"/>
        <v>Premium</v>
      </c>
    </row>
    <row r="1266" spans="1:13" x14ac:dyDescent="0.35">
      <c r="A1266">
        <v>1265</v>
      </c>
      <c r="B1266">
        <v>3104</v>
      </c>
      <c r="C1266" t="str">
        <f t="shared" si="57"/>
        <v>Large</v>
      </c>
      <c r="D1266">
        <v>3</v>
      </c>
      <c r="E1266">
        <v>3</v>
      </c>
      <c r="F1266">
        <v>2</v>
      </c>
      <c r="G1266">
        <v>1961</v>
      </c>
      <c r="H1266" t="str">
        <f t="shared" si="58"/>
        <v>1950-1975</v>
      </c>
      <c r="I1266" t="s">
        <v>17</v>
      </c>
      <c r="J1266" t="s">
        <v>11</v>
      </c>
      <c r="K1266" t="s">
        <v>16</v>
      </c>
      <c r="L1266" s="4">
        <v>578883</v>
      </c>
      <c r="M1266" t="str">
        <f t="shared" si="59"/>
        <v>High</v>
      </c>
    </row>
    <row r="1267" spans="1:13" x14ac:dyDescent="0.35">
      <c r="A1267">
        <v>1266</v>
      </c>
      <c r="B1267">
        <v>2216</v>
      </c>
      <c r="C1267" t="str">
        <f t="shared" si="57"/>
        <v>Medium</v>
      </c>
      <c r="D1267">
        <v>4</v>
      </c>
      <c r="E1267">
        <v>3</v>
      </c>
      <c r="F1267">
        <v>1</v>
      </c>
      <c r="G1267">
        <v>2011</v>
      </c>
      <c r="H1267" t="str">
        <f t="shared" si="58"/>
        <v>Post-2000</v>
      </c>
      <c r="I1267" t="s">
        <v>10</v>
      </c>
      <c r="J1267" t="s">
        <v>13</v>
      </c>
      <c r="K1267" t="s">
        <v>12</v>
      </c>
      <c r="L1267" s="4">
        <v>670218</v>
      </c>
      <c r="M1267" t="str">
        <f t="shared" si="59"/>
        <v>Premium</v>
      </c>
    </row>
    <row r="1268" spans="1:13" x14ac:dyDescent="0.35">
      <c r="A1268">
        <v>1267</v>
      </c>
      <c r="B1268">
        <v>4951</v>
      </c>
      <c r="C1268" t="str">
        <f t="shared" si="57"/>
        <v>Extra Large</v>
      </c>
      <c r="D1268">
        <v>2</v>
      </c>
      <c r="E1268">
        <v>2</v>
      </c>
      <c r="F1268">
        <v>3</v>
      </c>
      <c r="G1268">
        <v>1989</v>
      </c>
      <c r="H1268" t="str">
        <f t="shared" si="58"/>
        <v>1976-2000</v>
      </c>
      <c r="I1268" t="s">
        <v>19</v>
      </c>
      <c r="J1268" t="s">
        <v>15</v>
      </c>
      <c r="K1268" t="s">
        <v>12</v>
      </c>
      <c r="L1268" s="4">
        <v>196474</v>
      </c>
      <c r="M1268" t="str">
        <f t="shared" si="59"/>
        <v>Low</v>
      </c>
    </row>
    <row r="1269" spans="1:13" x14ac:dyDescent="0.35">
      <c r="A1269">
        <v>1268</v>
      </c>
      <c r="B1269">
        <v>4786</v>
      </c>
      <c r="C1269" t="str">
        <f t="shared" si="57"/>
        <v>Extra Large</v>
      </c>
      <c r="D1269">
        <v>5</v>
      </c>
      <c r="E1269">
        <v>2</v>
      </c>
      <c r="F1269">
        <v>3</v>
      </c>
      <c r="G1269">
        <v>2003</v>
      </c>
      <c r="H1269" t="str">
        <f t="shared" si="58"/>
        <v>Post-2000</v>
      </c>
      <c r="I1269" t="s">
        <v>19</v>
      </c>
      <c r="J1269" t="s">
        <v>13</v>
      </c>
      <c r="K1269" t="s">
        <v>12</v>
      </c>
      <c r="L1269" s="4">
        <v>311745</v>
      </c>
      <c r="M1269" t="str">
        <f t="shared" si="59"/>
        <v>Medium</v>
      </c>
    </row>
    <row r="1270" spans="1:13" x14ac:dyDescent="0.35">
      <c r="A1270">
        <v>1269</v>
      </c>
      <c r="B1270">
        <v>4238</v>
      </c>
      <c r="C1270" t="str">
        <f t="shared" si="57"/>
        <v>Extra Large</v>
      </c>
      <c r="D1270">
        <v>4</v>
      </c>
      <c r="E1270">
        <v>4</v>
      </c>
      <c r="F1270">
        <v>3</v>
      </c>
      <c r="G1270">
        <v>1972</v>
      </c>
      <c r="H1270" t="str">
        <f t="shared" si="58"/>
        <v>1950-1975</v>
      </c>
      <c r="I1270" t="s">
        <v>17</v>
      </c>
      <c r="J1270" t="s">
        <v>15</v>
      </c>
      <c r="K1270" t="s">
        <v>12</v>
      </c>
      <c r="L1270" s="4">
        <v>770643</v>
      </c>
      <c r="M1270" t="str">
        <f t="shared" si="59"/>
        <v>Premium</v>
      </c>
    </row>
    <row r="1271" spans="1:13" x14ac:dyDescent="0.35">
      <c r="A1271">
        <v>1270</v>
      </c>
      <c r="B1271">
        <v>2969</v>
      </c>
      <c r="C1271" t="str">
        <f t="shared" si="57"/>
        <v>Large</v>
      </c>
      <c r="D1271">
        <v>1</v>
      </c>
      <c r="E1271">
        <v>3</v>
      </c>
      <c r="F1271">
        <v>2</v>
      </c>
      <c r="G1271">
        <v>2004</v>
      </c>
      <c r="H1271" t="str">
        <f t="shared" si="58"/>
        <v>Post-2000</v>
      </c>
      <c r="I1271" t="s">
        <v>14</v>
      </c>
      <c r="J1271" t="s">
        <v>11</v>
      </c>
      <c r="K1271" t="s">
        <v>12</v>
      </c>
      <c r="L1271" s="4">
        <v>404820</v>
      </c>
      <c r="M1271" t="str">
        <f t="shared" si="59"/>
        <v>High</v>
      </c>
    </row>
    <row r="1272" spans="1:13" x14ac:dyDescent="0.35">
      <c r="A1272">
        <v>1271</v>
      </c>
      <c r="B1272">
        <v>1056</v>
      </c>
      <c r="C1272" t="str">
        <f t="shared" si="57"/>
        <v>Medium</v>
      </c>
      <c r="D1272">
        <v>5</v>
      </c>
      <c r="E1272">
        <v>3</v>
      </c>
      <c r="F1272">
        <v>2</v>
      </c>
      <c r="G1272">
        <v>1997</v>
      </c>
      <c r="H1272" t="str">
        <f t="shared" si="58"/>
        <v>1976-2000</v>
      </c>
      <c r="I1272" t="s">
        <v>14</v>
      </c>
      <c r="J1272" t="s">
        <v>11</v>
      </c>
      <c r="K1272" t="s">
        <v>16</v>
      </c>
      <c r="L1272" s="4">
        <v>748083</v>
      </c>
      <c r="M1272" t="str">
        <f t="shared" si="59"/>
        <v>Premium</v>
      </c>
    </row>
    <row r="1273" spans="1:13" x14ac:dyDescent="0.35">
      <c r="A1273">
        <v>1272</v>
      </c>
      <c r="B1273">
        <v>1325</v>
      </c>
      <c r="C1273" t="str">
        <f t="shared" si="57"/>
        <v>Medium</v>
      </c>
      <c r="D1273">
        <v>2</v>
      </c>
      <c r="E1273">
        <v>1</v>
      </c>
      <c r="F1273">
        <v>2</v>
      </c>
      <c r="G1273">
        <v>2008</v>
      </c>
      <c r="H1273" t="str">
        <f t="shared" si="58"/>
        <v>Post-2000</v>
      </c>
      <c r="I1273" t="s">
        <v>19</v>
      </c>
      <c r="J1273" t="s">
        <v>18</v>
      </c>
      <c r="K1273" t="s">
        <v>12</v>
      </c>
      <c r="L1273" s="4">
        <v>232394</v>
      </c>
      <c r="M1273" t="str">
        <f t="shared" si="59"/>
        <v>Medium</v>
      </c>
    </row>
    <row r="1274" spans="1:13" x14ac:dyDescent="0.35">
      <c r="A1274">
        <v>1273</v>
      </c>
      <c r="B1274">
        <v>3308</v>
      </c>
      <c r="C1274" t="str">
        <f t="shared" si="57"/>
        <v>Large</v>
      </c>
      <c r="D1274">
        <v>4</v>
      </c>
      <c r="E1274">
        <v>4</v>
      </c>
      <c r="F1274">
        <v>3</v>
      </c>
      <c r="G1274">
        <v>1976</v>
      </c>
      <c r="H1274" t="str">
        <f t="shared" si="58"/>
        <v>1976-2000</v>
      </c>
      <c r="I1274" t="s">
        <v>19</v>
      </c>
      <c r="J1274" t="s">
        <v>15</v>
      </c>
      <c r="K1274" t="s">
        <v>12</v>
      </c>
      <c r="L1274" s="4">
        <v>752124</v>
      </c>
      <c r="M1274" t="str">
        <f t="shared" si="59"/>
        <v>Premium</v>
      </c>
    </row>
    <row r="1275" spans="1:13" x14ac:dyDescent="0.35">
      <c r="A1275">
        <v>1274</v>
      </c>
      <c r="B1275">
        <v>3219</v>
      </c>
      <c r="C1275" t="str">
        <f t="shared" si="57"/>
        <v>Large</v>
      </c>
      <c r="D1275">
        <v>5</v>
      </c>
      <c r="E1275">
        <v>1</v>
      </c>
      <c r="F1275">
        <v>2</v>
      </c>
      <c r="G1275">
        <v>1954</v>
      </c>
      <c r="H1275" t="str">
        <f t="shared" si="58"/>
        <v>1950-1975</v>
      </c>
      <c r="I1275" t="s">
        <v>17</v>
      </c>
      <c r="J1275" t="s">
        <v>13</v>
      </c>
      <c r="K1275" t="s">
        <v>16</v>
      </c>
      <c r="L1275" s="4">
        <v>468127</v>
      </c>
      <c r="M1275" t="str">
        <f t="shared" si="59"/>
        <v>High</v>
      </c>
    </row>
    <row r="1276" spans="1:13" x14ac:dyDescent="0.35">
      <c r="A1276">
        <v>1275</v>
      </c>
      <c r="B1276">
        <v>4008</v>
      </c>
      <c r="C1276" t="str">
        <f t="shared" si="57"/>
        <v>Extra Large</v>
      </c>
      <c r="D1276">
        <v>4</v>
      </c>
      <c r="E1276">
        <v>4</v>
      </c>
      <c r="F1276">
        <v>1</v>
      </c>
      <c r="G1276">
        <v>2018</v>
      </c>
      <c r="H1276" t="str">
        <f t="shared" si="58"/>
        <v>Post-2000</v>
      </c>
      <c r="I1276" t="s">
        <v>14</v>
      </c>
      <c r="J1276" t="s">
        <v>11</v>
      </c>
      <c r="K1276" t="s">
        <v>12</v>
      </c>
      <c r="L1276" s="4">
        <v>796648</v>
      </c>
      <c r="M1276" t="str">
        <f t="shared" si="59"/>
        <v>Premium</v>
      </c>
    </row>
    <row r="1277" spans="1:13" x14ac:dyDescent="0.35">
      <c r="A1277">
        <v>1276</v>
      </c>
      <c r="B1277">
        <v>4241</v>
      </c>
      <c r="C1277" t="str">
        <f t="shared" si="57"/>
        <v>Extra Large</v>
      </c>
      <c r="D1277">
        <v>4</v>
      </c>
      <c r="E1277">
        <v>4</v>
      </c>
      <c r="F1277">
        <v>2</v>
      </c>
      <c r="G1277">
        <v>1935</v>
      </c>
      <c r="H1277" t="str">
        <f t="shared" si="58"/>
        <v>Pre-1950</v>
      </c>
      <c r="I1277" t="s">
        <v>14</v>
      </c>
      <c r="J1277" t="s">
        <v>15</v>
      </c>
      <c r="K1277" t="s">
        <v>16</v>
      </c>
      <c r="L1277" s="4">
        <v>855837</v>
      </c>
      <c r="M1277" t="str">
        <f t="shared" si="59"/>
        <v>Premium</v>
      </c>
    </row>
    <row r="1278" spans="1:13" x14ac:dyDescent="0.35">
      <c r="A1278">
        <v>1277</v>
      </c>
      <c r="B1278">
        <v>2074</v>
      </c>
      <c r="C1278" t="str">
        <f t="shared" si="57"/>
        <v>Medium</v>
      </c>
      <c r="D1278">
        <v>2</v>
      </c>
      <c r="E1278">
        <v>2</v>
      </c>
      <c r="F1278">
        <v>2</v>
      </c>
      <c r="G1278">
        <v>1988</v>
      </c>
      <c r="H1278" t="str">
        <f t="shared" si="58"/>
        <v>1976-2000</v>
      </c>
      <c r="I1278" t="s">
        <v>10</v>
      </c>
      <c r="J1278" t="s">
        <v>13</v>
      </c>
      <c r="K1278" t="s">
        <v>12</v>
      </c>
      <c r="L1278" s="4">
        <v>108122</v>
      </c>
      <c r="M1278" t="str">
        <f t="shared" si="59"/>
        <v>Low</v>
      </c>
    </row>
    <row r="1279" spans="1:13" x14ac:dyDescent="0.35">
      <c r="A1279">
        <v>1278</v>
      </c>
      <c r="B1279">
        <v>4498</v>
      </c>
      <c r="C1279" t="str">
        <f t="shared" si="57"/>
        <v>Extra Large</v>
      </c>
      <c r="D1279">
        <v>3</v>
      </c>
      <c r="E1279">
        <v>2</v>
      </c>
      <c r="F1279">
        <v>3</v>
      </c>
      <c r="G1279">
        <v>1923</v>
      </c>
      <c r="H1279" t="str">
        <f t="shared" si="58"/>
        <v>Pre-1950</v>
      </c>
      <c r="I1279" t="s">
        <v>10</v>
      </c>
      <c r="J1279" t="s">
        <v>15</v>
      </c>
      <c r="K1279" t="s">
        <v>12</v>
      </c>
      <c r="L1279" s="4">
        <v>804849</v>
      </c>
      <c r="M1279" t="str">
        <f t="shared" si="59"/>
        <v>Premium</v>
      </c>
    </row>
    <row r="1280" spans="1:13" x14ac:dyDescent="0.35">
      <c r="A1280">
        <v>1279</v>
      </c>
      <c r="B1280">
        <v>2629</v>
      </c>
      <c r="C1280" t="str">
        <f t="shared" si="57"/>
        <v>Large</v>
      </c>
      <c r="D1280">
        <v>5</v>
      </c>
      <c r="E1280">
        <v>1</v>
      </c>
      <c r="F1280">
        <v>2</v>
      </c>
      <c r="G1280">
        <v>1943</v>
      </c>
      <c r="H1280" t="str">
        <f t="shared" si="58"/>
        <v>Pre-1950</v>
      </c>
      <c r="I1280" t="s">
        <v>10</v>
      </c>
      <c r="J1280" t="s">
        <v>13</v>
      </c>
      <c r="K1280" t="s">
        <v>16</v>
      </c>
      <c r="L1280" s="4">
        <v>282661</v>
      </c>
      <c r="M1280" t="str">
        <f t="shared" si="59"/>
        <v>Medium</v>
      </c>
    </row>
    <row r="1281" spans="1:13" x14ac:dyDescent="0.35">
      <c r="A1281">
        <v>1280</v>
      </c>
      <c r="B1281">
        <v>2903</v>
      </c>
      <c r="C1281" t="str">
        <f t="shared" si="57"/>
        <v>Large</v>
      </c>
      <c r="D1281">
        <v>2</v>
      </c>
      <c r="E1281">
        <v>4</v>
      </c>
      <c r="F1281">
        <v>1</v>
      </c>
      <c r="G1281">
        <v>1916</v>
      </c>
      <c r="H1281" t="str">
        <f t="shared" si="58"/>
        <v>Pre-1950</v>
      </c>
      <c r="I1281" t="s">
        <v>17</v>
      </c>
      <c r="J1281" t="s">
        <v>13</v>
      </c>
      <c r="K1281" t="s">
        <v>12</v>
      </c>
      <c r="L1281" s="4">
        <v>703197</v>
      </c>
      <c r="M1281" t="str">
        <f t="shared" si="59"/>
        <v>Premium</v>
      </c>
    </row>
    <row r="1282" spans="1:13" x14ac:dyDescent="0.35">
      <c r="A1282">
        <v>1281</v>
      </c>
      <c r="B1282">
        <v>3829</v>
      </c>
      <c r="C1282" t="str">
        <f t="shared" si="57"/>
        <v>Large</v>
      </c>
      <c r="D1282">
        <v>4</v>
      </c>
      <c r="E1282">
        <v>3</v>
      </c>
      <c r="F1282">
        <v>3</v>
      </c>
      <c r="G1282">
        <v>1901</v>
      </c>
      <c r="H1282" t="str">
        <f t="shared" si="58"/>
        <v>Pre-1950</v>
      </c>
      <c r="I1282" t="s">
        <v>19</v>
      </c>
      <c r="J1282" t="s">
        <v>13</v>
      </c>
      <c r="K1282" t="s">
        <v>12</v>
      </c>
      <c r="L1282" s="4">
        <v>315591</v>
      </c>
      <c r="M1282" t="str">
        <f t="shared" si="59"/>
        <v>Medium</v>
      </c>
    </row>
    <row r="1283" spans="1:13" x14ac:dyDescent="0.35">
      <c r="A1283">
        <v>1282</v>
      </c>
      <c r="B1283">
        <v>1088</v>
      </c>
      <c r="C1283" t="str">
        <f t="shared" ref="C1283:C1346" si="60">IF(B1283&lt;=1000,"Small",IF(B1283&lt;=2500,"Medium",IF(B1283&lt;=4000,"Large",IF(B1283&gt;=4000,"Extra Large"))))</f>
        <v>Medium</v>
      </c>
      <c r="D1283">
        <v>2</v>
      </c>
      <c r="E1283">
        <v>2</v>
      </c>
      <c r="F1283">
        <v>1</v>
      </c>
      <c r="G1283">
        <v>1912</v>
      </c>
      <c r="H1283" t="str">
        <f t="shared" ref="H1283:H1346" si="61">IF(G1283&lt;=1950,"Pre-1950",IF(G1283&lt;=1975,"1950-1975",IF(G1283&lt;=2000,"1976-2000",IF(G1283&gt;=2000,"Post-2000"))))</f>
        <v>Pre-1950</v>
      </c>
      <c r="I1283" t="s">
        <v>17</v>
      </c>
      <c r="J1283" t="s">
        <v>13</v>
      </c>
      <c r="K1283" t="s">
        <v>16</v>
      </c>
      <c r="L1283" s="4">
        <v>234215</v>
      </c>
      <c r="M1283" t="str">
        <f t="shared" ref="M1283:M1346" si="62">IF(L1283&lt;=200000,"Low",IF(L1283&lt;=400000,"Medium",IF(L1283&lt;=600000,"High",IF(L1283&gt;=600000,"Premium",""))))</f>
        <v>Medium</v>
      </c>
    </row>
    <row r="1284" spans="1:13" x14ac:dyDescent="0.35">
      <c r="A1284">
        <v>1283</v>
      </c>
      <c r="B1284">
        <v>2512</v>
      </c>
      <c r="C1284" t="str">
        <f t="shared" si="60"/>
        <v>Large</v>
      </c>
      <c r="D1284">
        <v>3</v>
      </c>
      <c r="E1284">
        <v>3</v>
      </c>
      <c r="F1284">
        <v>3</v>
      </c>
      <c r="G1284">
        <v>1930</v>
      </c>
      <c r="H1284" t="str">
        <f t="shared" si="61"/>
        <v>Pre-1950</v>
      </c>
      <c r="I1284" t="s">
        <v>14</v>
      </c>
      <c r="J1284" t="s">
        <v>15</v>
      </c>
      <c r="K1284" t="s">
        <v>16</v>
      </c>
      <c r="L1284" s="4">
        <v>60662</v>
      </c>
      <c r="M1284" t="str">
        <f t="shared" si="62"/>
        <v>Low</v>
      </c>
    </row>
    <row r="1285" spans="1:13" x14ac:dyDescent="0.35">
      <c r="A1285">
        <v>1284</v>
      </c>
      <c r="B1285">
        <v>2047</v>
      </c>
      <c r="C1285" t="str">
        <f t="shared" si="60"/>
        <v>Medium</v>
      </c>
      <c r="D1285">
        <v>5</v>
      </c>
      <c r="E1285">
        <v>1</v>
      </c>
      <c r="F1285">
        <v>3</v>
      </c>
      <c r="G1285">
        <v>1992</v>
      </c>
      <c r="H1285" t="str">
        <f t="shared" si="61"/>
        <v>1976-2000</v>
      </c>
      <c r="I1285" t="s">
        <v>19</v>
      </c>
      <c r="J1285" t="s">
        <v>15</v>
      </c>
      <c r="K1285" t="s">
        <v>12</v>
      </c>
      <c r="L1285" s="4">
        <v>506217</v>
      </c>
      <c r="M1285" t="str">
        <f t="shared" si="62"/>
        <v>High</v>
      </c>
    </row>
    <row r="1286" spans="1:13" x14ac:dyDescent="0.35">
      <c r="A1286">
        <v>1285</v>
      </c>
      <c r="B1286">
        <v>794</v>
      </c>
      <c r="C1286" t="str">
        <f t="shared" si="60"/>
        <v>Small</v>
      </c>
      <c r="D1286">
        <v>3</v>
      </c>
      <c r="E1286">
        <v>2</v>
      </c>
      <c r="F1286">
        <v>2</v>
      </c>
      <c r="G1286">
        <v>2013</v>
      </c>
      <c r="H1286" t="str">
        <f t="shared" si="61"/>
        <v>Post-2000</v>
      </c>
      <c r="I1286" t="s">
        <v>10</v>
      </c>
      <c r="J1286" t="s">
        <v>18</v>
      </c>
      <c r="K1286" t="s">
        <v>16</v>
      </c>
      <c r="L1286" s="4">
        <v>632570</v>
      </c>
      <c r="M1286" t="str">
        <f t="shared" si="62"/>
        <v>Premium</v>
      </c>
    </row>
    <row r="1287" spans="1:13" x14ac:dyDescent="0.35">
      <c r="A1287">
        <v>1286</v>
      </c>
      <c r="B1287">
        <v>2485</v>
      </c>
      <c r="C1287" t="str">
        <f t="shared" si="60"/>
        <v>Medium</v>
      </c>
      <c r="D1287">
        <v>1</v>
      </c>
      <c r="E1287">
        <v>2</v>
      </c>
      <c r="F1287">
        <v>1</v>
      </c>
      <c r="G1287">
        <v>1927</v>
      </c>
      <c r="H1287" t="str">
        <f t="shared" si="61"/>
        <v>Pre-1950</v>
      </c>
      <c r="I1287" t="s">
        <v>17</v>
      </c>
      <c r="J1287" t="s">
        <v>15</v>
      </c>
      <c r="K1287" t="s">
        <v>12</v>
      </c>
      <c r="L1287" s="4">
        <v>448115</v>
      </c>
      <c r="M1287" t="str">
        <f t="shared" si="62"/>
        <v>High</v>
      </c>
    </row>
    <row r="1288" spans="1:13" x14ac:dyDescent="0.35">
      <c r="A1288">
        <v>1287</v>
      </c>
      <c r="B1288">
        <v>3617</v>
      </c>
      <c r="C1288" t="str">
        <f t="shared" si="60"/>
        <v>Large</v>
      </c>
      <c r="D1288">
        <v>5</v>
      </c>
      <c r="E1288">
        <v>4</v>
      </c>
      <c r="F1288">
        <v>3</v>
      </c>
      <c r="G1288">
        <v>1959</v>
      </c>
      <c r="H1288" t="str">
        <f t="shared" si="61"/>
        <v>1950-1975</v>
      </c>
      <c r="I1288" t="s">
        <v>17</v>
      </c>
      <c r="J1288" t="s">
        <v>15</v>
      </c>
      <c r="K1288" t="s">
        <v>16</v>
      </c>
      <c r="L1288" s="4">
        <v>865014</v>
      </c>
      <c r="M1288" t="str">
        <f t="shared" si="62"/>
        <v>Premium</v>
      </c>
    </row>
    <row r="1289" spans="1:13" x14ac:dyDescent="0.35">
      <c r="A1289">
        <v>1288</v>
      </c>
      <c r="B1289">
        <v>2190</v>
      </c>
      <c r="C1289" t="str">
        <f t="shared" si="60"/>
        <v>Medium</v>
      </c>
      <c r="D1289">
        <v>3</v>
      </c>
      <c r="E1289">
        <v>1</v>
      </c>
      <c r="F1289">
        <v>2</v>
      </c>
      <c r="G1289">
        <v>1926</v>
      </c>
      <c r="H1289" t="str">
        <f t="shared" si="61"/>
        <v>Pre-1950</v>
      </c>
      <c r="I1289" t="s">
        <v>10</v>
      </c>
      <c r="J1289" t="s">
        <v>18</v>
      </c>
      <c r="K1289" t="s">
        <v>12</v>
      </c>
      <c r="L1289" s="4">
        <v>641759</v>
      </c>
      <c r="M1289" t="str">
        <f t="shared" si="62"/>
        <v>Premium</v>
      </c>
    </row>
    <row r="1290" spans="1:13" x14ac:dyDescent="0.35">
      <c r="A1290">
        <v>1289</v>
      </c>
      <c r="B1290">
        <v>1636</v>
      </c>
      <c r="C1290" t="str">
        <f t="shared" si="60"/>
        <v>Medium</v>
      </c>
      <c r="D1290">
        <v>4</v>
      </c>
      <c r="E1290">
        <v>4</v>
      </c>
      <c r="F1290">
        <v>3</v>
      </c>
      <c r="G1290">
        <v>1914</v>
      </c>
      <c r="H1290" t="str">
        <f t="shared" si="61"/>
        <v>Pre-1950</v>
      </c>
      <c r="I1290" t="s">
        <v>17</v>
      </c>
      <c r="J1290" t="s">
        <v>15</v>
      </c>
      <c r="K1290" t="s">
        <v>16</v>
      </c>
      <c r="L1290" s="4">
        <v>697801</v>
      </c>
      <c r="M1290" t="str">
        <f t="shared" si="62"/>
        <v>Premium</v>
      </c>
    </row>
    <row r="1291" spans="1:13" x14ac:dyDescent="0.35">
      <c r="A1291">
        <v>1290</v>
      </c>
      <c r="B1291">
        <v>2564</v>
      </c>
      <c r="C1291" t="str">
        <f t="shared" si="60"/>
        <v>Large</v>
      </c>
      <c r="D1291">
        <v>5</v>
      </c>
      <c r="E1291">
        <v>2</v>
      </c>
      <c r="F1291">
        <v>3</v>
      </c>
      <c r="G1291">
        <v>1994</v>
      </c>
      <c r="H1291" t="str">
        <f t="shared" si="61"/>
        <v>1976-2000</v>
      </c>
      <c r="I1291" t="s">
        <v>10</v>
      </c>
      <c r="J1291" t="s">
        <v>13</v>
      </c>
      <c r="K1291" t="s">
        <v>16</v>
      </c>
      <c r="L1291" s="4">
        <v>223285</v>
      </c>
      <c r="M1291" t="str">
        <f t="shared" si="62"/>
        <v>Medium</v>
      </c>
    </row>
    <row r="1292" spans="1:13" x14ac:dyDescent="0.35">
      <c r="A1292">
        <v>1291</v>
      </c>
      <c r="B1292">
        <v>4955</v>
      </c>
      <c r="C1292" t="str">
        <f t="shared" si="60"/>
        <v>Extra Large</v>
      </c>
      <c r="D1292">
        <v>5</v>
      </c>
      <c r="E1292">
        <v>1</v>
      </c>
      <c r="F1292">
        <v>3</v>
      </c>
      <c r="G1292">
        <v>2003</v>
      </c>
      <c r="H1292" t="str">
        <f t="shared" si="61"/>
        <v>Post-2000</v>
      </c>
      <c r="I1292" t="s">
        <v>14</v>
      </c>
      <c r="J1292" t="s">
        <v>11</v>
      </c>
      <c r="K1292" t="s">
        <v>16</v>
      </c>
      <c r="L1292" s="4">
        <v>681866</v>
      </c>
      <c r="M1292" t="str">
        <f t="shared" si="62"/>
        <v>Premium</v>
      </c>
    </row>
    <row r="1293" spans="1:13" x14ac:dyDescent="0.35">
      <c r="A1293">
        <v>1292</v>
      </c>
      <c r="B1293">
        <v>1507</v>
      </c>
      <c r="C1293" t="str">
        <f t="shared" si="60"/>
        <v>Medium</v>
      </c>
      <c r="D1293">
        <v>2</v>
      </c>
      <c r="E1293">
        <v>2</v>
      </c>
      <c r="F1293">
        <v>3</v>
      </c>
      <c r="G1293">
        <v>1978</v>
      </c>
      <c r="H1293" t="str">
        <f t="shared" si="61"/>
        <v>1976-2000</v>
      </c>
      <c r="I1293" t="s">
        <v>19</v>
      </c>
      <c r="J1293" t="s">
        <v>11</v>
      </c>
      <c r="K1293" t="s">
        <v>16</v>
      </c>
      <c r="L1293" s="4">
        <v>912303</v>
      </c>
      <c r="M1293" t="str">
        <f t="shared" si="62"/>
        <v>Premium</v>
      </c>
    </row>
    <row r="1294" spans="1:13" x14ac:dyDescent="0.35">
      <c r="A1294">
        <v>1293</v>
      </c>
      <c r="B1294">
        <v>3014</v>
      </c>
      <c r="C1294" t="str">
        <f t="shared" si="60"/>
        <v>Large</v>
      </c>
      <c r="D1294">
        <v>4</v>
      </c>
      <c r="E1294">
        <v>1</v>
      </c>
      <c r="F1294">
        <v>3</v>
      </c>
      <c r="G1294">
        <v>1932</v>
      </c>
      <c r="H1294" t="str">
        <f t="shared" si="61"/>
        <v>Pre-1950</v>
      </c>
      <c r="I1294" t="s">
        <v>14</v>
      </c>
      <c r="J1294" t="s">
        <v>18</v>
      </c>
      <c r="K1294" t="s">
        <v>16</v>
      </c>
      <c r="L1294" s="4">
        <v>657493</v>
      </c>
      <c r="M1294" t="str">
        <f t="shared" si="62"/>
        <v>Premium</v>
      </c>
    </row>
    <row r="1295" spans="1:13" x14ac:dyDescent="0.35">
      <c r="A1295">
        <v>1294</v>
      </c>
      <c r="B1295">
        <v>4026</v>
      </c>
      <c r="C1295" t="str">
        <f t="shared" si="60"/>
        <v>Extra Large</v>
      </c>
      <c r="D1295">
        <v>1</v>
      </c>
      <c r="E1295">
        <v>2</v>
      </c>
      <c r="F1295">
        <v>3</v>
      </c>
      <c r="G1295">
        <v>1919</v>
      </c>
      <c r="H1295" t="str">
        <f t="shared" si="61"/>
        <v>Pre-1950</v>
      </c>
      <c r="I1295" t="s">
        <v>14</v>
      </c>
      <c r="J1295" t="s">
        <v>15</v>
      </c>
      <c r="K1295" t="s">
        <v>16</v>
      </c>
      <c r="L1295" s="4">
        <v>910513</v>
      </c>
      <c r="M1295" t="str">
        <f t="shared" si="62"/>
        <v>Premium</v>
      </c>
    </row>
    <row r="1296" spans="1:13" x14ac:dyDescent="0.35">
      <c r="A1296">
        <v>1295</v>
      </c>
      <c r="B1296">
        <v>1747</v>
      </c>
      <c r="C1296" t="str">
        <f t="shared" si="60"/>
        <v>Medium</v>
      </c>
      <c r="D1296">
        <v>3</v>
      </c>
      <c r="E1296">
        <v>3</v>
      </c>
      <c r="F1296">
        <v>2</v>
      </c>
      <c r="G1296">
        <v>1941</v>
      </c>
      <c r="H1296" t="str">
        <f t="shared" si="61"/>
        <v>Pre-1950</v>
      </c>
      <c r="I1296" t="s">
        <v>10</v>
      </c>
      <c r="J1296" t="s">
        <v>15</v>
      </c>
      <c r="K1296" t="s">
        <v>16</v>
      </c>
      <c r="L1296" s="4">
        <v>942215</v>
      </c>
      <c r="M1296" t="str">
        <f t="shared" si="62"/>
        <v>Premium</v>
      </c>
    </row>
    <row r="1297" spans="1:13" x14ac:dyDescent="0.35">
      <c r="A1297">
        <v>1296</v>
      </c>
      <c r="B1297">
        <v>4402</v>
      </c>
      <c r="C1297" t="str">
        <f t="shared" si="60"/>
        <v>Extra Large</v>
      </c>
      <c r="D1297">
        <v>2</v>
      </c>
      <c r="E1297">
        <v>3</v>
      </c>
      <c r="F1297">
        <v>3</v>
      </c>
      <c r="G1297">
        <v>1911</v>
      </c>
      <c r="H1297" t="str">
        <f t="shared" si="61"/>
        <v>Pre-1950</v>
      </c>
      <c r="I1297" t="s">
        <v>17</v>
      </c>
      <c r="J1297" t="s">
        <v>18</v>
      </c>
      <c r="K1297" t="s">
        <v>16</v>
      </c>
      <c r="L1297" s="4">
        <v>284631</v>
      </c>
      <c r="M1297" t="str">
        <f t="shared" si="62"/>
        <v>Medium</v>
      </c>
    </row>
    <row r="1298" spans="1:13" x14ac:dyDescent="0.35">
      <c r="A1298">
        <v>1297</v>
      </c>
      <c r="B1298">
        <v>1935</v>
      </c>
      <c r="C1298" t="str">
        <f t="shared" si="60"/>
        <v>Medium</v>
      </c>
      <c r="D1298">
        <v>3</v>
      </c>
      <c r="E1298">
        <v>4</v>
      </c>
      <c r="F1298">
        <v>1</v>
      </c>
      <c r="G1298">
        <v>2000</v>
      </c>
      <c r="H1298" t="str">
        <f t="shared" si="61"/>
        <v>1976-2000</v>
      </c>
      <c r="I1298" t="s">
        <v>14</v>
      </c>
      <c r="J1298" t="s">
        <v>11</v>
      </c>
      <c r="K1298" t="s">
        <v>16</v>
      </c>
      <c r="L1298" s="4">
        <v>133805</v>
      </c>
      <c r="M1298" t="str">
        <f t="shared" si="62"/>
        <v>Low</v>
      </c>
    </row>
    <row r="1299" spans="1:13" x14ac:dyDescent="0.35">
      <c r="A1299">
        <v>1298</v>
      </c>
      <c r="B1299">
        <v>1071</v>
      </c>
      <c r="C1299" t="str">
        <f t="shared" si="60"/>
        <v>Medium</v>
      </c>
      <c r="D1299">
        <v>1</v>
      </c>
      <c r="E1299">
        <v>3</v>
      </c>
      <c r="F1299">
        <v>2</v>
      </c>
      <c r="G1299">
        <v>1972</v>
      </c>
      <c r="H1299" t="str">
        <f t="shared" si="61"/>
        <v>1950-1975</v>
      </c>
      <c r="I1299" t="s">
        <v>14</v>
      </c>
      <c r="J1299" t="s">
        <v>13</v>
      </c>
      <c r="K1299" t="s">
        <v>12</v>
      </c>
      <c r="L1299" s="4">
        <v>174698</v>
      </c>
      <c r="M1299" t="str">
        <f t="shared" si="62"/>
        <v>Low</v>
      </c>
    </row>
    <row r="1300" spans="1:13" x14ac:dyDescent="0.35">
      <c r="A1300">
        <v>1299</v>
      </c>
      <c r="B1300">
        <v>2882</v>
      </c>
      <c r="C1300" t="str">
        <f t="shared" si="60"/>
        <v>Large</v>
      </c>
      <c r="D1300">
        <v>1</v>
      </c>
      <c r="E1300">
        <v>2</v>
      </c>
      <c r="F1300">
        <v>1</v>
      </c>
      <c r="G1300">
        <v>1922</v>
      </c>
      <c r="H1300" t="str">
        <f t="shared" si="61"/>
        <v>Pre-1950</v>
      </c>
      <c r="I1300" t="s">
        <v>14</v>
      </c>
      <c r="J1300" t="s">
        <v>15</v>
      </c>
      <c r="K1300" t="s">
        <v>16</v>
      </c>
      <c r="L1300" s="4">
        <v>218902</v>
      </c>
      <c r="M1300" t="str">
        <f t="shared" si="62"/>
        <v>Medium</v>
      </c>
    </row>
    <row r="1301" spans="1:13" x14ac:dyDescent="0.35">
      <c r="A1301">
        <v>1300</v>
      </c>
      <c r="B1301">
        <v>1745</v>
      </c>
      <c r="C1301" t="str">
        <f t="shared" si="60"/>
        <v>Medium</v>
      </c>
      <c r="D1301">
        <v>5</v>
      </c>
      <c r="E1301">
        <v>2</v>
      </c>
      <c r="F1301">
        <v>3</v>
      </c>
      <c r="G1301">
        <v>1971</v>
      </c>
      <c r="H1301" t="str">
        <f t="shared" si="61"/>
        <v>1950-1975</v>
      </c>
      <c r="I1301" t="s">
        <v>17</v>
      </c>
      <c r="J1301" t="s">
        <v>18</v>
      </c>
      <c r="K1301" t="s">
        <v>12</v>
      </c>
      <c r="L1301" s="4">
        <v>974570</v>
      </c>
      <c r="M1301" t="str">
        <f t="shared" si="62"/>
        <v>Premium</v>
      </c>
    </row>
    <row r="1302" spans="1:13" x14ac:dyDescent="0.35">
      <c r="A1302">
        <v>1301</v>
      </c>
      <c r="B1302">
        <v>2584</v>
      </c>
      <c r="C1302" t="str">
        <f t="shared" si="60"/>
        <v>Large</v>
      </c>
      <c r="D1302">
        <v>1</v>
      </c>
      <c r="E1302">
        <v>3</v>
      </c>
      <c r="F1302">
        <v>1</v>
      </c>
      <c r="G1302">
        <v>1995</v>
      </c>
      <c r="H1302" t="str">
        <f t="shared" si="61"/>
        <v>1976-2000</v>
      </c>
      <c r="I1302" t="s">
        <v>17</v>
      </c>
      <c r="J1302" t="s">
        <v>13</v>
      </c>
      <c r="K1302" t="s">
        <v>16</v>
      </c>
      <c r="L1302" s="4">
        <v>60712</v>
      </c>
      <c r="M1302" t="str">
        <f t="shared" si="62"/>
        <v>Low</v>
      </c>
    </row>
    <row r="1303" spans="1:13" x14ac:dyDescent="0.35">
      <c r="A1303">
        <v>1302</v>
      </c>
      <c r="B1303">
        <v>777</v>
      </c>
      <c r="C1303" t="str">
        <f t="shared" si="60"/>
        <v>Small</v>
      </c>
      <c r="D1303">
        <v>3</v>
      </c>
      <c r="E1303">
        <v>4</v>
      </c>
      <c r="F1303">
        <v>3</v>
      </c>
      <c r="G1303">
        <v>2011</v>
      </c>
      <c r="H1303" t="str">
        <f t="shared" si="61"/>
        <v>Post-2000</v>
      </c>
      <c r="I1303" t="s">
        <v>10</v>
      </c>
      <c r="J1303" t="s">
        <v>18</v>
      </c>
      <c r="K1303" t="s">
        <v>12</v>
      </c>
      <c r="L1303" s="4">
        <v>393671</v>
      </c>
      <c r="M1303" t="str">
        <f t="shared" si="62"/>
        <v>Medium</v>
      </c>
    </row>
    <row r="1304" spans="1:13" x14ac:dyDescent="0.35">
      <c r="A1304">
        <v>1303</v>
      </c>
      <c r="B1304">
        <v>2387</v>
      </c>
      <c r="C1304" t="str">
        <f t="shared" si="60"/>
        <v>Medium</v>
      </c>
      <c r="D1304">
        <v>4</v>
      </c>
      <c r="E1304">
        <v>3</v>
      </c>
      <c r="F1304">
        <v>3</v>
      </c>
      <c r="G1304">
        <v>1913</v>
      </c>
      <c r="H1304" t="str">
        <f t="shared" si="61"/>
        <v>Pre-1950</v>
      </c>
      <c r="I1304" t="s">
        <v>14</v>
      </c>
      <c r="J1304" t="s">
        <v>18</v>
      </c>
      <c r="K1304" t="s">
        <v>12</v>
      </c>
      <c r="L1304" s="4">
        <v>965885</v>
      </c>
      <c r="M1304" t="str">
        <f t="shared" si="62"/>
        <v>Premium</v>
      </c>
    </row>
    <row r="1305" spans="1:13" x14ac:dyDescent="0.35">
      <c r="A1305">
        <v>1304</v>
      </c>
      <c r="B1305">
        <v>1765</v>
      </c>
      <c r="C1305" t="str">
        <f t="shared" si="60"/>
        <v>Medium</v>
      </c>
      <c r="D1305">
        <v>4</v>
      </c>
      <c r="E1305">
        <v>1</v>
      </c>
      <c r="F1305">
        <v>2</v>
      </c>
      <c r="G1305">
        <v>1990</v>
      </c>
      <c r="H1305" t="str">
        <f t="shared" si="61"/>
        <v>1976-2000</v>
      </c>
      <c r="I1305" t="s">
        <v>19</v>
      </c>
      <c r="J1305" t="s">
        <v>18</v>
      </c>
      <c r="K1305" t="s">
        <v>16</v>
      </c>
      <c r="L1305" s="4">
        <v>701176</v>
      </c>
      <c r="M1305" t="str">
        <f t="shared" si="62"/>
        <v>Premium</v>
      </c>
    </row>
    <row r="1306" spans="1:13" x14ac:dyDescent="0.35">
      <c r="A1306">
        <v>1305</v>
      </c>
      <c r="B1306">
        <v>1540</v>
      </c>
      <c r="C1306" t="str">
        <f t="shared" si="60"/>
        <v>Medium</v>
      </c>
      <c r="D1306">
        <v>5</v>
      </c>
      <c r="E1306">
        <v>1</v>
      </c>
      <c r="F1306">
        <v>2</v>
      </c>
      <c r="G1306">
        <v>1924</v>
      </c>
      <c r="H1306" t="str">
        <f t="shared" si="61"/>
        <v>Pre-1950</v>
      </c>
      <c r="I1306" t="s">
        <v>17</v>
      </c>
      <c r="J1306" t="s">
        <v>11</v>
      </c>
      <c r="K1306" t="s">
        <v>16</v>
      </c>
      <c r="L1306" s="4">
        <v>806686</v>
      </c>
      <c r="M1306" t="str">
        <f t="shared" si="62"/>
        <v>Premium</v>
      </c>
    </row>
    <row r="1307" spans="1:13" x14ac:dyDescent="0.35">
      <c r="A1307">
        <v>1306</v>
      </c>
      <c r="B1307">
        <v>1417</v>
      </c>
      <c r="C1307" t="str">
        <f t="shared" si="60"/>
        <v>Medium</v>
      </c>
      <c r="D1307">
        <v>3</v>
      </c>
      <c r="E1307">
        <v>1</v>
      </c>
      <c r="F1307">
        <v>3</v>
      </c>
      <c r="G1307">
        <v>1976</v>
      </c>
      <c r="H1307" t="str">
        <f t="shared" si="61"/>
        <v>1976-2000</v>
      </c>
      <c r="I1307" t="s">
        <v>10</v>
      </c>
      <c r="J1307" t="s">
        <v>11</v>
      </c>
      <c r="K1307" t="s">
        <v>12</v>
      </c>
      <c r="L1307" s="4">
        <v>568680</v>
      </c>
      <c r="M1307" t="str">
        <f t="shared" si="62"/>
        <v>High</v>
      </c>
    </row>
    <row r="1308" spans="1:13" x14ac:dyDescent="0.35">
      <c r="A1308">
        <v>1307</v>
      </c>
      <c r="B1308">
        <v>1385</v>
      </c>
      <c r="C1308" t="str">
        <f t="shared" si="60"/>
        <v>Medium</v>
      </c>
      <c r="D1308">
        <v>3</v>
      </c>
      <c r="E1308">
        <v>3</v>
      </c>
      <c r="F1308">
        <v>2</v>
      </c>
      <c r="G1308">
        <v>2018</v>
      </c>
      <c r="H1308" t="str">
        <f t="shared" si="61"/>
        <v>Post-2000</v>
      </c>
      <c r="I1308" t="s">
        <v>14</v>
      </c>
      <c r="J1308" t="s">
        <v>18</v>
      </c>
      <c r="K1308" t="s">
        <v>12</v>
      </c>
      <c r="L1308" s="4">
        <v>246437</v>
      </c>
      <c r="M1308" t="str">
        <f t="shared" si="62"/>
        <v>Medium</v>
      </c>
    </row>
    <row r="1309" spans="1:13" x14ac:dyDescent="0.35">
      <c r="A1309">
        <v>1308</v>
      </c>
      <c r="B1309">
        <v>3252</v>
      </c>
      <c r="C1309" t="str">
        <f t="shared" si="60"/>
        <v>Large</v>
      </c>
      <c r="D1309">
        <v>1</v>
      </c>
      <c r="E1309">
        <v>3</v>
      </c>
      <c r="F1309">
        <v>1</v>
      </c>
      <c r="G1309">
        <v>1984</v>
      </c>
      <c r="H1309" t="str">
        <f t="shared" si="61"/>
        <v>1976-2000</v>
      </c>
      <c r="I1309" t="s">
        <v>19</v>
      </c>
      <c r="J1309" t="s">
        <v>15</v>
      </c>
      <c r="K1309" t="s">
        <v>16</v>
      </c>
      <c r="L1309" s="4">
        <v>661473</v>
      </c>
      <c r="M1309" t="str">
        <f t="shared" si="62"/>
        <v>Premium</v>
      </c>
    </row>
    <row r="1310" spans="1:13" x14ac:dyDescent="0.35">
      <c r="A1310">
        <v>1309</v>
      </c>
      <c r="B1310">
        <v>521</v>
      </c>
      <c r="C1310" t="str">
        <f t="shared" si="60"/>
        <v>Small</v>
      </c>
      <c r="D1310">
        <v>3</v>
      </c>
      <c r="E1310">
        <v>3</v>
      </c>
      <c r="F1310">
        <v>2</v>
      </c>
      <c r="G1310">
        <v>2008</v>
      </c>
      <c r="H1310" t="str">
        <f t="shared" si="61"/>
        <v>Post-2000</v>
      </c>
      <c r="I1310" t="s">
        <v>17</v>
      </c>
      <c r="J1310" t="s">
        <v>13</v>
      </c>
      <c r="K1310" t="s">
        <v>16</v>
      </c>
      <c r="L1310" s="4">
        <v>411995</v>
      </c>
      <c r="M1310" t="str">
        <f t="shared" si="62"/>
        <v>High</v>
      </c>
    </row>
    <row r="1311" spans="1:13" x14ac:dyDescent="0.35">
      <c r="A1311">
        <v>1310</v>
      </c>
      <c r="B1311">
        <v>3691</v>
      </c>
      <c r="C1311" t="str">
        <f t="shared" si="60"/>
        <v>Large</v>
      </c>
      <c r="D1311">
        <v>2</v>
      </c>
      <c r="E1311">
        <v>1</v>
      </c>
      <c r="F1311">
        <v>2</v>
      </c>
      <c r="G1311">
        <v>1930</v>
      </c>
      <c r="H1311" t="str">
        <f t="shared" si="61"/>
        <v>Pre-1950</v>
      </c>
      <c r="I1311" t="s">
        <v>19</v>
      </c>
      <c r="J1311" t="s">
        <v>15</v>
      </c>
      <c r="K1311" t="s">
        <v>16</v>
      </c>
      <c r="L1311" s="4">
        <v>474022</v>
      </c>
      <c r="M1311" t="str">
        <f t="shared" si="62"/>
        <v>High</v>
      </c>
    </row>
    <row r="1312" spans="1:13" x14ac:dyDescent="0.35">
      <c r="A1312">
        <v>1311</v>
      </c>
      <c r="B1312">
        <v>2853</v>
      </c>
      <c r="C1312" t="str">
        <f t="shared" si="60"/>
        <v>Large</v>
      </c>
      <c r="D1312">
        <v>1</v>
      </c>
      <c r="E1312">
        <v>4</v>
      </c>
      <c r="F1312">
        <v>1</v>
      </c>
      <c r="G1312">
        <v>2000</v>
      </c>
      <c r="H1312" t="str">
        <f t="shared" si="61"/>
        <v>1976-2000</v>
      </c>
      <c r="I1312" t="s">
        <v>17</v>
      </c>
      <c r="J1312" t="s">
        <v>11</v>
      </c>
      <c r="K1312" t="s">
        <v>12</v>
      </c>
      <c r="L1312" s="4">
        <v>586498</v>
      </c>
      <c r="M1312" t="str">
        <f t="shared" si="62"/>
        <v>High</v>
      </c>
    </row>
    <row r="1313" spans="1:13" x14ac:dyDescent="0.35">
      <c r="A1313">
        <v>1312</v>
      </c>
      <c r="B1313">
        <v>1186</v>
      </c>
      <c r="C1313" t="str">
        <f t="shared" si="60"/>
        <v>Medium</v>
      </c>
      <c r="D1313">
        <v>2</v>
      </c>
      <c r="E1313">
        <v>2</v>
      </c>
      <c r="F1313">
        <v>2</v>
      </c>
      <c r="G1313">
        <v>2011</v>
      </c>
      <c r="H1313" t="str">
        <f t="shared" si="61"/>
        <v>Post-2000</v>
      </c>
      <c r="I1313" t="s">
        <v>10</v>
      </c>
      <c r="J1313" t="s">
        <v>13</v>
      </c>
      <c r="K1313" t="s">
        <v>16</v>
      </c>
      <c r="L1313" s="4">
        <v>86972</v>
      </c>
      <c r="M1313" t="str">
        <f t="shared" si="62"/>
        <v>Low</v>
      </c>
    </row>
    <row r="1314" spans="1:13" x14ac:dyDescent="0.35">
      <c r="A1314">
        <v>1313</v>
      </c>
      <c r="B1314">
        <v>784</v>
      </c>
      <c r="C1314" t="str">
        <f t="shared" si="60"/>
        <v>Small</v>
      </c>
      <c r="D1314">
        <v>5</v>
      </c>
      <c r="E1314">
        <v>3</v>
      </c>
      <c r="F1314">
        <v>3</v>
      </c>
      <c r="G1314">
        <v>2021</v>
      </c>
      <c r="H1314" t="str">
        <f t="shared" si="61"/>
        <v>Post-2000</v>
      </c>
      <c r="I1314" t="s">
        <v>19</v>
      </c>
      <c r="J1314" t="s">
        <v>18</v>
      </c>
      <c r="K1314" t="s">
        <v>16</v>
      </c>
      <c r="L1314" s="4">
        <v>811254</v>
      </c>
      <c r="M1314" t="str">
        <f t="shared" si="62"/>
        <v>Premium</v>
      </c>
    </row>
    <row r="1315" spans="1:13" x14ac:dyDescent="0.35">
      <c r="A1315">
        <v>1314</v>
      </c>
      <c r="B1315">
        <v>4247</v>
      </c>
      <c r="C1315" t="str">
        <f t="shared" si="60"/>
        <v>Extra Large</v>
      </c>
      <c r="D1315">
        <v>4</v>
      </c>
      <c r="E1315">
        <v>4</v>
      </c>
      <c r="F1315">
        <v>1</v>
      </c>
      <c r="G1315">
        <v>2006</v>
      </c>
      <c r="H1315" t="str">
        <f t="shared" si="61"/>
        <v>Post-2000</v>
      </c>
      <c r="I1315" t="s">
        <v>14</v>
      </c>
      <c r="J1315" t="s">
        <v>15</v>
      </c>
      <c r="K1315" t="s">
        <v>16</v>
      </c>
      <c r="L1315" s="4">
        <v>346280</v>
      </c>
      <c r="M1315" t="str">
        <f t="shared" si="62"/>
        <v>Medium</v>
      </c>
    </row>
    <row r="1316" spans="1:13" x14ac:dyDescent="0.35">
      <c r="A1316">
        <v>1315</v>
      </c>
      <c r="B1316">
        <v>1262</v>
      </c>
      <c r="C1316" t="str">
        <f t="shared" si="60"/>
        <v>Medium</v>
      </c>
      <c r="D1316">
        <v>5</v>
      </c>
      <c r="E1316">
        <v>2</v>
      </c>
      <c r="F1316">
        <v>3</v>
      </c>
      <c r="G1316">
        <v>1953</v>
      </c>
      <c r="H1316" t="str">
        <f t="shared" si="61"/>
        <v>1950-1975</v>
      </c>
      <c r="I1316" t="s">
        <v>14</v>
      </c>
      <c r="J1316" t="s">
        <v>15</v>
      </c>
      <c r="K1316" t="s">
        <v>16</v>
      </c>
      <c r="L1316" s="4">
        <v>487513</v>
      </c>
      <c r="M1316" t="str">
        <f t="shared" si="62"/>
        <v>High</v>
      </c>
    </row>
    <row r="1317" spans="1:13" x14ac:dyDescent="0.35">
      <c r="A1317">
        <v>1316</v>
      </c>
      <c r="B1317">
        <v>2928</v>
      </c>
      <c r="C1317" t="str">
        <f t="shared" si="60"/>
        <v>Large</v>
      </c>
      <c r="D1317">
        <v>4</v>
      </c>
      <c r="E1317">
        <v>2</v>
      </c>
      <c r="F1317">
        <v>1</v>
      </c>
      <c r="G1317">
        <v>1904</v>
      </c>
      <c r="H1317" t="str">
        <f t="shared" si="61"/>
        <v>Pre-1950</v>
      </c>
      <c r="I1317" t="s">
        <v>17</v>
      </c>
      <c r="J1317" t="s">
        <v>18</v>
      </c>
      <c r="K1317" t="s">
        <v>16</v>
      </c>
      <c r="L1317" s="4">
        <v>952877</v>
      </c>
      <c r="M1317" t="str">
        <f t="shared" si="62"/>
        <v>Premium</v>
      </c>
    </row>
    <row r="1318" spans="1:13" x14ac:dyDescent="0.35">
      <c r="A1318">
        <v>1317</v>
      </c>
      <c r="B1318">
        <v>3007</v>
      </c>
      <c r="C1318" t="str">
        <f t="shared" si="60"/>
        <v>Large</v>
      </c>
      <c r="D1318">
        <v>5</v>
      </c>
      <c r="E1318">
        <v>2</v>
      </c>
      <c r="F1318">
        <v>3</v>
      </c>
      <c r="G1318">
        <v>1912</v>
      </c>
      <c r="H1318" t="str">
        <f t="shared" si="61"/>
        <v>Pre-1950</v>
      </c>
      <c r="I1318" t="s">
        <v>14</v>
      </c>
      <c r="J1318" t="s">
        <v>15</v>
      </c>
      <c r="K1318" t="s">
        <v>12</v>
      </c>
      <c r="L1318" s="4">
        <v>852377</v>
      </c>
      <c r="M1318" t="str">
        <f t="shared" si="62"/>
        <v>Premium</v>
      </c>
    </row>
    <row r="1319" spans="1:13" x14ac:dyDescent="0.35">
      <c r="A1319">
        <v>1318</v>
      </c>
      <c r="B1319">
        <v>528</v>
      </c>
      <c r="C1319" t="str">
        <f t="shared" si="60"/>
        <v>Small</v>
      </c>
      <c r="D1319">
        <v>3</v>
      </c>
      <c r="E1319">
        <v>4</v>
      </c>
      <c r="F1319">
        <v>3</v>
      </c>
      <c r="G1319">
        <v>1927</v>
      </c>
      <c r="H1319" t="str">
        <f t="shared" si="61"/>
        <v>Pre-1950</v>
      </c>
      <c r="I1319" t="s">
        <v>19</v>
      </c>
      <c r="J1319" t="s">
        <v>11</v>
      </c>
      <c r="K1319" t="s">
        <v>12</v>
      </c>
      <c r="L1319" s="4">
        <v>800561</v>
      </c>
      <c r="M1319" t="str">
        <f t="shared" si="62"/>
        <v>Premium</v>
      </c>
    </row>
    <row r="1320" spans="1:13" x14ac:dyDescent="0.35">
      <c r="A1320">
        <v>1319</v>
      </c>
      <c r="B1320">
        <v>1406</v>
      </c>
      <c r="C1320" t="str">
        <f t="shared" si="60"/>
        <v>Medium</v>
      </c>
      <c r="D1320">
        <v>2</v>
      </c>
      <c r="E1320">
        <v>4</v>
      </c>
      <c r="F1320">
        <v>2</v>
      </c>
      <c r="G1320">
        <v>1942</v>
      </c>
      <c r="H1320" t="str">
        <f t="shared" si="61"/>
        <v>Pre-1950</v>
      </c>
      <c r="I1320" t="s">
        <v>10</v>
      </c>
      <c r="J1320" t="s">
        <v>18</v>
      </c>
      <c r="K1320" t="s">
        <v>16</v>
      </c>
      <c r="L1320" s="4">
        <v>391324</v>
      </c>
      <c r="M1320" t="str">
        <f t="shared" si="62"/>
        <v>Medium</v>
      </c>
    </row>
    <row r="1321" spans="1:13" x14ac:dyDescent="0.35">
      <c r="A1321">
        <v>1320</v>
      </c>
      <c r="B1321">
        <v>3604</v>
      </c>
      <c r="C1321" t="str">
        <f t="shared" si="60"/>
        <v>Large</v>
      </c>
      <c r="D1321">
        <v>4</v>
      </c>
      <c r="E1321">
        <v>1</v>
      </c>
      <c r="F1321">
        <v>3</v>
      </c>
      <c r="G1321">
        <v>1988</v>
      </c>
      <c r="H1321" t="str">
        <f t="shared" si="61"/>
        <v>1976-2000</v>
      </c>
      <c r="I1321" t="s">
        <v>17</v>
      </c>
      <c r="J1321" t="s">
        <v>15</v>
      </c>
      <c r="K1321" t="s">
        <v>16</v>
      </c>
      <c r="L1321" s="4">
        <v>382597</v>
      </c>
      <c r="M1321" t="str">
        <f t="shared" si="62"/>
        <v>Medium</v>
      </c>
    </row>
    <row r="1322" spans="1:13" x14ac:dyDescent="0.35">
      <c r="A1322">
        <v>1321</v>
      </c>
      <c r="B1322">
        <v>4499</v>
      </c>
      <c r="C1322" t="str">
        <f t="shared" si="60"/>
        <v>Extra Large</v>
      </c>
      <c r="D1322">
        <v>1</v>
      </c>
      <c r="E1322">
        <v>4</v>
      </c>
      <c r="F1322">
        <v>2</v>
      </c>
      <c r="G1322">
        <v>2014</v>
      </c>
      <c r="H1322" t="str">
        <f t="shared" si="61"/>
        <v>Post-2000</v>
      </c>
      <c r="I1322" t="s">
        <v>19</v>
      </c>
      <c r="J1322" t="s">
        <v>18</v>
      </c>
      <c r="K1322" t="s">
        <v>12</v>
      </c>
      <c r="L1322" s="4">
        <v>921836</v>
      </c>
      <c r="M1322" t="str">
        <f t="shared" si="62"/>
        <v>Premium</v>
      </c>
    </row>
    <row r="1323" spans="1:13" x14ac:dyDescent="0.35">
      <c r="A1323">
        <v>1322</v>
      </c>
      <c r="B1323">
        <v>3494</v>
      </c>
      <c r="C1323" t="str">
        <f t="shared" si="60"/>
        <v>Large</v>
      </c>
      <c r="D1323">
        <v>2</v>
      </c>
      <c r="E1323">
        <v>4</v>
      </c>
      <c r="F1323">
        <v>1</v>
      </c>
      <c r="G1323">
        <v>1998</v>
      </c>
      <c r="H1323" t="str">
        <f t="shared" si="61"/>
        <v>1976-2000</v>
      </c>
      <c r="I1323" t="s">
        <v>17</v>
      </c>
      <c r="J1323" t="s">
        <v>13</v>
      </c>
      <c r="K1323" t="s">
        <v>16</v>
      </c>
      <c r="L1323" s="4">
        <v>980728</v>
      </c>
      <c r="M1323" t="str">
        <f t="shared" si="62"/>
        <v>Premium</v>
      </c>
    </row>
    <row r="1324" spans="1:13" x14ac:dyDescent="0.35">
      <c r="A1324">
        <v>1323</v>
      </c>
      <c r="B1324">
        <v>3006</v>
      </c>
      <c r="C1324" t="str">
        <f t="shared" si="60"/>
        <v>Large</v>
      </c>
      <c r="D1324">
        <v>1</v>
      </c>
      <c r="E1324">
        <v>4</v>
      </c>
      <c r="F1324">
        <v>3</v>
      </c>
      <c r="G1324">
        <v>1946</v>
      </c>
      <c r="H1324" t="str">
        <f t="shared" si="61"/>
        <v>Pre-1950</v>
      </c>
      <c r="I1324" t="s">
        <v>10</v>
      </c>
      <c r="J1324" t="s">
        <v>18</v>
      </c>
      <c r="K1324" t="s">
        <v>12</v>
      </c>
      <c r="L1324" s="4">
        <v>53052</v>
      </c>
      <c r="M1324" t="str">
        <f t="shared" si="62"/>
        <v>Low</v>
      </c>
    </row>
    <row r="1325" spans="1:13" x14ac:dyDescent="0.35">
      <c r="A1325">
        <v>1324</v>
      </c>
      <c r="B1325">
        <v>4109</v>
      </c>
      <c r="C1325" t="str">
        <f t="shared" si="60"/>
        <v>Extra Large</v>
      </c>
      <c r="D1325">
        <v>2</v>
      </c>
      <c r="E1325">
        <v>2</v>
      </c>
      <c r="F1325">
        <v>3</v>
      </c>
      <c r="G1325">
        <v>2002</v>
      </c>
      <c r="H1325" t="str">
        <f t="shared" si="61"/>
        <v>Post-2000</v>
      </c>
      <c r="I1325" t="s">
        <v>17</v>
      </c>
      <c r="J1325" t="s">
        <v>15</v>
      </c>
      <c r="K1325" t="s">
        <v>16</v>
      </c>
      <c r="L1325" s="4">
        <v>339416</v>
      </c>
      <c r="M1325" t="str">
        <f t="shared" si="62"/>
        <v>Medium</v>
      </c>
    </row>
    <row r="1326" spans="1:13" x14ac:dyDescent="0.35">
      <c r="A1326">
        <v>1325</v>
      </c>
      <c r="B1326">
        <v>4053</v>
      </c>
      <c r="C1326" t="str">
        <f t="shared" si="60"/>
        <v>Extra Large</v>
      </c>
      <c r="D1326">
        <v>2</v>
      </c>
      <c r="E1326">
        <v>3</v>
      </c>
      <c r="F1326">
        <v>1</v>
      </c>
      <c r="G1326">
        <v>1970</v>
      </c>
      <c r="H1326" t="str">
        <f t="shared" si="61"/>
        <v>1950-1975</v>
      </c>
      <c r="I1326" t="s">
        <v>14</v>
      </c>
      <c r="J1326" t="s">
        <v>11</v>
      </c>
      <c r="K1326" t="s">
        <v>12</v>
      </c>
      <c r="L1326" s="4">
        <v>353294</v>
      </c>
      <c r="M1326" t="str">
        <f t="shared" si="62"/>
        <v>Medium</v>
      </c>
    </row>
    <row r="1327" spans="1:13" x14ac:dyDescent="0.35">
      <c r="A1327">
        <v>1326</v>
      </c>
      <c r="B1327">
        <v>1953</v>
      </c>
      <c r="C1327" t="str">
        <f t="shared" si="60"/>
        <v>Medium</v>
      </c>
      <c r="D1327">
        <v>5</v>
      </c>
      <c r="E1327">
        <v>1</v>
      </c>
      <c r="F1327">
        <v>1</v>
      </c>
      <c r="G1327">
        <v>1937</v>
      </c>
      <c r="H1327" t="str">
        <f t="shared" si="61"/>
        <v>Pre-1950</v>
      </c>
      <c r="I1327" t="s">
        <v>14</v>
      </c>
      <c r="J1327" t="s">
        <v>18</v>
      </c>
      <c r="K1327" t="s">
        <v>12</v>
      </c>
      <c r="L1327" s="4">
        <v>801564</v>
      </c>
      <c r="M1327" t="str">
        <f t="shared" si="62"/>
        <v>Premium</v>
      </c>
    </row>
    <row r="1328" spans="1:13" x14ac:dyDescent="0.35">
      <c r="A1328">
        <v>1327</v>
      </c>
      <c r="B1328">
        <v>3856</v>
      </c>
      <c r="C1328" t="str">
        <f t="shared" si="60"/>
        <v>Large</v>
      </c>
      <c r="D1328">
        <v>4</v>
      </c>
      <c r="E1328">
        <v>3</v>
      </c>
      <c r="F1328">
        <v>3</v>
      </c>
      <c r="G1328">
        <v>1995</v>
      </c>
      <c r="H1328" t="str">
        <f t="shared" si="61"/>
        <v>1976-2000</v>
      </c>
      <c r="I1328" t="s">
        <v>17</v>
      </c>
      <c r="J1328" t="s">
        <v>18</v>
      </c>
      <c r="K1328" t="s">
        <v>16</v>
      </c>
      <c r="L1328" s="4">
        <v>198388</v>
      </c>
      <c r="M1328" t="str">
        <f t="shared" si="62"/>
        <v>Low</v>
      </c>
    </row>
    <row r="1329" spans="1:13" x14ac:dyDescent="0.35">
      <c r="A1329">
        <v>1328</v>
      </c>
      <c r="B1329">
        <v>1015</v>
      </c>
      <c r="C1329" t="str">
        <f t="shared" si="60"/>
        <v>Medium</v>
      </c>
      <c r="D1329">
        <v>4</v>
      </c>
      <c r="E1329">
        <v>3</v>
      </c>
      <c r="F1329">
        <v>1</v>
      </c>
      <c r="G1329">
        <v>1966</v>
      </c>
      <c r="H1329" t="str">
        <f t="shared" si="61"/>
        <v>1950-1975</v>
      </c>
      <c r="I1329" t="s">
        <v>10</v>
      </c>
      <c r="J1329" t="s">
        <v>15</v>
      </c>
      <c r="K1329" t="s">
        <v>12</v>
      </c>
      <c r="L1329" s="4">
        <v>496605</v>
      </c>
      <c r="M1329" t="str">
        <f t="shared" si="62"/>
        <v>High</v>
      </c>
    </row>
    <row r="1330" spans="1:13" x14ac:dyDescent="0.35">
      <c r="A1330">
        <v>1329</v>
      </c>
      <c r="B1330">
        <v>538</v>
      </c>
      <c r="C1330" t="str">
        <f t="shared" si="60"/>
        <v>Small</v>
      </c>
      <c r="D1330">
        <v>2</v>
      </c>
      <c r="E1330">
        <v>4</v>
      </c>
      <c r="F1330">
        <v>2</v>
      </c>
      <c r="G1330">
        <v>1961</v>
      </c>
      <c r="H1330" t="str">
        <f t="shared" si="61"/>
        <v>1950-1975</v>
      </c>
      <c r="I1330" t="s">
        <v>10</v>
      </c>
      <c r="J1330" t="s">
        <v>11</v>
      </c>
      <c r="K1330" t="s">
        <v>16</v>
      </c>
      <c r="L1330" s="4">
        <v>712600</v>
      </c>
      <c r="M1330" t="str">
        <f t="shared" si="62"/>
        <v>Premium</v>
      </c>
    </row>
    <row r="1331" spans="1:13" x14ac:dyDescent="0.35">
      <c r="A1331">
        <v>1330</v>
      </c>
      <c r="B1331">
        <v>3842</v>
      </c>
      <c r="C1331" t="str">
        <f t="shared" si="60"/>
        <v>Large</v>
      </c>
      <c r="D1331">
        <v>3</v>
      </c>
      <c r="E1331">
        <v>1</v>
      </c>
      <c r="F1331">
        <v>1</v>
      </c>
      <c r="G1331">
        <v>2008</v>
      </c>
      <c r="H1331" t="str">
        <f t="shared" si="61"/>
        <v>Post-2000</v>
      </c>
      <c r="I1331" t="s">
        <v>14</v>
      </c>
      <c r="J1331" t="s">
        <v>11</v>
      </c>
      <c r="K1331" t="s">
        <v>12</v>
      </c>
      <c r="L1331" s="4">
        <v>933527</v>
      </c>
      <c r="M1331" t="str">
        <f t="shared" si="62"/>
        <v>Premium</v>
      </c>
    </row>
    <row r="1332" spans="1:13" x14ac:dyDescent="0.35">
      <c r="A1332">
        <v>1331</v>
      </c>
      <c r="B1332">
        <v>1386</v>
      </c>
      <c r="C1332" t="str">
        <f t="shared" si="60"/>
        <v>Medium</v>
      </c>
      <c r="D1332">
        <v>3</v>
      </c>
      <c r="E1332">
        <v>3</v>
      </c>
      <c r="F1332">
        <v>1</v>
      </c>
      <c r="G1332">
        <v>1938</v>
      </c>
      <c r="H1332" t="str">
        <f t="shared" si="61"/>
        <v>Pre-1950</v>
      </c>
      <c r="I1332" t="s">
        <v>10</v>
      </c>
      <c r="J1332" t="s">
        <v>13</v>
      </c>
      <c r="K1332" t="s">
        <v>16</v>
      </c>
      <c r="L1332" s="4">
        <v>380918</v>
      </c>
      <c r="M1332" t="str">
        <f t="shared" si="62"/>
        <v>Medium</v>
      </c>
    </row>
    <row r="1333" spans="1:13" x14ac:dyDescent="0.35">
      <c r="A1333">
        <v>1332</v>
      </c>
      <c r="B1333">
        <v>3344</v>
      </c>
      <c r="C1333" t="str">
        <f t="shared" si="60"/>
        <v>Large</v>
      </c>
      <c r="D1333">
        <v>1</v>
      </c>
      <c r="E1333">
        <v>3</v>
      </c>
      <c r="F1333">
        <v>3</v>
      </c>
      <c r="G1333">
        <v>1936</v>
      </c>
      <c r="H1333" t="str">
        <f t="shared" si="61"/>
        <v>Pre-1950</v>
      </c>
      <c r="I1333" t="s">
        <v>17</v>
      </c>
      <c r="J1333" t="s">
        <v>13</v>
      </c>
      <c r="K1333" t="s">
        <v>16</v>
      </c>
      <c r="L1333" s="4">
        <v>879607</v>
      </c>
      <c r="M1333" t="str">
        <f t="shared" si="62"/>
        <v>Premium</v>
      </c>
    </row>
    <row r="1334" spans="1:13" x14ac:dyDescent="0.35">
      <c r="A1334">
        <v>1333</v>
      </c>
      <c r="B1334">
        <v>2704</v>
      </c>
      <c r="C1334" t="str">
        <f t="shared" si="60"/>
        <v>Large</v>
      </c>
      <c r="D1334">
        <v>1</v>
      </c>
      <c r="E1334">
        <v>1</v>
      </c>
      <c r="F1334">
        <v>2</v>
      </c>
      <c r="G1334">
        <v>2018</v>
      </c>
      <c r="H1334" t="str">
        <f t="shared" si="61"/>
        <v>Post-2000</v>
      </c>
      <c r="I1334" t="s">
        <v>19</v>
      </c>
      <c r="J1334" t="s">
        <v>15</v>
      </c>
      <c r="K1334" t="s">
        <v>16</v>
      </c>
      <c r="L1334" s="4">
        <v>443781</v>
      </c>
      <c r="M1334" t="str">
        <f t="shared" si="62"/>
        <v>High</v>
      </c>
    </row>
    <row r="1335" spans="1:13" x14ac:dyDescent="0.35">
      <c r="A1335">
        <v>1334</v>
      </c>
      <c r="B1335">
        <v>1598</v>
      </c>
      <c r="C1335" t="str">
        <f t="shared" si="60"/>
        <v>Medium</v>
      </c>
      <c r="D1335">
        <v>5</v>
      </c>
      <c r="E1335">
        <v>4</v>
      </c>
      <c r="F1335">
        <v>1</v>
      </c>
      <c r="G1335">
        <v>2013</v>
      </c>
      <c r="H1335" t="str">
        <f t="shared" si="61"/>
        <v>Post-2000</v>
      </c>
      <c r="I1335" t="s">
        <v>17</v>
      </c>
      <c r="J1335" t="s">
        <v>11</v>
      </c>
      <c r="K1335" t="s">
        <v>12</v>
      </c>
      <c r="L1335" s="4">
        <v>66375</v>
      </c>
      <c r="M1335" t="str">
        <f t="shared" si="62"/>
        <v>Low</v>
      </c>
    </row>
    <row r="1336" spans="1:13" x14ac:dyDescent="0.35">
      <c r="A1336">
        <v>1335</v>
      </c>
      <c r="B1336">
        <v>2323</v>
      </c>
      <c r="C1336" t="str">
        <f t="shared" si="60"/>
        <v>Medium</v>
      </c>
      <c r="D1336">
        <v>2</v>
      </c>
      <c r="E1336">
        <v>3</v>
      </c>
      <c r="F1336">
        <v>2</v>
      </c>
      <c r="G1336">
        <v>1985</v>
      </c>
      <c r="H1336" t="str">
        <f t="shared" si="61"/>
        <v>1976-2000</v>
      </c>
      <c r="I1336" t="s">
        <v>14</v>
      </c>
      <c r="J1336" t="s">
        <v>11</v>
      </c>
      <c r="K1336" t="s">
        <v>16</v>
      </c>
      <c r="L1336" s="4">
        <v>599998</v>
      </c>
      <c r="M1336" t="str">
        <f t="shared" si="62"/>
        <v>High</v>
      </c>
    </row>
    <row r="1337" spans="1:13" x14ac:dyDescent="0.35">
      <c r="A1337">
        <v>1336</v>
      </c>
      <c r="B1337">
        <v>3701</v>
      </c>
      <c r="C1337" t="str">
        <f t="shared" si="60"/>
        <v>Large</v>
      </c>
      <c r="D1337">
        <v>1</v>
      </c>
      <c r="E1337">
        <v>2</v>
      </c>
      <c r="F1337">
        <v>2</v>
      </c>
      <c r="G1337">
        <v>1907</v>
      </c>
      <c r="H1337" t="str">
        <f t="shared" si="61"/>
        <v>Pre-1950</v>
      </c>
      <c r="I1337" t="s">
        <v>14</v>
      </c>
      <c r="J1337" t="s">
        <v>13</v>
      </c>
      <c r="K1337" t="s">
        <v>16</v>
      </c>
      <c r="L1337" s="4">
        <v>755255</v>
      </c>
      <c r="M1337" t="str">
        <f t="shared" si="62"/>
        <v>Premium</v>
      </c>
    </row>
    <row r="1338" spans="1:13" x14ac:dyDescent="0.35">
      <c r="A1338">
        <v>1337</v>
      </c>
      <c r="B1338">
        <v>3655</v>
      </c>
      <c r="C1338" t="str">
        <f t="shared" si="60"/>
        <v>Large</v>
      </c>
      <c r="D1338">
        <v>1</v>
      </c>
      <c r="E1338">
        <v>3</v>
      </c>
      <c r="F1338">
        <v>2</v>
      </c>
      <c r="G1338">
        <v>1980</v>
      </c>
      <c r="H1338" t="str">
        <f t="shared" si="61"/>
        <v>1976-2000</v>
      </c>
      <c r="I1338" t="s">
        <v>14</v>
      </c>
      <c r="J1338" t="s">
        <v>13</v>
      </c>
      <c r="K1338" t="s">
        <v>16</v>
      </c>
      <c r="L1338" s="4">
        <v>828912</v>
      </c>
      <c r="M1338" t="str">
        <f t="shared" si="62"/>
        <v>Premium</v>
      </c>
    </row>
    <row r="1339" spans="1:13" x14ac:dyDescent="0.35">
      <c r="A1339">
        <v>1338</v>
      </c>
      <c r="B1339">
        <v>3593</v>
      </c>
      <c r="C1339" t="str">
        <f t="shared" si="60"/>
        <v>Large</v>
      </c>
      <c r="D1339">
        <v>2</v>
      </c>
      <c r="E1339">
        <v>2</v>
      </c>
      <c r="F1339">
        <v>3</v>
      </c>
      <c r="G1339">
        <v>1951</v>
      </c>
      <c r="H1339" t="str">
        <f t="shared" si="61"/>
        <v>1950-1975</v>
      </c>
      <c r="I1339" t="s">
        <v>10</v>
      </c>
      <c r="J1339" t="s">
        <v>15</v>
      </c>
      <c r="K1339" t="s">
        <v>12</v>
      </c>
      <c r="L1339" s="4">
        <v>720534</v>
      </c>
      <c r="M1339" t="str">
        <f t="shared" si="62"/>
        <v>Premium</v>
      </c>
    </row>
    <row r="1340" spans="1:13" x14ac:dyDescent="0.35">
      <c r="A1340">
        <v>1339</v>
      </c>
      <c r="B1340">
        <v>4030</v>
      </c>
      <c r="C1340" t="str">
        <f t="shared" si="60"/>
        <v>Extra Large</v>
      </c>
      <c r="D1340">
        <v>5</v>
      </c>
      <c r="E1340">
        <v>4</v>
      </c>
      <c r="F1340">
        <v>1</v>
      </c>
      <c r="G1340">
        <v>1990</v>
      </c>
      <c r="H1340" t="str">
        <f t="shared" si="61"/>
        <v>1976-2000</v>
      </c>
      <c r="I1340" t="s">
        <v>17</v>
      </c>
      <c r="J1340" t="s">
        <v>11</v>
      </c>
      <c r="K1340" t="s">
        <v>16</v>
      </c>
      <c r="L1340" s="4">
        <v>419170</v>
      </c>
      <c r="M1340" t="str">
        <f t="shared" si="62"/>
        <v>High</v>
      </c>
    </row>
    <row r="1341" spans="1:13" x14ac:dyDescent="0.35">
      <c r="A1341">
        <v>1340</v>
      </c>
      <c r="B1341">
        <v>4278</v>
      </c>
      <c r="C1341" t="str">
        <f t="shared" si="60"/>
        <v>Extra Large</v>
      </c>
      <c r="D1341">
        <v>1</v>
      </c>
      <c r="E1341">
        <v>3</v>
      </c>
      <c r="F1341">
        <v>3</v>
      </c>
      <c r="G1341">
        <v>1932</v>
      </c>
      <c r="H1341" t="str">
        <f t="shared" si="61"/>
        <v>Pre-1950</v>
      </c>
      <c r="I1341" t="s">
        <v>19</v>
      </c>
      <c r="J1341" t="s">
        <v>18</v>
      </c>
      <c r="K1341" t="s">
        <v>12</v>
      </c>
      <c r="L1341" s="4">
        <v>530545</v>
      </c>
      <c r="M1341" t="str">
        <f t="shared" si="62"/>
        <v>High</v>
      </c>
    </row>
    <row r="1342" spans="1:13" x14ac:dyDescent="0.35">
      <c r="A1342">
        <v>1341</v>
      </c>
      <c r="B1342">
        <v>3396</v>
      </c>
      <c r="C1342" t="str">
        <f t="shared" si="60"/>
        <v>Large</v>
      </c>
      <c r="D1342">
        <v>5</v>
      </c>
      <c r="E1342">
        <v>1</v>
      </c>
      <c r="F1342">
        <v>1</v>
      </c>
      <c r="G1342">
        <v>2009</v>
      </c>
      <c r="H1342" t="str">
        <f t="shared" si="61"/>
        <v>Post-2000</v>
      </c>
      <c r="I1342" t="s">
        <v>17</v>
      </c>
      <c r="J1342" t="s">
        <v>13</v>
      </c>
      <c r="K1342" t="s">
        <v>12</v>
      </c>
      <c r="L1342" s="4">
        <v>77597</v>
      </c>
      <c r="M1342" t="str">
        <f t="shared" si="62"/>
        <v>Low</v>
      </c>
    </row>
    <row r="1343" spans="1:13" x14ac:dyDescent="0.35">
      <c r="A1343">
        <v>1342</v>
      </c>
      <c r="B1343">
        <v>3953</v>
      </c>
      <c r="C1343" t="str">
        <f t="shared" si="60"/>
        <v>Large</v>
      </c>
      <c r="D1343">
        <v>4</v>
      </c>
      <c r="E1343">
        <v>1</v>
      </c>
      <c r="F1343">
        <v>1</v>
      </c>
      <c r="G1343">
        <v>1980</v>
      </c>
      <c r="H1343" t="str">
        <f t="shared" si="61"/>
        <v>1976-2000</v>
      </c>
      <c r="I1343" t="s">
        <v>19</v>
      </c>
      <c r="J1343" t="s">
        <v>15</v>
      </c>
      <c r="K1343" t="s">
        <v>12</v>
      </c>
      <c r="L1343" s="4">
        <v>386433</v>
      </c>
      <c r="M1343" t="str">
        <f t="shared" si="62"/>
        <v>Medium</v>
      </c>
    </row>
    <row r="1344" spans="1:13" x14ac:dyDescent="0.35">
      <c r="A1344">
        <v>1343</v>
      </c>
      <c r="B1344">
        <v>4011</v>
      </c>
      <c r="C1344" t="str">
        <f t="shared" si="60"/>
        <v>Extra Large</v>
      </c>
      <c r="D1344">
        <v>5</v>
      </c>
      <c r="E1344">
        <v>3</v>
      </c>
      <c r="F1344">
        <v>3</v>
      </c>
      <c r="G1344">
        <v>1941</v>
      </c>
      <c r="H1344" t="str">
        <f t="shared" si="61"/>
        <v>Pre-1950</v>
      </c>
      <c r="I1344" t="s">
        <v>17</v>
      </c>
      <c r="J1344" t="s">
        <v>11</v>
      </c>
      <c r="K1344" t="s">
        <v>16</v>
      </c>
      <c r="L1344" s="4">
        <v>481613</v>
      </c>
      <c r="M1344" t="str">
        <f t="shared" si="62"/>
        <v>High</v>
      </c>
    </row>
    <row r="1345" spans="1:13" x14ac:dyDescent="0.35">
      <c r="A1345">
        <v>1344</v>
      </c>
      <c r="B1345">
        <v>1488</v>
      </c>
      <c r="C1345" t="str">
        <f t="shared" si="60"/>
        <v>Medium</v>
      </c>
      <c r="D1345">
        <v>3</v>
      </c>
      <c r="E1345">
        <v>4</v>
      </c>
      <c r="F1345">
        <v>2</v>
      </c>
      <c r="G1345">
        <v>1975</v>
      </c>
      <c r="H1345" t="str">
        <f t="shared" si="61"/>
        <v>1950-1975</v>
      </c>
      <c r="I1345" t="s">
        <v>14</v>
      </c>
      <c r="J1345" t="s">
        <v>11</v>
      </c>
      <c r="K1345" t="s">
        <v>16</v>
      </c>
      <c r="L1345" s="4">
        <v>135687</v>
      </c>
      <c r="M1345" t="str">
        <f t="shared" si="62"/>
        <v>Low</v>
      </c>
    </row>
    <row r="1346" spans="1:13" x14ac:dyDescent="0.35">
      <c r="A1346">
        <v>1345</v>
      </c>
      <c r="B1346">
        <v>4616</v>
      </c>
      <c r="C1346" t="str">
        <f t="shared" si="60"/>
        <v>Extra Large</v>
      </c>
      <c r="D1346">
        <v>3</v>
      </c>
      <c r="E1346">
        <v>4</v>
      </c>
      <c r="F1346">
        <v>2</v>
      </c>
      <c r="G1346">
        <v>2011</v>
      </c>
      <c r="H1346" t="str">
        <f t="shared" si="61"/>
        <v>Post-2000</v>
      </c>
      <c r="I1346" t="s">
        <v>19</v>
      </c>
      <c r="J1346" t="s">
        <v>13</v>
      </c>
      <c r="K1346" t="s">
        <v>12</v>
      </c>
      <c r="L1346" s="4">
        <v>168968</v>
      </c>
      <c r="M1346" t="str">
        <f t="shared" si="62"/>
        <v>Low</v>
      </c>
    </row>
    <row r="1347" spans="1:13" x14ac:dyDescent="0.35">
      <c r="A1347">
        <v>1346</v>
      </c>
      <c r="B1347">
        <v>4526</v>
      </c>
      <c r="C1347" t="str">
        <f t="shared" ref="C1347:C1410" si="63">IF(B1347&lt;=1000,"Small",IF(B1347&lt;=2500,"Medium",IF(B1347&lt;=4000,"Large",IF(B1347&gt;=4000,"Extra Large"))))</f>
        <v>Extra Large</v>
      </c>
      <c r="D1347">
        <v>5</v>
      </c>
      <c r="E1347">
        <v>1</v>
      </c>
      <c r="F1347">
        <v>1</v>
      </c>
      <c r="G1347">
        <v>2009</v>
      </c>
      <c r="H1347" t="str">
        <f t="shared" ref="H1347:H1410" si="64">IF(G1347&lt;=1950,"Pre-1950",IF(G1347&lt;=1975,"1950-1975",IF(G1347&lt;=2000,"1976-2000",IF(G1347&gt;=2000,"Post-2000"))))</f>
        <v>Post-2000</v>
      </c>
      <c r="I1347" t="s">
        <v>17</v>
      </c>
      <c r="J1347" t="s">
        <v>15</v>
      </c>
      <c r="K1347" t="s">
        <v>16</v>
      </c>
      <c r="L1347" s="4">
        <v>614562</v>
      </c>
      <c r="M1347" t="str">
        <f t="shared" ref="M1347:M1410" si="65">IF(L1347&lt;=200000,"Low",IF(L1347&lt;=400000,"Medium",IF(L1347&lt;=600000,"High",IF(L1347&gt;=600000,"Premium",""))))</f>
        <v>Premium</v>
      </c>
    </row>
    <row r="1348" spans="1:13" x14ac:dyDescent="0.35">
      <c r="A1348">
        <v>1347</v>
      </c>
      <c r="B1348">
        <v>4679</v>
      </c>
      <c r="C1348" t="str">
        <f t="shared" si="63"/>
        <v>Extra Large</v>
      </c>
      <c r="D1348">
        <v>3</v>
      </c>
      <c r="E1348">
        <v>3</v>
      </c>
      <c r="F1348">
        <v>3</v>
      </c>
      <c r="G1348">
        <v>1926</v>
      </c>
      <c r="H1348" t="str">
        <f t="shared" si="64"/>
        <v>Pre-1950</v>
      </c>
      <c r="I1348" t="s">
        <v>10</v>
      </c>
      <c r="J1348" t="s">
        <v>18</v>
      </c>
      <c r="K1348" t="s">
        <v>16</v>
      </c>
      <c r="L1348" s="4">
        <v>517453</v>
      </c>
      <c r="M1348" t="str">
        <f t="shared" si="65"/>
        <v>High</v>
      </c>
    </row>
    <row r="1349" spans="1:13" x14ac:dyDescent="0.35">
      <c r="A1349">
        <v>1348</v>
      </c>
      <c r="B1349">
        <v>2182</v>
      </c>
      <c r="C1349" t="str">
        <f t="shared" si="63"/>
        <v>Medium</v>
      </c>
      <c r="D1349">
        <v>4</v>
      </c>
      <c r="E1349">
        <v>4</v>
      </c>
      <c r="F1349">
        <v>2</v>
      </c>
      <c r="G1349">
        <v>2011</v>
      </c>
      <c r="H1349" t="str">
        <f t="shared" si="64"/>
        <v>Post-2000</v>
      </c>
      <c r="I1349" t="s">
        <v>10</v>
      </c>
      <c r="J1349" t="s">
        <v>13</v>
      </c>
      <c r="K1349" t="s">
        <v>12</v>
      </c>
      <c r="L1349" s="4">
        <v>253570</v>
      </c>
      <c r="M1349" t="str">
        <f t="shared" si="65"/>
        <v>Medium</v>
      </c>
    </row>
    <row r="1350" spans="1:13" x14ac:dyDescent="0.35">
      <c r="A1350">
        <v>1349</v>
      </c>
      <c r="B1350">
        <v>4463</v>
      </c>
      <c r="C1350" t="str">
        <f t="shared" si="63"/>
        <v>Extra Large</v>
      </c>
      <c r="D1350">
        <v>2</v>
      </c>
      <c r="E1350">
        <v>1</v>
      </c>
      <c r="F1350">
        <v>2</v>
      </c>
      <c r="G1350">
        <v>1907</v>
      </c>
      <c r="H1350" t="str">
        <f t="shared" si="64"/>
        <v>Pre-1950</v>
      </c>
      <c r="I1350" t="s">
        <v>17</v>
      </c>
      <c r="J1350" t="s">
        <v>15</v>
      </c>
      <c r="K1350" t="s">
        <v>12</v>
      </c>
      <c r="L1350" s="4">
        <v>481413</v>
      </c>
      <c r="M1350" t="str">
        <f t="shared" si="65"/>
        <v>High</v>
      </c>
    </row>
    <row r="1351" spans="1:13" x14ac:dyDescent="0.35">
      <c r="A1351">
        <v>1350</v>
      </c>
      <c r="B1351">
        <v>1433</v>
      </c>
      <c r="C1351" t="str">
        <f t="shared" si="63"/>
        <v>Medium</v>
      </c>
      <c r="D1351">
        <v>3</v>
      </c>
      <c r="E1351">
        <v>2</v>
      </c>
      <c r="F1351">
        <v>1</v>
      </c>
      <c r="G1351">
        <v>1922</v>
      </c>
      <c r="H1351" t="str">
        <f t="shared" si="64"/>
        <v>Pre-1950</v>
      </c>
      <c r="I1351" t="s">
        <v>14</v>
      </c>
      <c r="J1351" t="s">
        <v>11</v>
      </c>
      <c r="K1351" t="s">
        <v>16</v>
      </c>
      <c r="L1351" s="4">
        <v>622922</v>
      </c>
      <c r="M1351" t="str">
        <f t="shared" si="65"/>
        <v>Premium</v>
      </c>
    </row>
    <row r="1352" spans="1:13" x14ac:dyDescent="0.35">
      <c r="A1352">
        <v>1351</v>
      </c>
      <c r="B1352">
        <v>4098</v>
      </c>
      <c r="C1352" t="str">
        <f t="shared" si="63"/>
        <v>Extra Large</v>
      </c>
      <c r="D1352">
        <v>3</v>
      </c>
      <c r="E1352">
        <v>3</v>
      </c>
      <c r="F1352">
        <v>1</v>
      </c>
      <c r="G1352">
        <v>2023</v>
      </c>
      <c r="H1352" t="str">
        <f t="shared" si="64"/>
        <v>Post-2000</v>
      </c>
      <c r="I1352" t="s">
        <v>19</v>
      </c>
      <c r="J1352" t="s">
        <v>18</v>
      </c>
      <c r="K1352" t="s">
        <v>12</v>
      </c>
      <c r="L1352" s="4">
        <v>866473</v>
      </c>
      <c r="M1352" t="str">
        <f t="shared" si="65"/>
        <v>Premium</v>
      </c>
    </row>
    <row r="1353" spans="1:13" x14ac:dyDescent="0.35">
      <c r="A1353">
        <v>1352</v>
      </c>
      <c r="B1353">
        <v>3733</v>
      </c>
      <c r="C1353" t="str">
        <f t="shared" si="63"/>
        <v>Large</v>
      </c>
      <c r="D1353">
        <v>5</v>
      </c>
      <c r="E1353">
        <v>2</v>
      </c>
      <c r="F1353">
        <v>3</v>
      </c>
      <c r="G1353">
        <v>2005</v>
      </c>
      <c r="H1353" t="str">
        <f t="shared" si="64"/>
        <v>Post-2000</v>
      </c>
      <c r="I1353" t="s">
        <v>17</v>
      </c>
      <c r="J1353" t="s">
        <v>15</v>
      </c>
      <c r="K1353" t="s">
        <v>16</v>
      </c>
      <c r="L1353" s="4">
        <v>974752</v>
      </c>
      <c r="M1353" t="str">
        <f t="shared" si="65"/>
        <v>Premium</v>
      </c>
    </row>
    <row r="1354" spans="1:13" x14ac:dyDescent="0.35">
      <c r="A1354">
        <v>1353</v>
      </c>
      <c r="B1354">
        <v>2480</v>
      </c>
      <c r="C1354" t="str">
        <f t="shared" si="63"/>
        <v>Medium</v>
      </c>
      <c r="D1354">
        <v>4</v>
      </c>
      <c r="E1354">
        <v>2</v>
      </c>
      <c r="F1354">
        <v>1</v>
      </c>
      <c r="G1354">
        <v>2012</v>
      </c>
      <c r="H1354" t="str">
        <f t="shared" si="64"/>
        <v>Post-2000</v>
      </c>
      <c r="I1354" t="s">
        <v>10</v>
      </c>
      <c r="J1354" t="s">
        <v>18</v>
      </c>
      <c r="K1354" t="s">
        <v>12</v>
      </c>
      <c r="L1354" s="4">
        <v>397509</v>
      </c>
      <c r="M1354" t="str">
        <f t="shared" si="65"/>
        <v>Medium</v>
      </c>
    </row>
    <row r="1355" spans="1:13" x14ac:dyDescent="0.35">
      <c r="A1355">
        <v>1354</v>
      </c>
      <c r="B1355">
        <v>2355</v>
      </c>
      <c r="C1355" t="str">
        <f t="shared" si="63"/>
        <v>Medium</v>
      </c>
      <c r="D1355">
        <v>2</v>
      </c>
      <c r="E1355">
        <v>4</v>
      </c>
      <c r="F1355">
        <v>2</v>
      </c>
      <c r="G1355">
        <v>1963</v>
      </c>
      <c r="H1355" t="str">
        <f t="shared" si="64"/>
        <v>1950-1975</v>
      </c>
      <c r="I1355" t="s">
        <v>19</v>
      </c>
      <c r="J1355" t="s">
        <v>15</v>
      </c>
      <c r="K1355" t="s">
        <v>16</v>
      </c>
      <c r="L1355" s="4">
        <v>969707</v>
      </c>
      <c r="M1355" t="str">
        <f t="shared" si="65"/>
        <v>Premium</v>
      </c>
    </row>
    <row r="1356" spans="1:13" x14ac:dyDescent="0.35">
      <c r="A1356">
        <v>1355</v>
      </c>
      <c r="B1356">
        <v>3556</v>
      </c>
      <c r="C1356" t="str">
        <f t="shared" si="63"/>
        <v>Large</v>
      </c>
      <c r="D1356">
        <v>5</v>
      </c>
      <c r="E1356">
        <v>4</v>
      </c>
      <c r="F1356">
        <v>2</v>
      </c>
      <c r="G1356">
        <v>2022</v>
      </c>
      <c r="H1356" t="str">
        <f t="shared" si="64"/>
        <v>Post-2000</v>
      </c>
      <c r="I1356" t="s">
        <v>10</v>
      </c>
      <c r="J1356" t="s">
        <v>15</v>
      </c>
      <c r="K1356" t="s">
        <v>16</v>
      </c>
      <c r="L1356" s="4">
        <v>888418</v>
      </c>
      <c r="M1356" t="str">
        <f t="shared" si="65"/>
        <v>Premium</v>
      </c>
    </row>
    <row r="1357" spans="1:13" x14ac:dyDescent="0.35">
      <c r="A1357">
        <v>1356</v>
      </c>
      <c r="B1357">
        <v>1292</v>
      </c>
      <c r="C1357" t="str">
        <f t="shared" si="63"/>
        <v>Medium</v>
      </c>
      <c r="D1357">
        <v>5</v>
      </c>
      <c r="E1357">
        <v>4</v>
      </c>
      <c r="F1357">
        <v>2</v>
      </c>
      <c r="G1357">
        <v>1992</v>
      </c>
      <c r="H1357" t="str">
        <f t="shared" si="64"/>
        <v>1976-2000</v>
      </c>
      <c r="I1357" t="s">
        <v>10</v>
      </c>
      <c r="J1357" t="s">
        <v>15</v>
      </c>
      <c r="K1357" t="s">
        <v>12</v>
      </c>
      <c r="L1357" s="4">
        <v>861802</v>
      </c>
      <c r="M1357" t="str">
        <f t="shared" si="65"/>
        <v>Premium</v>
      </c>
    </row>
    <row r="1358" spans="1:13" x14ac:dyDescent="0.35">
      <c r="A1358">
        <v>1357</v>
      </c>
      <c r="B1358">
        <v>1291</v>
      </c>
      <c r="C1358" t="str">
        <f t="shared" si="63"/>
        <v>Medium</v>
      </c>
      <c r="D1358">
        <v>4</v>
      </c>
      <c r="E1358">
        <v>3</v>
      </c>
      <c r="F1358">
        <v>2</v>
      </c>
      <c r="G1358">
        <v>2013</v>
      </c>
      <c r="H1358" t="str">
        <f t="shared" si="64"/>
        <v>Post-2000</v>
      </c>
      <c r="I1358" t="s">
        <v>17</v>
      </c>
      <c r="J1358" t="s">
        <v>15</v>
      </c>
      <c r="K1358" t="s">
        <v>16</v>
      </c>
      <c r="L1358" s="4">
        <v>347391</v>
      </c>
      <c r="M1358" t="str">
        <f t="shared" si="65"/>
        <v>Medium</v>
      </c>
    </row>
    <row r="1359" spans="1:13" x14ac:dyDescent="0.35">
      <c r="A1359">
        <v>1358</v>
      </c>
      <c r="B1359">
        <v>2309</v>
      </c>
      <c r="C1359" t="str">
        <f t="shared" si="63"/>
        <v>Medium</v>
      </c>
      <c r="D1359">
        <v>2</v>
      </c>
      <c r="E1359">
        <v>2</v>
      </c>
      <c r="F1359">
        <v>3</v>
      </c>
      <c r="G1359">
        <v>1919</v>
      </c>
      <c r="H1359" t="str">
        <f t="shared" si="64"/>
        <v>Pre-1950</v>
      </c>
      <c r="I1359" t="s">
        <v>10</v>
      </c>
      <c r="J1359" t="s">
        <v>18</v>
      </c>
      <c r="K1359" t="s">
        <v>16</v>
      </c>
      <c r="L1359" s="4">
        <v>960835</v>
      </c>
      <c r="M1359" t="str">
        <f t="shared" si="65"/>
        <v>Premium</v>
      </c>
    </row>
    <row r="1360" spans="1:13" x14ac:dyDescent="0.35">
      <c r="A1360">
        <v>1359</v>
      </c>
      <c r="B1360">
        <v>2755</v>
      </c>
      <c r="C1360" t="str">
        <f t="shared" si="63"/>
        <v>Large</v>
      </c>
      <c r="D1360">
        <v>4</v>
      </c>
      <c r="E1360">
        <v>3</v>
      </c>
      <c r="F1360">
        <v>3</v>
      </c>
      <c r="G1360">
        <v>1915</v>
      </c>
      <c r="H1360" t="str">
        <f t="shared" si="64"/>
        <v>Pre-1950</v>
      </c>
      <c r="I1360" t="s">
        <v>19</v>
      </c>
      <c r="J1360" t="s">
        <v>13</v>
      </c>
      <c r="K1360" t="s">
        <v>12</v>
      </c>
      <c r="L1360" s="4">
        <v>431688</v>
      </c>
      <c r="M1360" t="str">
        <f t="shared" si="65"/>
        <v>High</v>
      </c>
    </row>
    <row r="1361" spans="1:13" x14ac:dyDescent="0.35">
      <c r="A1361">
        <v>1360</v>
      </c>
      <c r="B1361">
        <v>4110</v>
      </c>
      <c r="C1361" t="str">
        <f t="shared" si="63"/>
        <v>Extra Large</v>
      </c>
      <c r="D1361">
        <v>2</v>
      </c>
      <c r="E1361">
        <v>4</v>
      </c>
      <c r="F1361">
        <v>1</v>
      </c>
      <c r="G1361">
        <v>1916</v>
      </c>
      <c r="H1361" t="str">
        <f t="shared" si="64"/>
        <v>Pre-1950</v>
      </c>
      <c r="I1361" t="s">
        <v>14</v>
      </c>
      <c r="J1361" t="s">
        <v>18</v>
      </c>
      <c r="K1361" t="s">
        <v>16</v>
      </c>
      <c r="L1361" s="4">
        <v>256994</v>
      </c>
      <c r="M1361" t="str">
        <f t="shared" si="65"/>
        <v>Medium</v>
      </c>
    </row>
    <row r="1362" spans="1:13" x14ac:dyDescent="0.35">
      <c r="A1362">
        <v>1361</v>
      </c>
      <c r="B1362">
        <v>2107</v>
      </c>
      <c r="C1362" t="str">
        <f t="shared" si="63"/>
        <v>Medium</v>
      </c>
      <c r="D1362">
        <v>4</v>
      </c>
      <c r="E1362">
        <v>2</v>
      </c>
      <c r="F1362">
        <v>1</v>
      </c>
      <c r="G1362">
        <v>1979</v>
      </c>
      <c r="H1362" t="str">
        <f t="shared" si="64"/>
        <v>1976-2000</v>
      </c>
      <c r="I1362" t="s">
        <v>17</v>
      </c>
      <c r="J1362" t="s">
        <v>15</v>
      </c>
      <c r="K1362" t="s">
        <v>16</v>
      </c>
      <c r="L1362" s="4">
        <v>830768</v>
      </c>
      <c r="M1362" t="str">
        <f t="shared" si="65"/>
        <v>Premium</v>
      </c>
    </row>
    <row r="1363" spans="1:13" x14ac:dyDescent="0.35">
      <c r="A1363">
        <v>1362</v>
      </c>
      <c r="B1363">
        <v>1484</v>
      </c>
      <c r="C1363" t="str">
        <f t="shared" si="63"/>
        <v>Medium</v>
      </c>
      <c r="D1363">
        <v>5</v>
      </c>
      <c r="E1363">
        <v>3</v>
      </c>
      <c r="F1363">
        <v>1</v>
      </c>
      <c r="G1363">
        <v>1918</v>
      </c>
      <c r="H1363" t="str">
        <f t="shared" si="64"/>
        <v>Pre-1950</v>
      </c>
      <c r="I1363" t="s">
        <v>19</v>
      </c>
      <c r="J1363" t="s">
        <v>18</v>
      </c>
      <c r="K1363" t="s">
        <v>16</v>
      </c>
      <c r="L1363" s="4">
        <v>443650</v>
      </c>
      <c r="M1363" t="str">
        <f t="shared" si="65"/>
        <v>High</v>
      </c>
    </row>
    <row r="1364" spans="1:13" x14ac:dyDescent="0.35">
      <c r="A1364">
        <v>1363</v>
      </c>
      <c r="B1364">
        <v>4176</v>
      </c>
      <c r="C1364" t="str">
        <f t="shared" si="63"/>
        <v>Extra Large</v>
      </c>
      <c r="D1364">
        <v>5</v>
      </c>
      <c r="E1364">
        <v>3</v>
      </c>
      <c r="F1364">
        <v>3</v>
      </c>
      <c r="G1364">
        <v>2019</v>
      </c>
      <c r="H1364" t="str">
        <f t="shared" si="64"/>
        <v>Post-2000</v>
      </c>
      <c r="I1364" t="s">
        <v>17</v>
      </c>
      <c r="J1364" t="s">
        <v>18</v>
      </c>
      <c r="K1364" t="s">
        <v>12</v>
      </c>
      <c r="L1364" s="4">
        <v>637270</v>
      </c>
      <c r="M1364" t="str">
        <f t="shared" si="65"/>
        <v>Premium</v>
      </c>
    </row>
    <row r="1365" spans="1:13" x14ac:dyDescent="0.35">
      <c r="A1365">
        <v>1364</v>
      </c>
      <c r="B1365">
        <v>3880</v>
      </c>
      <c r="C1365" t="str">
        <f t="shared" si="63"/>
        <v>Large</v>
      </c>
      <c r="D1365">
        <v>1</v>
      </c>
      <c r="E1365">
        <v>1</v>
      </c>
      <c r="F1365">
        <v>2</v>
      </c>
      <c r="G1365">
        <v>2019</v>
      </c>
      <c r="H1365" t="str">
        <f t="shared" si="64"/>
        <v>Post-2000</v>
      </c>
      <c r="I1365" t="s">
        <v>10</v>
      </c>
      <c r="J1365" t="s">
        <v>18</v>
      </c>
      <c r="K1365" t="s">
        <v>12</v>
      </c>
      <c r="L1365" s="4">
        <v>901612</v>
      </c>
      <c r="M1365" t="str">
        <f t="shared" si="65"/>
        <v>Premium</v>
      </c>
    </row>
    <row r="1366" spans="1:13" x14ac:dyDescent="0.35">
      <c r="A1366">
        <v>1365</v>
      </c>
      <c r="B1366">
        <v>1019</v>
      </c>
      <c r="C1366" t="str">
        <f t="shared" si="63"/>
        <v>Medium</v>
      </c>
      <c r="D1366">
        <v>3</v>
      </c>
      <c r="E1366">
        <v>3</v>
      </c>
      <c r="F1366">
        <v>1</v>
      </c>
      <c r="G1366">
        <v>1907</v>
      </c>
      <c r="H1366" t="str">
        <f t="shared" si="64"/>
        <v>Pre-1950</v>
      </c>
      <c r="I1366" t="s">
        <v>10</v>
      </c>
      <c r="J1366" t="s">
        <v>15</v>
      </c>
      <c r="K1366" t="s">
        <v>12</v>
      </c>
      <c r="L1366" s="4">
        <v>682822</v>
      </c>
      <c r="M1366" t="str">
        <f t="shared" si="65"/>
        <v>Premium</v>
      </c>
    </row>
    <row r="1367" spans="1:13" x14ac:dyDescent="0.35">
      <c r="A1367">
        <v>1366</v>
      </c>
      <c r="B1367">
        <v>1090</v>
      </c>
      <c r="C1367" t="str">
        <f t="shared" si="63"/>
        <v>Medium</v>
      </c>
      <c r="D1367">
        <v>4</v>
      </c>
      <c r="E1367">
        <v>4</v>
      </c>
      <c r="F1367">
        <v>2</v>
      </c>
      <c r="G1367">
        <v>1937</v>
      </c>
      <c r="H1367" t="str">
        <f t="shared" si="64"/>
        <v>Pre-1950</v>
      </c>
      <c r="I1367" t="s">
        <v>19</v>
      </c>
      <c r="J1367" t="s">
        <v>18</v>
      </c>
      <c r="K1367" t="s">
        <v>12</v>
      </c>
      <c r="L1367" s="4">
        <v>739834</v>
      </c>
      <c r="M1367" t="str">
        <f t="shared" si="65"/>
        <v>Premium</v>
      </c>
    </row>
    <row r="1368" spans="1:13" x14ac:dyDescent="0.35">
      <c r="A1368">
        <v>1367</v>
      </c>
      <c r="B1368">
        <v>1550</v>
      </c>
      <c r="C1368" t="str">
        <f t="shared" si="63"/>
        <v>Medium</v>
      </c>
      <c r="D1368">
        <v>1</v>
      </c>
      <c r="E1368">
        <v>3</v>
      </c>
      <c r="F1368">
        <v>1</v>
      </c>
      <c r="G1368">
        <v>1937</v>
      </c>
      <c r="H1368" t="str">
        <f t="shared" si="64"/>
        <v>Pre-1950</v>
      </c>
      <c r="I1368" t="s">
        <v>19</v>
      </c>
      <c r="J1368" t="s">
        <v>11</v>
      </c>
      <c r="K1368" t="s">
        <v>12</v>
      </c>
      <c r="L1368" s="4">
        <v>336788</v>
      </c>
      <c r="M1368" t="str">
        <f t="shared" si="65"/>
        <v>Medium</v>
      </c>
    </row>
    <row r="1369" spans="1:13" x14ac:dyDescent="0.35">
      <c r="A1369">
        <v>1368</v>
      </c>
      <c r="B1369">
        <v>4133</v>
      </c>
      <c r="C1369" t="str">
        <f t="shared" si="63"/>
        <v>Extra Large</v>
      </c>
      <c r="D1369">
        <v>3</v>
      </c>
      <c r="E1369">
        <v>2</v>
      </c>
      <c r="F1369">
        <v>1</v>
      </c>
      <c r="G1369">
        <v>1952</v>
      </c>
      <c r="H1369" t="str">
        <f t="shared" si="64"/>
        <v>1950-1975</v>
      </c>
      <c r="I1369" t="s">
        <v>14</v>
      </c>
      <c r="J1369" t="s">
        <v>15</v>
      </c>
      <c r="K1369" t="s">
        <v>16</v>
      </c>
      <c r="L1369" s="4">
        <v>612781</v>
      </c>
      <c r="M1369" t="str">
        <f t="shared" si="65"/>
        <v>Premium</v>
      </c>
    </row>
    <row r="1370" spans="1:13" x14ac:dyDescent="0.35">
      <c r="A1370">
        <v>1369</v>
      </c>
      <c r="B1370">
        <v>4944</v>
      </c>
      <c r="C1370" t="str">
        <f t="shared" si="63"/>
        <v>Extra Large</v>
      </c>
      <c r="D1370">
        <v>4</v>
      </c>
      <c r="E1370">
        <v>3</v>
      </c>
      <c r="F1370">
        <v>1</v>
      </c>
      <c r="G1370">
        <v>1992</v>
      </c>
      <c r="H1370" t="str">
        <f t="shared" si="64"/>
        <v>1976-2000</v>
      </c>
      <c r="I1370" t="s">
        <v>19</v>
      </c>
      <c r="J1370" t="s">
        <v>18</v>
      </c>
      <c r="K1370" t="s">
        <v>16</v>
      </c>
      <c r="L1370" s="4">
        <v>395968</v>
      </c>
      <c r="M1370" t="str">
        <f t="shared" si="65"/>
        <v>Medium</v>
      </c>
    </row>
    <row r="1371" spans="1:13" x14ac:dyDescent="0.35">
      <c r="A1371">
        <v>1370</v>
      </c>
      <c r="B1371">
        <v>1459</v>
      </c>
      <c r="C1371" t="str">
        <f t="shared" si="63"/>
        <v>Medium</v>
      </c>
      <c r="D1371">
        <v>2</v>
      </c>
      <c r="E1371">
        <v>1</v>
      </c>
      <c r="F1371">
        <v>1</v>
      </c>
      <c r="G1371">
        <v>2004</v>
      </c>
      <c r="H1371" t="str">
        <f t="shared" si="64"/>
        <v>Post-2000</v>
      </c>
      <c r="I1371" t="s">
        <v>19</v>
      </c>
      <c r="J1371" t="s">
        <v>11</v>
      </c>
      <c r="K1371" t="s">
        <v>16</v>
      </c>
      <c r="L1371" s="4">
        <v>564922</v>
      </c>
      <c r="M1371" t="str">
        <f t="shared" si="65"/>
        <v>High</v>
      </c>
    </row>
    <row r="1372" spans="1:13" x14ac:dyDescent="0.35">
      <c r="A1372">
        <v>1371</v>
      </c>
      <c r="B1372">
        <v>1192</v>
      </c>
      <c r="C1372" t="str">
        <f t="shared" si="63"/>
        <v>Medium</v>
      </c>
      <c r="D1372">
        <v>3</v>
      </c>
      <c r="E1372">
        <v>2</v>
      </c>
      <c r="F1372">
        <v>1</v>
      </c>
      <c r="G1372">
        <v>1999</v>
      </c>
      <c r="H1372" t="str">
        <f t="shared" si="64"/>
        <v>1976-2000</v>
      </c>
      <c r="I1372" t="s">
        <v>17</v>
      </c>
      <c r="J1372" t="s">
        <v>18</v>
      </c>
      <c r="K1372" t="s">
        <v>12</v>
      </c>
      <c r="L1372" s="4">
        <v>971463</v>
      </c>
      <c r="M1372" t="str">
        <f t="shared" si="65"/>
        <v>Premium</v>
      </c>
    </row>
    <row r="1373" spans="1:13" x14ac:dyDescent="0.35">
      <c r="A1373">
        <v>1372</v>
      </c>
      <c r="B1373">
        <v>4399</v>
      </c>
      <c r="C1373" t="str">
        <f t="shared" si="63"/>
        <v>Extra Large</v>
      </c>
      <c r="D1373">
        <v>5</v>
      </c>
      <c r="E1373">
        <v>2</v>
      </c>
      <c r="F1373">
        <v>2</v>
      </c>
      <c r="G1373">
        <v>1989</v>
      </c>
      <c r="H1373" t="str">
        <f t="shared" si="64"/>
        <v>1976-2000</v>
      </c>
      <c r="I1373" t="s">
        <v>10</v>
      </c>
      <c r="J1373" t="s">
        <v>13</v>
      </c>
      <c r="K1373" t="s">
        <v>16</v>
      </c>
      <c r="L1373" s="4">
        <v>883721</v>
      </c>
      <c r="M1373" t="str">
        <f t="shared" si="65"/>
        <v>Premium</v>
      </c>
    </row>
    <row r="1374" spans="1:13" x14ac:dyDescent="0.35">
      <c r="A1374">
        <v>1373</v>
      </c>
      <c r="B1374">
        <v>4973</v>
      </c>
      <c r="C1374" t="str">
        <f t="shared" si="63"/>
        <v>Extra Large</v>
      </c>
      <c r="D1374">
        <v>1</v>
      </c>
      <c r="E1374">
        <v>1</v>
      </c>
      <c r="F1374">
        <v>1</v>
      </c>
      <c r="G1374">
        <v>1930</v>
      </c>
      <c r="H1374" t="str">
        <f t="shared" si="64"/>
        <v>Pre-1950</v>
      </c>
      <c r="I1374" t="s">
        <v>19</v>
      </c>
      <c r="J1374" t="s">
        <v>18</v>
      </c>
      <c r="K1374" t="s">
        <v>12</v>
      </c>
      <c r="L1374" s="4">
        <v>978647</v>
      </c>
      <c r="M1374" t="str">
        <f t="shared" si="65"/>
        <v>Premium</v>
      </c>
    </row>
    <row r="1375" spans="1:13" x14ac:dyDescent="0.35">
      <c r="A1375">
        <v>1374</v>
      </c>
      <c r="B1375">
        <v>3446</v>
      </c>
      <c r="C1375" t="str">
        <f t="shared" si="63"/>
        <v>Large</v>
      </c>
      <c r="D1375">
        <v>3</v>
      </c>
      <c r="E1375">
        <v>4</v>
      </c>
      <c r="F1375">
        <v>2</v>
      </c>
      <c r="G1375">
        <v>1943</v>
      </c>
      <c r="H1375" t="str">
        <f t="shared" si="64"/>
        <v>Pre-1950</v>
      </c>
      <c r="I1375" t="s">
        <v>14</v>
      </c>
      <c r="J1375" t="s">
        <v>18</v>
      </c>
      <c r="K1375" t="s">
        <v>16</v>
      </c>
      <c r="L1375" s="4">
        <v>482809</v>
      </c>
      <c r="M1375" t="str">
        <f t="shared" si="65"/>
        <v>High</v>
      </c>
    </row>
    <row r="1376" spans="1:13" x14ac:dyDescent="0.35">
      <c r="A1376">
        <v>1375</v>
      </c>
      <c r="B1376">
        <v>1026</v>
      </c>
      <c r="C1376" t="str">
        <f t="shared" si="63"/>
        <v>Medium</v>
      </c>
      <c r="D1376">
        <v>3</v>
      </c>
      <c r="E1376">
        <v>2</v>
      </c>
      <c r="F1376">
        <v>3</v>
      </c>
      <c r="G1376">
        <v>1959</v>
      </c>
      <c r="H1376" t="str">
        <f t="shared" si="64"/>
        <v>1950-1975</v>
      </c>
      <c r="I1376" t="s">
        <v>19</v>
      </c>
      <c r="J1376" t="s">
        <v>13</v>
      </c>
      <c r="K1376" t="s">
        <v>12</v>
      </c>
      <c r="L1376" s="4">
        <v>482331</v>
      </c>
      <c r="M1376" t="str">
        <f t="shared" si="65"/>
        <v>High</v>
      </c>
    </row>
    <row r="1377" spans="1:13" x14ac:dyDescent="0.35">
      <c r="A1377">
        <v>1376</v>
      </c>
      <c r="B1377">
        <v>3724</v>
      </c>
      <c r="C1377" t="str">
        <f t="shared" si="63"/>
        <v>Large</v>
      </c>
      <c r="D1377">
        <v>5</v>
      </c>
      <c r="E1377">
        <v>4</v>
      </c>
      <c r="F1377">
        <v>1</v>
      </c>
      <c r="G1377">
        <v>1975</v>
      </c>
      <c r="H1377" t="str">
        <f t="shared" si="64"/>
        <v>1950-1975</v>
      </c>
      <c r="I1377" t="s">
        <v>10</v>
      </c>
      <c r="J1377" t="s">
        <v>15</v>
      </c>
      <c r="K1377" t="s">
        <v>16</v>
      </c>
      <c r="L1377" s="4">
        <v>816505</v>
      </c>
      <c r="M1377" t="str">
        <f t="shared" si="65"/>
        <v>Premium</v>
      </c>
    </row>
    <row r="1378" spans="1:13" x14ac:dyDescent="0.35">
      <c r="A1378">
        <v>1377</v>
      </c>
      <c r="B1378">
        <v>2753</v>
      </c>
      <c r="C1378" t="str">
        <f t="shared" si="63"/>
        <v>Large</v>
      </c>
      <c r="D1378">
        <v>4</v>
      </c>
      <c r="E1378">
        <v>2</v>
      </c>
      <c r="F1378">
        <v>2</v>
      </c>
      <c r="G1378">
        <v>2018</v>
      </c>
      <c r="H1378" t="str">
        <f t="shared" si="64"/>
        <v>Post-2000</v>
      </c>
      <c r="I1378" t="s">
        <v>19</v>
      </c>
      <c r="J1378" t="s">
        <v>13</v>
      </c>
      <c r="K1378" t="s">
        <v>16</v>
      </c>
      <c r="L1378" s="4">
        <v>727900</v>
      </c>
      <c r="M1378" t="str">
        <f t="shared" si="65"/>
        <v>Premium</v>
      </c>
    </row>
    <row r="1379" spans="1:13" x14ac:dyDescent="0.35">
      <c r="A1379">
        <v>1378</v>
      </c>
      <c r="B1379">
        <v>3844</v>
      </c>
      <c r="C1379" t="str">
        <f t="shared" si="63"/>
        <v>Large</v>
      </c>
      <c r="D1379">
        <v>2</v>
      </c>
      <c r="E1379">
        <v>2</v>
      </c>
      <c r="F1379">
        <v>3</v>
      </c>
      <c r="G1379">
        <v>1916</v>
      </c>
      <c r="H1379" t="str">
        <f t="shared" si="64"/>
        <v>Pre-1950</v>
      </c>
      <c r="I1379" t="s">
        <v>17</v>
      </c>
      <c r="J1379" t="s">
        <v>15</v>
      </c>
      <c r="K1379" t="s">
        <v>12</v>
      </c>
      <c r="L1379" s="4">
        <v>347625</v>
      </c>
      <c r="M1379" t="str">
        <f t="shared" si="65"/>
        <v>Medium</v>
      </c>
    </row>
    <row r="1380" spans="1:13" x14ac:dyDescent="0.35">
      <c r="A1380">
        <v>1379</v>
      </c>
      <c r="B1380">
        <v>4465</v>
      </c>
      <c r="C1380" t="str">
        <f t="shared" si="63"/>
        <v>Extra Large</v>
      </c>
      <c r="D1380">
        <v>5</v>
      </c>
      <c r="E1380">
        <v>4</v>
      </c>
      <c r="F1380">
        <v>3</v>
      </c>
      <c r="G1380">
        <v>1978</v>
      </c>
      <c r="H1380" t="str">
        <f t="shared" si="64"/>
        <v>1976-2000</v>
      </c>
      <c r="I1380" t="s">
        <v>10</v>
      </c>
      <c r="J1380" t="s">
        <v>13</v>
      </c>
      <c r="K1380" t="s">
        <v>16</v>
      </c>
      <c r="L1380" s="4">
        <v>276577</v>
      </c>
      <c r="M1380" t="str">
        <f t="shared" si="65"/>
        <v>Medium</v>
      </c>
    </row>
    <row r="1381" spans="1:13" x14ac:dyDescent="0.35">
      <c r="A1381">
        <v>1380</v>
      </c>
      <c r="B1381">
        <v>2375</v>
      </c>
      <c r="C1381" t="str">
        <f t="shared" si="63"/>
        <v>Medium</v>
      </c>
      <c r="D1381">
        <v>2</v>
      </c>
      <c r="E1381">
        <v>2</v>
      </c>
      <c r="F1381">
        <v>3</v>
      </c>
      <c r="G1381">
        <v>1972</v>
      </c>
      <c r="H1381" t="str">
        <f t="shared" si="64"/>
        <v>1950-1975</v>
      </c>
      <c r="I1381" t="s">
        <v>19</v>
      </c>
      <c r="J1381" t="s">
        <v>18</v>
      </c>
      <c r="K1381" t="s">
        <v>16</v>
      </c>
      <c r="L1381" s="4">
        <v>651385</v>
      </c>
      <c r="M1381" t="str">
        <f t="shared" si="65"/>
        <v>Premium</v>
      </c>
    </row>
    <row r="1382" spans="1:13" x14ac:dyDescent="0.35">
      <c r="A1382">
        <v>1381</v>
      </c>
      <c r="B1382">
        <v>2263</v>
      </c>
      <c r="C1382" t="str">
        <f t="shared" si="63"/>
        <v>Medium</v>
      </c>
      <c r="D1382">
        <v>4</v>
      </c>
      <c r="E1382">
        <v>4</v>
      </c>
      <c r="F1382">
        <v>2</v>
      </c>
      <c r="G1382">
        <v>1938</v>
      </c>
      <c r="H1382" t="str">
        <f t="shared" si="64"/>
        <v>Pre-1950</v>
      </c>
      <c r="I1382" t="s">
        <v>17</v>
      </c>
      <c r="J1382" t="s">
        <v>18</v>
      </c>
      <c r="K1382" t="s">
        <v>12</v>
      </c>
      <c r="L1382" s="4">
        <v>859010</v>
      </c>
      <c r="M1382" t="str">
        <f t="shared" si="65"/>
        <v>Premium</v>
      </c>
    </row>
    <row r="1383" spans="1:13" x14ac:dyDescent="0.35">
      <c r="A1383">
        <v>1382</v>
      </c>
      <c r="B1383">
        <v>1020</v>
      </c>
      <c r="C1383" t="str">
        <f t="shared" si="63"/>
        <v>Medium</v>
      </c>
      <c r="D1383">
        <v>3</v>
      </c>
      <c r="E1383">
        <v>1</v>
      </c>
      <c r="F1383">
        <v>1</v>
      </c>
      <c r="G1383">
        <v>1941</v>
      </c>
      <c r="H1383" t="str">
        <f t="shared" si="64"/>
        <v>Pre-1950</v>
      </c>
      <c r="I1383" t="s">
        <v>10</v>
      </c>
      <c r="J1383" t="s">
        <v>15</v>
      </c>
      <c r="K1383" t="s">
        <v>16</v>
      </c>
      <c r="L1383" s="4">
        <v>980291</v>
      </c>
      <c r="M1383" t="str">
        <f t="shared" si="65"/>
        <v>Premium</v>
      </c>
    </row>
    <row r="1384" spans="1:13" x14ac:dyDescent="0.35">
      <c r="A1384">
        <v>1383</v>
      </c>
      <c r="B1384">
        <v>1516</v>
      </c>
      <c r="C1384" t="str">
        <f t="shared" si="63"/>
        <v>Medium</v>
      </c>
      <c r="D1384">
        <v>2</v>
      </c>
      <c r="E1384">
        <v>4</v>
      </c>
      <c r="F1384">
        <v>1</v>
      </c>
      <c r="G1384">
        <v>1947</v>
      </c>
      <c r="H1384" t="str">
        <f t="shared" si="64"/>
        <v>Pre-1950</v>
      </c>
      <c r="I1384" t="s">
        <v>19</v>
      </c>
      <c r="J1384" t="s">
        <v>15</v>
      </c>
      <c r="K1384" t="s">
        <v>16</v>
      </c>
      <c r="L1384" s="4">
        <v>384192</v>
      </c>
      <c r="M1384" t="str">
        <f t="shared" si="65"/>
        <v>Medium</v>
      </c>
    </row>
    <row r="1385" spans="1:13" x14ac:dyDescent="0.35">
      <c r="A1385">
        <v>1384</v>
      </c>
      <c r="B1385">
        <v>616</v>
      </c>
      <c r="C1385" t="str">
        <f t="shared" si="63"/>
        <v>Small</v>
      </c>
      <c r="D1385">
        <v>1</v>
      </c>
      <c r="E1385">
        <v>1</v>
      </c>
      <c r="F1385">
        <v>2</v>
      </c>
      <c r="G1385">
        <v>1911</v>
      </c>
      <c r="H1385" t="str">
        <f t="shared" si="64"/>
        <v>Pre-1950</v>
      </c>
      <c r="I1385" t="s">
        <v>17</v>
      </c>
      <c r="J1385" t="s">
        <v>11</v>
      </c>
      <c r="K1385" t="s">
        <v>12</v>
      </c>
      <c r="L1385" s="4">
        <v>564771</v>
      </c>
      <c r="M1385" t="str">
        <f t="shared" si="65"/>
        <v>High</v>
      </c>
    </row>
    <row r="1386" spans="1:13" x14ac:dyDescent="0.35">
      <c r="A1386">
        <v>1385</v>
      </c>
      <c r="B1386">
        <v>2933</v>
      </c>
      <c r="C1386" t="str">
        <f t="shared" si="63"/>
        <v>Large</v>
      </c>
      <c r="D1386">
        <v>1</v>
      </c>
      <c r="E1386">
        <v>2</v>
      </c>
      <c r="F1386">
        <v>1</v>
      </c>
      <c r="G1386">
        <v>1995</v>
      </c>
      <c r="H1386" t="str">
        <f t="shared" si="64"/>
        <v>1976-2000</v>
      </c>
      <c r="I1386" t="s">
        <v>14</v>
      </c>
      <c r="J1386" t="s">
        <v>11</v>
      </c>
      <c r="K1386" t="s">
        <v>12</v>
      </c>
      <c r="L1386" s="4">
        <v>233951</v>
      </c>
      <c r="M1386" t="str">
        <f t="shared" si="65"/>
        <v>Medium</v>
      </c>
    </row>
    <row r="1387" spans="1:13" x14ac:dyDescent="0.35">
      <c r="A1387">
        <v>1386</v>
      </c>
      <c r="B1387">
        <v>1083</v>
      </c>
      <c r="C1387" t="str">
        <f t="shared" si="63"/>
        <v>Medium</v>
      </c>
      <c r="D1387">
        <v>5</v>
      </c>
      <c r="E1387">
        <v>4</v>
      </c>
      <c r="F1387">
        <v>2</v>
      </c>
      <c r="G1387">
        <v>1988</v>
      </c>
      <c r="H1387" t="str">
        <f t="shared" si="64"/>
        <v>1976-2000</v>
      </c>
      <c r="I1387" t="s">
        <v>17</v>
      </c>
      <c r="J1387" t="s">
        <v>18</v>
      </c>
      <c r="K1387" t="s">
        <v>12</v>
      </c>
      <c r="L1387" s="4">
        <v>191668</v>
      </c>
      <c r="M1387" t="str">
        <f t="shared" si="65"/>
        <v>Low</v>
      </c>
    </row>
    <row r="1388" spans="1:13" x14ac:dyDescent="0.35">
      <c r="A1388">
        <v>1387</v>
      </c>
      <c r="B1388">
        <v>894</v>
      </c>
      <c r="C1388" t="str">
        <f t="shared" si="63"/>
        <v>Small</v>
      </c>
      <c r="D1388">
        <v>4</v>
      </c>
      <c r="E1388">
        <v>2</v>
      </c>
      <c r="F1388">
        <v>1</v>
      </c>
      <c r="G1388">
        <v>2002</v>
      </c>
      <c r="H1388" t="str">
        <f t="shared" si="64"/>
        <v>Post-2000</v>
      </c>
      <c r="I1388" t="s">
        <v>14</v>
      </c>
      <c r="J1388" t="s">
        <v>18</v>
      </c>
      <c r="K1388" t="s">
        <v>12</v>
      </c>
      <c r="L1388" s="4">
        <v>503885</v>
      </c>
      <c r="M1388" t="str">
        <f t="shared" si="65"/>
        <v>High</v>
      </c>
    </row>
    <row r="1389" spans="1:13" x14ac:dyDescent="0.35">
      <c r="A1389">
        <v>1388</v>
      </c>
      <c r="B1389">
        <v>4288</v>
      </c>
      <c r="C1389" t="str">
        <f t="shared" si="63"/>
        <v>Extra Large</v>
      </c>
      <c r="D1389">
        <v>5</v>
      </c>
      <c r="E1389">
        <v>4</v>
      </c>
      <c r="F1389">
        <v>3</v>
      </c>
      <c r="G1389">
        <v>1917</v>
      </c>
      <c r="H1389" t="str">
        <f t="shared" si="64"/>
        <v>Pre-1950</v>
      </c>
      <c r="I1389" t="s">
        <v>19</v>
      </c>
      <c r="J1389" t="s">
        <v>11</v>
      </c>
      <c r="K1389" t="s">
        <v>12</v>
      </c>
      <c r="L1389" s="4">
        <v>463146</v>
      </c>
      <c r="M1389" t="str">
        <f t="shared" si="65"/>
        <v>High</v>
      </c>
    </row>
    <row r="1390" spans="1:13" x14ac:dyDescent="0.35">
      <c r="A1390">
        <v>1389</v>
      </c>
      <c r="B1390">
        <v>3268</v>
      </c>
      <c r="C1390" t="str">
        <f t="shared" si="63"/>
        <v>Large</v>
      </c>
      <c r="D1390">
        <v>5</v>
      </c>
      <c r="E1390">
        <v>1</v>
      </c>
      <c r="F1390">
        <v>1</v>
      </c>
      <c r="G1390">
        <v>1978</v>
      </c>
      <c r="H1390" t="str">
        <f t="shared" si="64"/>
        <v>1976-2000</v>
      </c>
      <c r="I1390" t="s">
        <v>17</v>
      </c>
      <c r="J1390" t="s">
        <v>11</v>
      </c>
      <c r="K1390" t="s">
        <v>16</v>
      </c>
      <c r="L1390" s="4">
        <v>229022</v>
      </c>
      <c r="M1390" t="str">
        <f t="shared" si="65"/>
        <v>Medium</v>
      </c>
    </row>
    <row r="1391" spans="1:13" x14ac:dyDescent="0.35">
      <c r="A1391">
        <v>1390</v>
      </c>
      <c r="B1391">
        <v>4667</v>
      </c>
      <c r="C1391" t="str">
        <f t="shared" si="63"/>
        <v>Extra Large</v>
      </c>
      <c r="D1391">
        <v>5</v>
      </c>
      <c r="E1391">
        <v>1</v>
      </c>
      <c r="F1391">
        <v>2</v>
      </c>
      <c r="G1391">
        <v>1995</v>
      </c>
      <c r="H1391" t="str">
        <f t="shared" si="64"/>
        <v>1976-2000</v>
      </c>
      <c r="I1391" t="s">
        <v>14</v>
      </c>
      <c r="J1391" t="s">
        <v>15</v>
      </c>
      <c r="K1391" t="s">
        <v>12</v>
      </c>
      <c r="L1391" s="4">
        <v>932169</v>
      </c>
      <c r="M1391" t="str">
        <f t="shared" si="65"/>
        <v>Premium</v>
      </c>
    </row>
    <row r="1392" spans="1:13" x14ac:dyDescent="0.35">
      <c r="A1392">
        <v>1391</v>
      </c>
      <c r="B1392">
        <v>4360</v>
      </c>
      <c r="C1392" t="str">
        <f t="shared" si="63"/>
        <v>Extra Large</v>
      </c>
      <c r="D1392">
        <v>1</v>
      </c>
      <c r="E1392">
        <v>4</v>
      </c>
      <c r="F1392">
        <v>2</v>
      </c>
      <c r="G1392">
        <v>1905</v>
      </c>
      <c r="H1392" t="str">
        <f t="shared" si="64"/>
        <v>Pre-1950</v>
      </c>
      <c r="I1392" t="s">
        <v>10</v>
      </c>
      <c r="J1392" t="s">
        <v>13</v>
      </c>
      <c r="K1392" t="s">
        <v>12</v>
      </c>
      <c r="L1392" s="4">
        <v>330831</v>
      </c>
      <c r="M1392" t="str">
        <f t="shared" si="65"/>
        <v>Medium</v>
      </c>
    </row>
    <row r="1393" spans="1:13" x14ac:dyDescent="0.35">
      <c r="A1393">
        <v>1392</v>
      </c>
      <c r="B1393">
        <v>773</v>
      </c>
      <c r="C1393" t="str">
        <f t="shared" si="63"/>
        <v>Small</v>
      </c>
      <c r="D1393">
        <v>1</v>
      </c>
      <c r="E1393">
        <v>1</v>
      </c>
      <c r="F1393">
        <v>3</v>
      </c>
      <c r="G1393">
        <v>2021</v>
      </c>
      <c r="H1393" t="str">
        <f t="shared" si="64"/>
        <v>Post-2000</v>
      </c>
      <c r="I1393" t="s">
        <v>17</v>
      </c>
      <c r="J1393" t="s">
        <v>15</v>
      </c>
      <c r="K1393" t="s">
        <v>16</v>
      </c>
      <c r="L1393" s="4">
        <v>496049</v>
      </c>
      <c r="M1393" t="str">
        <f t="shared" si="65"/>
        <v>High</v>
      </c>
    </row>
    <row r="1394" spans="1:13" x14ac:dyDescent="0.35">
      <c r="A1394">
        <v>1393</v>
      </c>
      <c r="B1394">
        <v>2513</v>
      </c>
      <c r="C1394" t="str">
        <f t="shared" si="63"/>
        <v>Large</v>
      </c>
      <c r="D1394">
        <v>5</v>
      </c>
      <c r="E1394">
        <v>2</v>
      </c>
      <c r="F1394">
        <v>2</v>
      </c>
      <c r="G1394">
        <v>2007</v>
      </c>
      <c r="H1394" t="str">
        <f t="shared" si="64"/>
        <v>Post-2000</v>
      </c>
      <c r="I1394" t="s">
        <v>19</v>
      </c>
      <c r="J1394" t="s">
        <v>11</v>
      </c>
      <c r="K1394" t="s">
        <v>16</v>
      </c>
      <c r="L1394" s="4">
        <v>172540</v>
      </c>
      <c r="M1394" t="str">
        <f t="shared" si="65"/>
        <v>Low</v>
      </c>
    </row>
    <row r="1395" spans="1:13" x14ac:dyDescent="0.35">
      <c r="A1395">
        <v>1394</v>
      </c>
      <c r="B1395">
        <v>4933</v>
      </c>
      <c r="C1395" t="str">
        <f t="shared" si="63"/>
        <v>Extra Large</v>
      </c>
      <c r="D1395">
        <v>1</v>
      </c>
      <c r="E1395">
        <v>2</v>
      </c>
      <c r="F1395">
        <v>1</v>
      </c>
      <c r="G1395">
        <v>1942</v>
      </c>
      <c r="H1395" t="str">
        <f t="shared" si="64"/>
        <v>Pre-1950</v>
      </c>
      <c r="I1395" t="s">
        <v>10</v>
      </c>
      <c r="J1395" t="s">
        <v>18</v>
      </c>
      <c r="K1395" t="s">
        <v>16</v>
      </c>
      <c r="L1395" s="4">
        <v>741349</v>
      </c>
      <c r="M1395" t="str">
        <f t="shared" si="65"/>
        <v>Premium</v>
      </c>
    </row>
    <row r="1396" spans="1:13" x14ac:dyDescent="0.35">
      <c r="A1396">
        <v>1395</v>
      </c>
      <c r="B1396">
        <v>1889</v>
      </c>
      <c r="C1396" t="str">
        <f t="shared" si="63"/>
        <v>Medium</v>
      </c>
      <c r="D1396">
        <v>4</v>
      </c>
      <c r="E1396">
        <v>3</v>
      </c>
      <c r="F1396">
        <v>1</v>
      </c>
      <c r="G1396">
        <v>2015</v>
      </c>
      <c r="H1396" t="str">
        <f t="shared" si="64"/>
        <v>Post-2000</v>
      </c>
      <c r="I1396" t="s">
        <v>14</v>
      </c>
      <c r="J1396" t="s">
        <v>11</v>
      </c>
      <c r="K1396" t="s">
        <v>16</v>
      </c>
      <c r="L1396" s="4">
        <v>866615</v>
      </c>
      <c r="M1396" t="str">
        <f t="shared" si="65"/>
        <v>Premium</v>
      </c>
    </row>
    <row r="1397" spans="1:13" x14ac:dyDescent="0.35">
      <c r="A1397">
        <v>1396</v>
      </c>
      <c r="B1397">
        <v>4066</v>
      </c>
      <c r="C1397" t="str">
        <f t="shared" si="63"/>
        <v>Extra Large</v>
      </c>
      <c r="D1397">
        <v>5</v>
      </c>
      <c r="E1397">
        <v>1</v>
      </c>
      <c r="F1397">
        <v>3</v>
      </c>
      <c r="G1397">
        <v>1934</v>
      </c>
      <c r="H1397" t="str">
        <f t="shared" si="64"/>
        <v>Pre-1950</v>
      </c>
      <c r="I1397" t="s">
        <v>17</v>
      </c>
      <c r="J1397" t="s">
        <v>18</v>
      </c>
      <c r="K1397" t="s">
        <v>16</v>
      </c>
      <c r="L1397" s="4">
        <v>332902</v>
      </c>
      <c r="M1397" t="str">
        <f t="shared" si="65"/>
        <v>Medium</v>
      </c>
    </row>
    <row r="1398" spans="1:13" x14ac:dyDescent="0.35">
      <c r="A1398">
        <v>1397</v>
      </c>
      <c r="B1398">
        <v>665</v>
      </c>
      <c r="C1398" t="str">
        <f t="shared" si="63"/>
        <v>Small</v>
      </c>
      <c r="D1398">
        <v>1</v>
      </c>
      <c r="E1398">
        <v>2</v>
      </c>
      <c r="F1398">
        <v>2</v>
      </c>
      <c r="G1398">
        <v>1997</v>
      </c>
      <c r="H1398" t="str">
        <f t="shared" si="64"/>
        <v>1976-2000</v>
      </c>
      <c r="I1398" t="s">
        <v>17</v>
      </c>
      <c r="J1398" t="s">
        <v>18</v>
      </c>
      <c r="K1398" t="s">
        <v>12</v>
      </c>
      <c r="L1398" s="4">
        <v>706442</v>
      </c>
      <c r="M1398" t="str">
        <f t="shared" si="65"/>
        <v>Premium</v>
      </c>
    </row>
    <row r="1399" spans="1:13" x14ac:dyDescent="0.35">
      <c r="A1399">
        <v>1398</v>
      </c>
      <c r="B1399">
        <v>2067</v>
      </c>
      <c r="C1399" t="str">
        <f t="shared" si="63"/>
        <v>Medium</v>
      </c>
      <c r="D1399">
        <v>2</v>
      </c>
      <c r="E1399">
        <v>4</v>
      </c>
      <c r="F1399">
        <v>3</v>
      </c>
      <c r="G1399">
        <v>2001</v>
      </c>
      <c r="H1399" t="str">
        <f t="shared" si="64"/>
        <v>Post-2000</v>
      </c>
      <c r="I1399" t="s">
        <v>19</v>
      </c>
      <c r="J1399" t="s">
        <v>18</v>
      </c>
      <c r="K1399" t="s">
        <v>16</v>
      </c>
      <c r="L1399" s="4">
        <v>812301</v>
      </c>
      <c r="M1399" t="str">
        <f t="shared" si="65"/>
        <v>Premium</v>
      </c>
    </row>
    <row r="1400" spans="1:13" x14ac:dyDescent="0.35">
      <c r="A1400">
        <v>1399</v>
      </c>
      <c r="B1400">
        <v>1228</v>
      </c>
      <c r="C1400" t="str">
        <f t="shared" si="63"/>
        <v>Medium</v>
      </c>
      <c r="D1400">
        <v>5</v>
      </c>
      <c r="E1400">
        <v>1</v>
      </c>
      <c r="F1400">
        <v>1</v>
      </c>
      <c r="G1400">
        <v>2019</v>
      </c>
      <c r="H1400" t="str">
        <f t="shared" si="64"/>
        <v>Post-2000</v>
      </c>
      <c r="I1400" t="s">
        <v>10</v>
      </c>
      <c r="J1400" t="s">
        <v>18</v>
      </c>
      <c r="K1400" t="s">
        <v>12</v>
      </c>
      <c r="L1400" s="4">
        <v>670656</v>
      </c>
      <c r="M1400" t="str">
        <f t="shared" si="65"/>
        <v>Premium</v>
      </c>
    </row>
    <row r="1401" spans="1:13" x14ac:dyDescent="0.35">
      <c r="A1401">
        <v>1400</v>
      </c>
      <c r="B1401">
        <v>2543</v>
      </c>
      <c r="C1401" t="str">
        <f t="shared" si="63"/>
        <v>Large</v>
      </c>
      <c r="D1401">
        <v>5</v>
      </c>
      <c r="E1401">
        <v>2</v>
      </c>
      <c r="F1401">
        <v>3</v>
      </c>
      <c r="G1401">
        <v>1953</v>
      </c>
      <c r="H1401" t="str">
        <f t="shared" si="64"/>
        <v>1950-1975</v>
      </c>
      <c r="I1401" t="s">
        <v>17</v>
      </c>
      <c r="J1401" t="s">
        <v>13</v>
      </c>
      <c r="K1401" t="s">
        <v>16</v>
      </c>
      <c r="L1401" s="4">
        <v>620179</v>
      </c>
      <c r="M1401" t="str">
        <f t="shared" si="65"/>
        <v>Premium</v>
      </c>
    </row>
    <row r="1402" spans="1:13" x14ac:dyDescent="0.35">
      <c r="A1402">
        <v>1401</v>
      </c>
      <c r="B1402">
        <v>4697</v>
      </c>
      <c r="C1402" t="str">
        <f t="shared" si="63"/>
        <v>Extra Large</v>
      </c>
      <c r="D1402">
        <v>4</v>
      </c>
      <c r="E1402">
        <v>1</v>
      </c>
      <c r="F1402">
        <v>2</v>
      </c>
      <c r="G1402">
        <v>2020</v>
      </c>
      <c r="H1402" t="str">
        <f t="shared" si="64"/>
        <v>Post-2000</v>
      </c>
      <c r="I1402" t="s">
        <v>17</v>
      </c>
      <c r="J1402" t="s">
        <v>11</v>
      </c>
      <c r="K1402" t="s">
        <v>12</v>
      </c>
      <c r="L1402" s="4">
        <v>96901</v>
      </c>
      <c r="M1402" t="str">
        <f t="shared" si="65"/>
        <v>Low</v>
      </c>
    </row>
    <row r="1403" spans="1:13" x14ac:dyDescent="0.35">
      <c r="A1403">
        <v>1402</v>
      </c>
      <c r="B1403">
        <v>3996</v>
      </c>
      <c r="C1403" t="str">
        <f t="shared" si="63"/>
        <v>Large</v>
      </c>
      <c r="D1403">
        <v>3</v>
      </c>
      <c r="E1403">
        <v>4</v>
      </c>
      <c r="F1403">
        <v>3</v>
      </c>
      <c r="G1403">
        <v>1961</v>
      </c>
      <c r="H1403" t="str">
        <f t="shared" si="64"/>
        <v>1950-1975</v>
      </c>
      <c r="I1403" t="s">
        <v>10</v>
      </c>
      <c r="J1403" t="s">
        <v>15</v>
      </c>
      <c r="K1403" t="s">
        <v>16</v>
      </c>
      <c r="L1403" s="4">
        <v>526728</v>
      </c>
      <c r="M1403" t="str">
        <f t="shared" si="65"/>
        <v>High</v>
      </c>
    </row>
    <row r="1404" spans="1:13" x14ac:dyDescent="0.35">
      <c r="A1404">
        <v>1403</v>
      </c>
      <c r="B1404">
        <v>1278</v>
      </c>
      <c r="C1404" t="str">
        <f t="shared" si="63"/>
        <v>Medium</v>
      </c>
      <c r="D1404">
        <v>3</v>
      </c>
      <c r="E1404">
        <v>2</v>
      </c>
      <c r="F1404">
        <v>2</v>
      </c>
      <c r="G1404">
        <v>1968</v>
      </c>
      <c r="H1404" t="str">
        <f t="shared" si="64"/>
        <v>1950-1975</v>
      </c>
      <c r="I1404" t="s">
        <v>17</v>
      </c>
      <c r="J1404" t="s">
        <v>18</v>
      </c>
      <c r="K1404" t="s">
        <v>12</v>
      </c>
      <c r="L1404" s="4">
        <v>416056</v>
      </c>
      <c r="M1404" t="str">
        <f t="shared" si="65"/>
        <v>High</v>
      </c>
    </row>
    <row r="1405" spans="1:13" x14ac:dyDescent="0.35">
      <c r="A1405">
        <v>1404</v>
      </c>
      <c r="B1405">
        <v>713</v>
      </c>
      <c r="C1405" t="str">
        <f t="shared" si="63"/>
        <v>Small</v>
      </c>
      <c r="D1405">
        <v>4</v>
      </c>
      <c r="E1405">
        <v>3</v>
      </c>
      <c r="F1405">
        <v>2</v>
      </c>
      <c r="G1405">
        <v>1981</v>
      </c>
      <c r="H1405" t="str">
        <f t="shared" si="64"/>
        <v>1976-2000</v>
      </c>
      <c r="I1405" t="s">
        <v>10</v>
      </c>
      <c r="J1405" t="s">
        <v>18</v>
      </c>
      <c r="K1405" t="s">
        <v>12</v>
      </c>
      <c r="L1405" s="4">
        <v>645350</v>
      </c>
      <c r="M1405" t="str">
        <f t="shared" si="65"/>
        <v>Premium</v>
      </c>
    </row>
    <row r="1406" spans="1:13" x14ac:dyDescent="0.35">
      <c r="A1406">
        <v>1405</v>
      </c>
      <c r="B1406">
        <v>4262</v>
      </c>
      <c r="C1406" t="str">
        <f t="shared" si="63"/>
        <v>Extra Large</v>
      </c>
      <c r="D1406">
        <v>4</v>
      </c>
      <c r="E1406">
        <v>3</v>
      </c>
      <c r="F1406">
        <v>1</v>
      </c>
      <c r="G1406">
        <v>1915</v>
      </c>
      <c r="H1406" t="str">
        <f t="shared" si="64"/>
        <v>Pre-1950</v>
      </c>
      <c r="I1406" t="s">
        <v>10</v>
      </c>
      <c r="J1406" t="s">
        <v>15</v>
      </c>
      <c r="K1406" t="s">
        <v>12</v>
      </c>
      <c r="L1406" s="4">
        <v>539838</v>
      </c>
      <c r="M1406" t="str">
        <f t="shared" si="65"/>
        <v>High</v>
      </c>
    </row>
    <row r="1407" spans="1:13" x14ac:dyDescent="0.35">
      <c r="A1407">
        <v>1406</v>
      </c>
      <c r="B1407">
        <v>2076</v>
      </c>
      <c r="C1407" t="str">
        <f t="shared" si="63"/>
        <v>Medium</v>
      </c>
      <c r="D1407">
        <v>4</v>
      </c>
      <c r="E1407">
        <v>1</v>
      </c>
      <c r="F1407">
        <v>1</v>
      </c>
      <c r="G1407">
        <v>1907</v>
      </c>
      <c r="H1407" t="str">
        <f t="shared" si="64"/>
        <v>Pre-1950</v>
      </c>
      <c r="I1407" t="s">
        <v>10</v>
      </c>
      <c r="J1407" t="s">
        <v>15</v>
      </c>
      <c r="K1407" t="s">
        <v>12</v>
      </c>
      <c r="L1407" s="4">
        <v>726923</v>
      </c>
      <c r="M1407" t="str">
        <f t="shared" si="65"/>
        <v>Premium</v>
      </c>
    </row>
    <row r="1408" spans="1:13" x14ac:dyDescent="0.35">
      <c r="A1408">
        <v>1407</v>
      </c>
      <c r="B1408">
        <v>2948</v>
      </c>
      <c r="C1408" t="str">
        <f t="shared" si="63"/>
        <v>Large</v>
      </c>
      <c r="D1408">
        <v>3</v>
      </c>
      <c r="E1408">
        <v>4</v>
      </c>
      <c r="F1408">
        <v>1</v>
      </c>
      <c r="G1408">
        <v>1988</v>
      </c>
      <c r="H1408" t="str">
        <f t="shared" si="64"/>
        <v>1976-2000</v>
      </c>
      <c r="I1408" t="s">
        <v>19</v>
      </c>
      <c r="J1408" t="s">
        <v>18</v>
      </c>
      <c r="K1408" t="s">
        <v>12</v>
      </c>
      <c r="L1408" s="4">
        <v>908440</v>
      </c>
      <c r="M1408" t="str">
        <f t="shared" si="65"/>
        <v>Premium</v>
      </c>
    </row>
    <row r="1409" spans="1:13" x14ac:dyDescent="0.35">
      <c r="A1409">
        <v>1408</v>
      </c>
      <c r="B1409">
        <v>3436</v>
      </c>
      <c r="C1409" t="str">
        <f t="shared" si="63"/>
        <v>Large</v>
      </c>
      <c r="D1409">
        <v>4</v>
      </c>
      <c r="E1409">
        <v>2</v>
      </c>
      <c r="F1409">
        <v>2</v>
      </c>
      <c r="G1409">
        <v>1995</v>
      </c>
      <c r="H1409" t="str">
        <f t="shared" si="64"/>
        <v>1976-2000</v>
      </c>
      <c r="I1409" t="s">
        <v>10</v>
      </c>
      <c r="J1409" t="s">
        <v>15</v>
      </c>
      <c r="K1409" t="s">
        <v>12</v>
      </c>
      <c r="L1409" s="4">
        <v>445991</v>
      </c>
      <c r="M1409" t="str">
        <f t="shared" si="65"/>
        <v>High</v>
      </c>
    </row>
    <row r="1410" spans="1:13" x14ac:dyDescent="0.35">
      <c r="A1410">
        <v>1409</v>
      </c>
      <c r="B1410">
        <v>3617</v>
      </c>
      <c r="C1410" t="str">
        <f t="shared" si="63"/>
        <v>Large</v>
      </c>
      <c r="D1410">
        <v>1</v>
      </c>
      <c r="E1410">
        <v>4</v>
      </c>
      <c r="F1410">
        <v>3</v>
      </c>
      <c r="G1410">
        <v>1989</v>
      </c>
      <c r="H1410" t="str">
        <f t="shared" si="64"/>
        <v>1976-2000</v>
      </c>
      <c r="I1410" t="s">
        <v>10</v>
      </c>
      <c r="J1410" t="s">
        <v>15</v>
      </c>
      <c r="K1410" t="s">
        <v>12</v>
      </c>
      <c r="L1410" s="4">
        <v>983332</v>
      </c>
      <c r="M1410" t="str">
        <f t="shared" si="65"/>
        <v>Premium</v>
      </c>
    </row>
    <row r="1411" spans="1:13" x14ac:dyDescent="0.35">
      <c r="A1411">
        <v>1410</v>
      </c>
      <c r="B1411">
        <v>1091</v>
      </c>
      <c r="C1411" t="str">
        <f t="shared" ref="C1411:C1474" si="66">IF(B1411&lt;=1000,"Small",IF(B1411&lt;=2500,"Medium",IF(B1411&lt;=4000,"Large",IF(B1411&gt;=4000,"Extra Large"))))</f>
        <v>Medium</v>
      </c>
      <c r="D1411">
        <v>5</v>
      </c>
      <c r="E1411">
        <v>2</v>
      </c>
      <c r="F1411">
        <v>2</v>
      </c>
      <c r="G1411">
        <v>2015</v>
      </c>
      <c r="H1411" t="str">
        <f t="shared" ref="H1411:H1474" si="67">IF(G1411&lt;=1950,"Pre-1950",IF(G1411&lt;=1975,"1950-1975",IF(G1411&lt;=2000,"1976-2000",IF(G1411&gt;=2000,"Post-2000"))))</f>
        <v>Post-2000</v>
      </c>
      <c r="I1411" t="s">
        <v>14</v>
      </c>
      <c r="J1411" t="s">
        <v>13</v>
      </c>
      <c r="K1411" t="s">
        <v>12</v>
      </c>
      <c r="L1411" s="4">
        <v>553528</v>
      </c>
      <c r="M1411" t="str">
        <f t="shared" ref="M1411:M1474" si="68">IF(L1411&lt;=200000,"Low",IF(L1411&lt;=400000,"Medium",IF(L1411&lt;=600000,"High",IF(L1411&gt;=600000,"Premium",""))))</f>
        <v>High</v>
      </c>
    </row>
    <row r="1412" spans="1:13" x14ac:dyDescent="0.35">
      <c r="A1412">
        <v>1411</v>
      </c>
      <c r="B1412">
        <v>3220</v>
      </c>
      <c r="C1412" t="str">
        <f t="shared" si="66"/>
        <v>Large</v>
      </c>
      <c r="D1412">
        <v>5</v>
      </c>
      <c r="E1412">
        <v>1</v>
      </c>
      <c r="F1412">
        <v>1</v>
      </c>
      <c r="G1412">
        <v>1985</v>
      </c>
      <c r="H1412" t="str">
        <f t="shared" si="67"/>
        <v>1976-2000</v>
      </c>
      <c r="I1412" t="s">
        <v>14</v>
      </c>
      <c r="J1412" t="s">
        <v>15</v>
      </c>
      <c r="K1412" t="s">
        <v>12</v>
      </c>
      <c r="L1412" s="4">
        <v>569149</v>
      </c>
      <c r="M1412" t="str">
        <f t="shared" si="68"/>
        <v>High</v>
      </c>
    </row>
    <row r="1413" spans="1:13" x14ac:dyDescent="0.35">
      <c r="A1413">
        <v>1412</v>
      </c>
      <c r="B1413">
        <v>1213</v>
      </c>
      <c r="C1413" t="str">
        <f t="shared" si="66"/>
        <v>Medium</v>
      </c>
      <c r="D1413">
        <v>2</v>
      </c>
      <c r="E1413">
        <v>2</v>
      </c>
      <c r="F1413">
        <v>1</v>
      </c>
      <c r="G1413">
        <v>1930</v>
      </c>
      <c r="H1413" t="str">
        <f t="shared" si="67"/>
        <v>Pre-1950</v>
      </c>
      <c r="I1413" t="s">
        <v>19</v>
      </c>
      <c r="J1413" t="s">
        <v>11</v>
      </c>
      <c r="K1413" t="s">
        <v>12</v>
      </c>
      <c r="L1413" s="4">
        <v>854406</v>
      </c>
      <c r="M1413" t="str">
        <f t="shared" si="68"/>
        <v>Premium</v>
      </c>
    </row>
    <row r="1414" spans="1:13" x14ac:dyDescent="0.35">
      <c r="A1414">
        <v>1413</v>
      </c>
      <c r="B1414">
        <v>1435</v>
      </c>
      <c r="C1414" t="str">
        <f t="shared" si="66"/>
        <v>Medium</v>
      </c>
      <c r="D1414">
        <v>2</v>
      </c>
      <c r="E1414">
        <v>4</v>
      </c>
      <c r="F1414">
        <v>3</v>
      </c>
      <c r="G1414">
        <v>2006</v>
      </c>
      <c r="H1414" t="str">
        <f t="shared" si="67"/>
        <v>Post-2000</v>
      </c>
      <c r="I1414" t="s">
        <v>10</v>
      </c>
      <c r="J1414" t="s">
        <v>11</v>
      </c>
      <c r="K1414" t="s">
        <v>16</v>
      </c>
      <c r="L1414" s="4">
        <v>727748</v>
      </c>
      <c r="M1414" t="str">
        <f t="shared" si="68"/>
        <v>Premium</v>
      </c>
    </row>
    <row r="1415" spans="1:13" x14ac:dyDescent="0.35">
      <c r="A1415">
        <v>1414</v>
      </c>
      <c r="B1415">
        <v>4837</v>
      </c>
      <c r="C1415" t="str">
        <f t="shared" si="66"/>
        <v>Extra Large</v>
      </c>
      <c r="D1415">
        <v>5</v>
      </c>
      <c r="E1415">
        <v>4</v>
      </c>
      <c r="F1415">
        <v>1</v>
      </c>
      <c r="G1415">
        <v>1909</v>
      </c>
      <c r="H1415" t="str">
        <f t="shared" si="67"/>
        <v>Pre-1950</v>
      </c>
      <c r="I1415" t="s">
        <v>14</v>
      </c>
      <c r="J1415" t="s">
        <v>11</v>
      </c>
      <c r="K1415" t="s">
        <v>12</v>
      </c>
      <c r="L1415" s="4">
        <v>654879</v>
      </c>
      <c r="M1415" t="str">
        <f t="shared" si="68"/>
        <v>Premium</v>
      </c>
    </row>
    <row r="1416" spans="1:13" x14ac:dyDescent="0.35">
      <c r="A1416">
        <v>1415</v>
      </c>
      <c r="B1416">
        <v>501</v>
      </c>
      <c r="C1416" t="str">
        <f t="shared" si="66"/>
        <v>Small</v>
      </c>
      <c r="D1416">
        <v>1</v>
      </c>
      <c r="E1416">
        <v>1</v>
      </c>
      <c r="F1416">
        <v>1</v>
      </c>
      <c r="G1416">
        <v>1955</v>
      </c>
      <c r="H1416" t="str">
        <f t="shared" si="67"/>
        <v>1950-1975</v>
      </c>
      <c r="I1416" t="s">
        <v>14</v>
      </c>
      <c r="J1416" t="s">
        <v>18</v>
      </c>
      <c r="K1416" t="s">
        <v>12</v>
      </c>
      <c r="L1416" s="4">
        <v>302990</v>
      </c>
      <c r="M1416" t="str">
        <f t="shared" si="68"/>
        <v>Medium</v>
      </c>
    </row>
    <row r="1417" spans="1:13" x14ac:dyDescent="0.35">
      <c r="A1417">
        <v>1416</v>
      </c>
      <c r="B1417">
        <v>3348</v>
      </c>
      <c r="C1417" t="str">
        <f t="shared" si="66"/>
        <v>Large</v>
      </c>
      <c r="D1417">
        <v>3</v>
      </c>
      <c r="E1417">
        <v>4</v>
      </c>
      <c r="F1417">
        <v>1</v>
      </c>
      <c r="G1417">
        <v>2020</v>
      </c>
      <c r="H1417" t="str">
        <f t="shared" si="67"/>
        <v>Post-2000</v>
      </c>
      <c r="I1417" t="s">
        <v>17</v>
      </c>
      <c r="J1417" t="s">
        <v>11</v>
      </c>
      <c r="K1417" t="s">
        <v>16</v>
      </c>
      <c r="L1417" s="4">
        <v>330759</v>
      </c>
      <c r="M1417" t="str">
        <f t="shared" si="68"/>
        <v>Medium</v>
      </c>
    </row>
    <row r="1418" spans="1:13" x14ac:dyDescent="0.35">
      <c r="A1418">
        <v>1417</v>
      </c>
      <c r="B1418">
        <v>4544</v>
      </c>
      <c r="C1418" t="str">
        <f t="shared" si="66"/>
        <v>Extra Large</v>
      </c>
      <c r="D1418">
        <v>3</v>
      </c>
      <c r="E1418">
        <v>2</v>
      </c>
      <c r="F1418">
        <v>3</v>
      </c>
      <c r="G1418">
        <v>1975</v>
      </c>
      <c r="H1418" t="str">
        <f t="shared" si="67"/>
        <v>1950-1975</v>
      </c>
      <c r="I1418" t="s">
        <v>10</v>
      </c>
      <c r="J1418" t="s">
        <v>13</v>
      </c>
      <c r="K1418" t="s">
        <v>12</v>
      </c>
      <c r="L1418" s="4">
        <v>72838</v>
      </c>
      <c r="M1418" t="str">
        <f t="shared" si="68"/>
        <v>Low</v>
      </c>
    </row>
    <row r="1419" spans="1:13" x14ac:dyDescent="0.35">
      <c r="A1419">
        <v>1418</v>
      </c>
      <c r="B1419">
        <v>2449</v>
      </c>
      <c r="C1419" t="str">
        <f t="shared" si="66"/>
        <v>Medium</v>
      </c>
      <c r="D1419">
        <v>1</v>
      </c>
      <c r="E1419">
        <v>1</v>
      </c>
      <c r="F1419">
        <v>2</v>
      </c>
      <c r="G1419">
        <v>2016</v>
      </c>
      <c r="H1419" t="str">
        <f t="shared" si="67"/>
        <v>Post-2000</v>
      </c>
      <c r="I1419" t="s">
        <v>14</v>
      </c>
      <c r="J1419" t="s">
        <v>11</v>
      </c>
      <c r="K1419" t="s">
        <v>12</v>
      </c>
      <c r="L1419" s="4">
        <v>352872</v>
      </c>
      <c r="M1419" t="str">
        <f t="shared" si="68"/>
        <v>Medium</v>
      </c>
    </row>
    <row r="1420" spans="1:13" x14ac:dyDescent="0.35">
      <c r="A1420">
        <v>1419</v>
      </c>
      <c r="B1420">
        <v>1417</v>
      </c>
      <c r="C1420" t="str">
        <f t="shared" si="66"/>
        <v>Medium</v>
      </c>
      <c r="D1420">
        <v>3</v>
      </c>
      <c r="E1420">
        <v>2</v>
      </c>
      <c r="F1420">
        <v>1</v>
      </c>
      <c r="G1420">
        <v>1991</v>
      </c>
      <c r="H1420" t="str">
        <f t="shared" si="67"/>
        <v>1976-2000</v>
      </c>
      <c r="I1420" t="s">
        <v>19</v>
      </c>
      <c r="J1420" t="s">
        <v>18</v>
      </c>
      <c r="K1420" t="s">
        <v>16</v>
      </c>
      <c r="L1420" s="4">
        <v>690537</v>
      </c>
      <c r="M1420" t="str">
        <f t="shared" si="68"/>
        <v>Premium</v>
      </c>
    </row>
    <row r="1421" spans="1:13" x14ac:dyDescent="0.35">
      <c r="A1421">
        <v>1420</v>
      </c>
      <c r="B1421">
        <v>3674</v>
      </c>
      <c r="C1421" t="str">
        <f t="shared" si="66"/>
        <v>Large</v>
      </c>
      <c r="D1421">
        <v>4</v>
      </c>
      <c r="E1421">
        <v>4</v>
      </c>
      <c r="F1421">
        <v>3</v>
      </c>
      <c r="G1421">
        <v>1969</v>
      </c>
      <c r="H1421" t="str">
        <f t="shared" si="67"/>
        <v>1950-1975</v>
      </c>
      <c r="I1421" t="s">
        <v>17</v>
      </c>
      <c r="J1421" t="s">
        <v>13</v>
      </c>
      <c r="K1421" t="s">
        <v>16</v>
      </c>
      <c r="L1421" s="4">
        <v>652288</v>
      </c>
      <c r="M1421" t="str">
        <f t="shared" si="68"/>
        <v>Premium</v>
      </c>
    </row>
    <row r="1422" spans="1:13" x14ac:dyDescent="0.35">
      <c r="A1422">
        <v>1421</v>
      </c>
      <c r="B1422">
        <v>2741</v>
      </c>
      <c r="C1422" t="str">
        <f t="shared" si="66"/>
        <v>Large</v>
      </c>
      <c r="D1422">
        <v>5</v>
      </c>
      <c r="E1422">
        <v>1</v>
      </c>
      <c r="F1422">
        <v>1</v>
      </c>
      <c r="G1422">
        <v>2022</v>
      </c>
      <c r="H1422" t="str">
        <f t="shared" si="67"/>
        <v>Post-2000</v>
      </c>
      <c r="I1422" t="s">
        <v>17</v>
      </c>
      <c r="J1422" t="s">
        <v>11</v>
      </c>
      <c r="K1422" t="s">
        <v>12</v>
      </c>
      <c r="L1422" s="4">
        <v>364942</v>
      </c>
      <c r="M1422" t="str">
        <f t="shared" si="68"/>
        <v>Medium</v>
      </c>
    </row>
    <row r="1423" spans="1:13" x14ac:dyDescent="0.35">
      <c r="A1423">
        <v>1422</v>
      </c>
      <c r="B1423">
        <v>589</v>
      </c>
      <c r="C1423" t="str">
        <f t="shared" si="66"/>
        <v>Small</v>
      </c>
      <c r="D1423">
        <v>5</v>
      </c>
      <c r="E1423">
        <v>2</v>
      </c>
      <c r="F1423">
        <v>3</v>
      </c>
      <c r="G1423">
        <v>1919</v>
      </c>
      <c r="H1423" t="str">
        <f t="shared" si="67"/>
        <v>Pre-1950</v>
      </c>
      <c r="I1423" t="s">
        <v>10</v>
      </c>
      <c r="J1423" t="s">
        <v>13</v>
      </c>
      <c r="K1423" t="s">
        <v>16</v>
      </c>
      <c r="L1423" s="4">
        <v>515992</v>
      </c>
      <c r="M1423" t="str">
        <f t="shared" si="68"/>
        <v>High</v>
      </c>
    </row>
    <row r="1424" spans="1:13" x14ac:dyDescent="0.35">
      <c r="A1424">
        <v>1423</v>
      </c>
      <c r="B1424">
        <v>2209</v>
      </c>
      <c r="C1424" t="str">
        <f t="shared" si="66"/>
        <v>Medium</v>
      </c>
      <c r="D1424">
        <v>1</v>
      </c>
      <c r="E1424">
        <v>4</v>
      </c>
      <c r="F1424">
        <v>1</v>
      </c>
      <c r="G1424">
        <v>1904</v>
      </c>
      <c r="H1424" t="str">
        <f t="shared" si="67"/>
        <v>Pre-1950</v>
      </c>
      <c r="I1424" t="s">
        <v>10</v>
      </c>
      <c r="J1424" t="s">
        <v>13</v>
      </c>
      <c r="K1424" t="s">
        <v>12</v>
      </c>
      <c r="L1424" s="4">
        <v>987126</v>
      </c>
      <c r="M1424" t="str">
        <f t="shared" si="68"/>
        <v>Premium</v>
      </c>
    </row>
    <row r="1425" spans="1:13" x14ac:dyDescent="0.35">
      <c r="A1425">
        <v>1424</v>
      </c>
      <c r="B1425">
        <v>2669</v>
      </c>
      <c r="C1425" t="str">
        <f t="shared" si="66"/>
        <v>Large</v>
      </c>
      <c r="D1425">
        <v>3</v>
      </c>
      <c r="E1425">
        <v>4</v>
      </c>
      <c r="F1425">
        <v>3</v>
      </c>
      <c r="G1425">
        <v>1922</v>
      </c>
      <c r="H1425" t="str">
        <f t="shared" si="67"/>
        <v>Pre-1950</v>
      </c>
      <c r="I1425" t="s">
        <v>17</v>
      </c>
      <c r="J1425" t="s">
        <v>18</v>
      </c>
      <c r="K1425" t="s">
        <v>12</v>
      </c>
      <c r="L1425" s="4">
        <v>194608</v>
      </c>
      <c r="M1425" t="str">
        <f t="shared" si="68"/>
        <v>Low</v>
      </c>
    </row>
    <row r="1426" spans="1:13" x14ac:dyDescent="0.35">
      <c r="A1426">
        <v>1425</v>
      </c>
      <c r="B1426">
        <v>4738</v>
      </c>
      <c r="C1426" t="str">
        <f t="shared" si="66"/>
        <v>Extra Large</v>
      </c>
      <c r="D1426">
        <v>2</v>
      </c>
      <c r="E1426">
        <v>3</v>
      </c>
      <c r="F1426">
        <v>1</v>
      </c>
      <c r="G1426">
        <v>1908</v>
      </c>
      <c r="H1426" t="str">
        <f t="shared" si="67"/>
        <v>Pre-1950</v>
      </c>
      <c r="I1426" t="s">
        <v>19</v>
      </c>
      <c r="J1426" t="s">
        <v>18</v>
      </c>
      <c r="K1426" t="s">
        <v>12</v>
      </c>
      <c r="L1426" s="4">
        <v>186772</v>
      </c>
      <c r="M1426" t="str">
        <f t="shared" si="68"/>
        <v>Low</v>
      </c>
    </row>
    <row r="1427" spans="1:13" x14ac:dyDescent="0.35">
      <c r="A1427">
        <v>1426</v>
      </c>
      <c r="B1427">
        <v>3541</v>
      </c>
      <c r="C1427" t="str">
        <f t="shared" si="66"/>
        <v>Large</v>
      </c>
      <c r="D1427">
        <v>2</v>
      </c>
      <c r="E1427">
        <v>4</v>
      </c>
      <c r="F1427">
        <v>2</v>
      </c>
      <c r="G1427">
        <v>1957</v>
      </c>
      <c r="H1427" t="str">
        <f t="shared" si="67"/>
        <v>1950-1975</v>
      </c>
      <c r="I1427" t="s">
        <v>10</v>
      </c>
      <c r="J1427" t="s">
        <v>13</v>
      </c>
      <c r="K1427" t="s">
        <v>16</v>
      </c>
      <c r="L1427" s="4">
        <v>744199</v>
      </c>
      <c r="M1427" t="str">
        <f t="shared" si="68"/>
        <v>Premium</v>
      </c>
    </row>
    <row r="1428" spans="1:13" x14ac:dyDescent="0.35">
      <c r="A1428">
        <v>1427</v>
      </c>
      <c r="B1428">
        <v>605</v>
      </c>
      <c r="C1428" t="str">
        <f t="shared" si="66"/>
        <v>Small</v>
      </c>
      <c r="D1428">
        <v>3</v>
      </c>
      <c r="E1428">
        <v>2</v>
      </c>
      <c r="F1428">
        <v>1</v>
      </c>
      <c r="G1428">
        <v>1958</v>
      </c>
      <c r="H1428" t="str">
        <f t="shared" si="67"/>
        <v>1950-1975</v>
      </c>
      <c r="I1428" t="s">
        <v>10</v>
      </c>
      <c r="J1428" t="s">
        <v>11</v>
      </c>
      <c r="K1428" t="s">
        <v>12</v>
      </c>
      <c r="L1428" s="4">
        <v>846680</v>
      </c>
      <c r="M1428" t="str">
        <f t="shared" si="68"/>
        <v>Premium</v>
      </c>
    </row>
    <row r="1429" spans="1:13" x14ac:dyDescent="0.35">
      <c r="A1429">
        <v>1428</v>
      </c>
      <c r="B1429">
        <v>1386</v>
      </c>
      <c r="C1429" t="str">
        <f t="shared" si="66"/>
        <v>Medium</v>
      </c>
      <c r="D1429">
        <v>2</v>
      </c>
      <c r="E1429">
        <v>1</v>
      </c>
      <c r="F1429">
        <v>3</v>
      </c>
      <c r="G1429">
        <v>1992</v>
      </c>
      <c r="H1429" t="str">
        <f t="shared" si="67"/>
        <v>1976-2000</v>
      </c>
      <c r="I1429" t="s">
        <v>17</v>
      </c>
      <c r="J1429" t="s">
        <v>18</v>
      </c>
      <c r="K1429" t="s">
        <v>12</v>
      </c>
      <c r="L1429" s="4">
        <v>95291</v>
      </c>
      <c r="M1429" t="str">
        <f t="shared" si="68"/>
        <v>Low</v>
      </c>
    </row>
    <row r="1430" spans="1:13" x14ac:dyDescent="0.35">
      <c r="A1430">
        <v>1429</v>
      </c>
      <c r="B1430">
        <v>927</v>
      </c>
      <c r="C1430" t="str">
        <f t="shared" si="66"/>
        <v>Small</v>
      </c>
      <c r="D1430">
        <v>1</v>
      </c>
      <c r="E1430">
        <v>3</v>
      </c>
      <c r="F1430">
        <v>1</v>
      </c>
      <c r="G1430">
        <v>1979</v>
      </c>
      <c r="H1430" t="str">
        <f t="shared" si="67"/>
        <v>1976-2000</v>
      </c>
      <c r="I1430" t="s">
        <v>17</v>
      </c>
      <c r="J1430" t="s">
        <v>13</v>
      </c>
      <c r="K1430" t="s">
        <v>16</v>
      </c>
      <c r="L1430" s="4">
        <v>919061</v>
      </c>
      <c r="M1430" t="str">
        <f t="shared" si="68"/>
        <v>Premium</v>
      </c>
    </row>
    <row r="1431" spans="1:13" x14ac:dyDescent="0.35">
      <c r="A1431">
        <v>1430</v>
      </c>
      <c r="B1431">
        <v>2395</v>
      </c>
      <c r="C1431" t="str">
        <f t="shared" si="66"/>
        <v>Medium</v>
      </c>
      <c r="D1431">
        <v>1</v>
      </c>
      <c r="E1431">
        <v>4</v>
      </c>
      <c r="F1431">
        <v>2</v>
      </c>
      <c r="G1431">
        <v>1953</v>
      </c>
      <c r="H1431" t="str">
        <f t="shared" si="67"/>
        <v>1950-1975</v>
      </c>
      <c r="I1431" t="s">
        <v>10</v>
      </c>
      <c r="J1431" t="s">
        <v>15</v>
      </c>
      <c r="K1431" t="s">
        <v>12</v>
      </c>
      <c r="L1431" s="4">
        <v>265963</v>
      </c>
      <c r="M1431" t="str">
        <f t="shared" si="68"/>
        <v>Medium</v>
      </c>
    </row>
    <row r="1432" spans="1:13" x14ac:dyDescent="0.35">
      <c r="A1432">
        <v>1431</v>
      </c>
      <c r="B1432">
        <v>816</v>
      </c>
      <c r="C1432" t="str">
        <f t="shared" si="66"/>
        <v>Small</v>
      </c>
      <c r="D1432">
        <v>3</v>
      </c>
      <c r="E1432">
        <v>4</v>
      </c>
      <c r="F1432">
        <v>1</v>
      </c>
      <c r="G1432">
        <v>1945</v>
      </c>
      <c r="H1432" t="str">
        <f t="shared" si="67"/>
        <v>Pre-1950</v>
      </c>
      <c r="I1432" t="s">
        <v>14</v>
      </c>
      <c r="J1432" t="s">
        <v>15</v>
      </c>
      <c r="K1432" t="s">
        <v>12</v>
      </c>
      <c r="L1432" s="4">
        <v>175612</v>
      </c>
      <c r="M1432" t="str">
        <f t="shared" si="68"/>
        <v>Low</v>
      </c>
    </row>
    <row r="1433" spans="1:13" x14ac:dyDescent="0.35">
      <c r="A1433">
        <v>1432</v>
      </c>
      <c r="B1433">
        <v>1134</v>
      </c>
      <c r="C1433" t="str">
        <f t="shared" si="66"/>
        <v>Medium</v>
      </c>
      <c r="D1433">
        <v>2</v>
      </c>
      <c r="E1433">
        <v>4</v>
      </c>
      <c r="F1433">
        <v>3</v>
      </c>
      <c r="G1433">
        <v>1921</v>
      </c>
      <c r="H1433" t="str">
        <f t="shared" si="67"/>
        <v>Pre-1950</v>
      </c>
      <c r="I1433" t="s">
        <v>10</v>
      </c>
      <c r="J1433" t="s">
        <v>18</v>
      </c>
      <c r="K1433" t="s">
        <v>12</v>
      </c>
      <c r="L1433" s="4">
        <v>591465</v>
      </c>
      <c r="M1433" t="str">
        <f t="shared" si="68"/>
        <v>High</v>
      </c>
    </row>
    <row r="1434" spans="1:13" x14ac:dyDescent="0.35">
      <c r="A1434">
        <v>1433</v>
      </c>
      <c r="B1434">
        <v>2425</v>
      </c>
      <c r="C1434" t="str">
        <f t="shared" si="66"/>
        <v>Medium</v>
      </c>
      <c r="D1434">
        <v>1</v>
      </c>
      <c r="E1434">
        <v>2</v>
      </c>
      <c r="F1434">
        <v>3</v>
      </c>
      <c r="G1434">
        <v>1963</v>
      </c>
      <c r="H1434" t="str">
        <f t="shared" si="67"/>
        <v>1950-1975</v>
      </c>
      <c r="I1434" t="s">
        <v>14</v>
      </c>
      <c r="J1434" t="s">
        <v>11</v>
      </c>
      <c r="K1434" t="s">
        <v>12</v>
      </c>
      <c r="L1434" s="4">
        <v>462699</v>
      </c>
      <c r="M1434" t="str">
        <f t="shared" si="68"/>
        <v>High</v>
      </c>
    </row>
    <row r="1435" spans="1:13" x14ac:dyDescent="0.35">
      <c r="A1435">
        <v>1434</v>
      </c>
      <c r="B1435">
        <v>2556</v>
      </c>
      <c r="C1435" t="str">
        <f t="shared" si="66"/>
        <v>Large</v>
      </c>
      <c r="D1435">
        <v>1</v>
      </c>
      <c r="E1435">
        <v>3</v>
      </c>
      <c r="F1435">
        <v>2</v>
      </c>
      <c r="G1435">
        <v>1907</v>
      </c>
      <c r="H1435" t="str">
        <f t="shared" si="67"/>
        <v>Pre-1950</v>
      </c>
      <c r="I1435" t="s">
        <v>17</v>
      </c>
      <c r="J1435" t="s">
        <v>15</v>
      </c>
      <c r="K1435" t="s">
        <v>12</v>
      </c>
      <c r="L1435" s="4">
        <v>93815</v>
      </c>
      <c r="M1435" t="str">
        <f t="shared" si="68"/>
        <v>Low</v>
      </c>
    </row>
    <row r="1436" spans="1:13" x14ac:dyDescent="0.35">
      <c r="A1436">
        <v>1435</v>
      </c>
      <c r="B1436">
        <v>3644</v>
      </c>
      <c r="C1436" t="str">
        <f t="shared" si="66"/>
        <v>Large</v>
      </c>
      <c r="D1436">
        <v>4</v>
      </c>
      <c r="E1436">
        <v>2</v>
      </c>
      <c r="F1436">
        <v>3</v>
      </c>
      <c r="G1436">
        <v>2022</v>
      </c>
      <c r="H1436" t="str">
        <f t="shared" si="67"/>
        <v>Post-2000</v>
      </c>
      <c r="I1436" t="s">
        <v>14</v>
      </c>
      <c r="J1436" t="s">
        <v>15</v>
      </c>
      <c r="K1436" t="s">
        <v>12</v>
      </c>
      <c r="L1436" s="4">
        <v>874965</v>
      </c>
      <c r="M1436" t="str">
        <f t="shared" si="68"/>
        <v>Premium</v>
      </c>
    </row>
    <row r="1437" spans="1:13" x14ac:dyDescent="0.35">
      <c r="A1437">
        <v>1436</v>
      </c>
      <c r="B1437">
        <v>2770</v>
      </c>
      <c r="C1437" t="str">
        <f t="shared" si="66"/>
        <v>Large</v>
      </c>
      <c r="D1437">
        <v>4</v>
      </c>
      <c r="E1437">
        <v>3</v>
      </c>
      <c r="F1437">
        <v>1</v>
      </c>
      <c r="G1437">
        <v>1919</v>
      </c>
      <c r="H1437" t="str">
        <f t="shared" si="67"/>
        <v>Pre-1950</v>
      </c>
      <c r="I1437" t="s">
        <v>19</v>
      </c>
      <c r="J1437" t="s">
        <v>15</v>
      </c>
      <c r="K1437" t="s">
        <v>16</v>
      </c>
      <c r="L1437" s="4">
        <v>836458</v>
      </c>
      <c r="M1437" t="str">
        <f t="shared" si="68"/>
        <v>Premium</v>
      </c>
    </row>
    <row r="1438" spans="1:13" x14ac:dyDescent="0.35">
      <c r="A1438">
        <v>1437</v>
      </c>
      <c r="B1438">
        <v>1939</v>
      </c>
      <c r="C1438" t="str">
        <f t="shared" si="66"/>
        <v>Medium</v>
      </c>
      <c r="D1438">
        <v>1</v>
      </c>
      <c r="E1438">
        <v>1</v>
      </c>
      <c r="F1438">
        <v>1</v>
      </c>
      <c r="G1438">
        <v>1950</v>
      </c>
      <c r="H1438" t="str">
        <f t="shared" si="67"/>
        <v>Pre-1950</v>
      </c>
      <c r="I1438" t="s">
        <v>17</v>
      </c>
      <c r="J1438" t="s">
        <v>11</v>
      </c>
      <c r="K1438" t="s">
        <v>12</v>
      </c>
      <c r="L1438" s="4">
        <v>154997</v>
      </c>
      <c r="M1438" t="str">
        <f t="shared" si="68"/>
        <v>Low</v>
      </c>
    </row>
    <row r="1439" spans="1:13" x14ac:dyDescent="0.35">
      <c r="A1439">
        <v>1438</v>
      </c>
      <c r="B1439">
        <v>1052</v>
      </c>
      <c r="C1439" t="str">
        <f t="shared" si="66"/>
        <v>Medium</v>
      </c>
      <c r="D1439">
        <v>3</v>
      </c>
      <c r="E1439">
        <v>2</v>
      </c>
      <c r="F1439">
        <v>1</v>
      </c>
      <c r="G1439">
        <v>1977</v>
      </c>
      <c r="H1439" t="str">
        <f t="shared" si="67"/>
        <v>1976-2000</v>
      </c>
      <c r="I1439" t="s">
        <v>10</v>
      </c>
      <c r="J1439" t="s">
        <v>11</v>
      </c>
      <c r="K1439" t="s">
        <v>12</v>
      </c>
      <c r="L1439" s="4">
        <v>110611</v>
      </c>
      <c r="M1439" t="str">
        <f t="shared" si="68"/>
        <v>Low</v>
      </c>
    </row>
    <row r="1440" spans="1:13" x14ac:dyDescent="0.35">
      <c r="A1440">
        <v>1439</v>
      </c>
      <c r="B1440">
        <v>1215</v>
      </c>
      <c r="C1440" t="str">
        <f t="shared" si="66"/>
        <v>Medium</v>
      </c>
      <c r="D1440">
        <v>5</v>
      </c>
      <c r="E1440">
        <v>2</v>
      </c>
      <c r="F1440">
        <v>3</v>
      </c>
      <c r="G1440">
        <v>1938</v>
      </c>
      <c r="H1440" t="str">
        <f t="shared" si="67"/>
        <v>Pre-1950</v>
      </c>
      <c r="I1440" t="s">
        <v>10</v>
      </c>
      <c r="J1440" t="s">
        <v>18</v>
      </c>
      <c r="K1440" t="s">
        <v>16</v>
      </c>
      <c r="L1440" s="4">
        <v>661530</v>
      </c>
      <c r="M1440" t="str">
        <f t="shared" si="68"/>
        <v>Premium</v>
      </c>
    </row>
    <row r="1441" spans="1:13" x14ac:dyDescent="0.35">
      <c r="A1441">
        <v>1440</v>
      </c>
      <c r="B1441">
        <v>4411</v>
      </c>
      <c r="C1441" t="str">
        <f t="shared" si="66"/>
        <v>Extra Large</v>
      </c>
      <c r="D1441">
        <v>5</v>
      </c>
      <c r="E1441">
        <v>1</v>
      </c>
      <c r="F1441">
        <v>1</v>
      </c>
      <c r="G1441">
        <v>1936</v>
      </c>
      <c r="H1441" t="str">
        <f t="shared" si="67"/>
        <v>Pre-1950</v>
      </c>
      <c r="I1441" t="s">
        <v>17</v>
      </c>
      <c r="J1441" t="s">
        <v>18</v>
      </c>
      <c r="K1441" t="s">
        <v>12</v>
      </c>
      <c r="L1441" s="4">
        <v>467876</v>
      </c>
      <c r="M1441" t="str">
        <f t="shared" si="68"/>
        <v>High</v>
      </c>
    </row>
    <row r="1442" spans="1:13" x14ac:dyDescent="0.35">
      <c r="A1442">
        <v>1441</v>
      </c>
      <c r="B1442">
        <v>2213</v>
      </c>
      <c r="C1442" t="str">
        <f t="shared" si="66"/>
        <v>Medium</v>
      </c>
      <c r="D1442">
        <v>1</v>
      </c>
      <c r="E1442">
        <v>3</v>
      </c>
      <c r="F1442">
        <v>1</v>
      </c>
      <c r="G1442">
        <v>1949</v>
      </c>
      <c r="H1442" t="str">
        <f t="shared" si="67"/>
        <v>Pre-1950</v>
      </c>
      <c r="I1442" t="s">
        <v>17</v>
      </c>
      <c r="J1442" t="s">
        <v>15</v>
      </c>
      <c r="K1442" t="s">
        <v>12</v>
      </c>
      <c r="L1442" s="4">
        <v>760463</v>
      </c>
      <c r="M1442" t="str">
        <f t="shared" si="68"/>
        <v>Premium</v>
      </c>
    </row>
    <row r="1443" spans="1:13" x14ac:dyDescent="0.35">
      <c r="A1443">
        <v>1442</v>
      </c>
      <c r="B1443">
        <v>3889</v>
      </c>
      <c r="C1443" t="str">
        <f t="shared" si="66"/>
        <v>Large</v>
      </c>
      <c r="D1443">
        <v>1</v>
      </c>
      <c r="E1443">
        <v>4</v>
      </c>
      <c r="F1443">
        <v>1</v>
      </c>
      <c r="G1443">
        <v>1933</v>
      </c>
      <c r="H1443" t="str">
        <f t="shared" si="67"/>
        <v>Pre-1950</v>
      </c>
      <c r="I1443" t="s">
        <v>19</v>
      </c>
      <c r="J1443" t="s">
        <v>11</v>
      </c>
      <c r="K1443" t="s">
        <v>16</v>
      </c>
      <c r="L1443" s="4">
        <v>417057</v>
      </c>
      <c r="M1443" t="str">
        <f t="shared" si="68"/>
        <v>High</v>
      </c>
    </row>
    <row r="1444" spans="1:13" x14ac:dyDescent="0.35">
      <c r="A1444">
        <v>1443</v>
      </c>
      <c r="B1444">
        <v>1607</v>
      </c>
      <c r="C1444" t="str">
        <f t="shared" si="66"/>
        <v>Medium</v>
      </c>
      <c r="D1444">
        <v>1</v>
      </c>
      <c r="E1444">
        <v>1</v>
      </c>
      <c r="F1444">
        <v>2</v>
      </c>
      <c r="G1444">
        <v>1974</v>
      </c>
      <c r="H1444" t="str">
        <f t="shared" si="67"/>
        <v>1950-1975</v>
      </c>
      <c r="I1444" t="s">
        <v>17</v>
      </c>
      <c r="J1444" t="s">
        <v>13</v>
      </c>
      <c r="K1444" t="s">
        <v>16</v>
      </c>
      <c r="L1444" s="4">
        <v>92082</v>
      </c>
      <c r="M1444" t="str">
        <f t="shared" si="68"/>
        <v>Low</v>
      </c>
    </row>
    <row r="1445" spans="1:13" x14ac:dyDescent="0.35">
      <c r="A1445">
        <v>1444</v>
      </c>
      <c r="B1445">
        <v>4706</v>
      </c>
      <c r="C1445" t="str">
        <f t="shared" si="66"/>
        <v>Extra Large</v>
      </c>
      <c r="D1445">
        <v>3</v>
      </c>
      <c r="E1445">
        <v>4</v>
      </c>
      <c r="F1445">
        <v>3</v>
      </c>
      <c r="G1445">
        <v>2017</v>
      </c>
      <c r="H1445" t="str">
        <f t="shared" si="67"/>
        <v>Post-2000</v>
      </c>
      <c r="I1445" t="s">
        <v>10</v>
      </c>
      <c r="J1445" t="s">
        <v>15</v>
      </c>
      <c r="K1445" t="s">
        <v>16</v>
      </c>
      <c r="L1445" s="4">
        <v>197330</v>
      </c>
      <c r="M1445" t="str">
        <f t="shared" si="68"/>
        <v>Low</v>
      </c>
    </row>
    <row r="1446" spans="1:13" x14ac:dyDescent="0.35">
      <c r="A1446">
        <v>1445</v>
      </c>
      <c r="B1446">
        <v>750</v>
      </c>
      <c r="C1446" t="str">
        <f t="shared" si="66"/>
        <v>Small</v>
      </c>
      <c r="D1446">
        <v>4</v>
      </c>
      <c r="E1446">
        <v>4</v>
      </c>
      <c r="F1446">
        <v>3</v>
      </c>
      <c r="G1446">
        <v>2003</v>
      </c>
      <c r="H1446" t="str">
        <f t="shared" si="67"/>
        <v>Post-2000</v>
      </c>
      <c r="I1446" t="s">
        <v>19</v>
      </c>
      <c r="J1446" t="s">
        <v>18</v>
      </c>
      <c r="K1446" t="s">
        <v>16</v>
      </c>
      <c r="L1446" s="4">
        <v>677901</v>
      </c>
      <c r="M1446" t="str">
        <f t="shared" si="68"/>
        <v>Premium</v>
      </c>
    </row>
    <row r="1447" spans="1:13" x14ac:dyDescent="0.35">
      <c r="A1447">
        <v>1446</v>
      </c>
      <c r="B1447">
        <v>2930</v>
      </c>
      <c r="C1447" t="str">
        <f t="shared" si="66"/>
        <v>Large</v>
      </c>
      <c r="D1447">
        <v>1</v>
      </c>
      <c r="E1447">
        <v>1</v>
      </c>
      <c r="F1447">
        <v>3</v>
      </c>
      <c r="G1447">
        <v>1932</v>
      </c>
      <c r="H1447" t="str">
        <f t="shared" si="67"/>
        <v>Pre-1950</v>
      </c>
      <c r="I1447" t="s">
        <v>10</v>
      </c>
      <c r="J1447" t="s">
        <v>11</v>
      </c>
      <c r="K1447" t="s">
        <v>16</v>
      </c>
      <c r="L1447" s="4">
        <v>934747</v>
      </c>
      <c r="M1447" t="str">
        <f t="shared" si="68"/>
        <v>Premium</v>
      </c>
    </row>
    <row r="1448" spans="1:13" x14ac:dyDescent="0.35">
      <c r="A1448">
        <v>1447</v>
      </c>
      <c r="B1448">
        <v>2554</v>
      </c>
      <c r="C1448" t="str">
        <f t="shared" si="66"/>
        <v>Large</v>
      </c>
      <c r="D1448">
        <v>1</v>
      </c>
      <c r="E1448">
        <v>3</v>
      </c>
      <c r="F1448">
        <v>2</v>
      </c>
      <c r="G1448">
        <v>1930</v>
      </c>
      <c r="H1448" t="str">
        <f t="shared" si="67"/>
        <v>Pre-1950</v>
      </c>
      <c r="I1448" t="s">
        <v>14</v>
      </c>
      <c r="J1448" t="s">
        <v>18</v>
      </c>
      <c r="K1448" t="s">
        <v>16</v>
      </c>
      <c r="L1448" s="4">
        <v>926122</v>
      </c>
      <c r="M1448" t="str">
        <f t="shared" si="68"/>
        <v>Premium</v>
      </c>
    </row>
    <row r="1449" spans="1:13" x14ac:dyDescent="0.35">
      <c r="A1449">
        <v>1448</v>
      </c>
      <c r="B1449">
        <v>958</v>
      </c>
      <c r="C1449" t="str">
        <f t="shared" si="66"/>
        <v>Small</v>
      </c>
      <c r="D1449">
        <v>2</v>
      </c>
      <c r="E1449">
        <v>4</v>
      </c>
      <c r="F1449">
        <v>3</v>
      </c>
      <c r="G1449">
        <v>2022</v>
      </c>
      <c r="H1449" t="str">
        <f t="shared" si="67"/>
        <v>Post-2000</v>
      </c>
      <c r="I1449" t="s">
        <v>17</v>
      </c>
      <c r="J1449" t="s">
        <v>18</v>
      </c>
      <c r="K1449" t="s">
        <v>16</v>
      </c>
      <c r="L1449" s="4">
        <v>145220</v>
      </c>
      <c r="M1449" t="str">
        <f t="shared" si="68"/>
        <v>Low</v>
      </c>
    </row>
    <row r="1450" spans="1:13" x14ac:dyDescent="0.35">
      <c r="A1450">
        <v>1449</v>
      </c>
      <c r="B1450">
        <v>707</v>
      </c>
      <c r="C1450" t="str">
        <f t="shared" si="66"/>
        <v>Small</v>
      </c>
      <c r="D1450">
        <v>3</v>
      </c>
      <c r="E1450">
        <v>1</v>
      </c>
      <c r="F1450">
        <v>2</v>
      </c>
      <c r="G1450">
        <v>1953</v>
      </c>
      <c r="H1450" t="str">
        <f t="shared" si="67"/>
        <v>1950-1975</v>
      </c>
      <c r="I1450" t="s">
        <v>14</v>
      </c>
      <c r="J1450" t="s">
        <v>11</v>
      </c>
      <c r="K1450" t="s">
        <v>12</v>
      </c>
      <c r="L1450" s="4">
        <v>589677</v>
      </c>
      <c r="M1450" t="str">
        <f t="shared" si="68"/>
        <v>High</v>
      </c>
    </row>
    <row r="1451" spans="1:13" x14ac:dyDescent="0.35">
      <c r="A1451">
        <v>1450</v>
      </c>
      <c r="B1451">
        <v>1399</v>
      </c>
      <c r="C1451" t="str">
        <f t="shared" si="66"/>
        <v>Medium</v>
      </c>
      <c r="D1451">
        <v>1</v>
      </c>
      <c r="E1451">
        <v>2</v>
      </c>
      <c r="F1451">
        <v>2</v>
      </c>
      <c r="G1451">
        <v>1943</v>
      </c>
      <c r="H1451" t="str">
        <f t="shared" si="67"/>
        <v>Pre-1950</v>
      </c>
      <c r="I1451" t="s">
        <v>10</v>
      </c>
      <c r="J1451" t="s">
        <v>15</v>
      </c>
      <c r="K1451" t="s">
        <v>12</v>
      </c>
      <c r="L1451" s="4">
        <v>141860</v>
      </c>
      <c r="M1451" t="str">
        <f t="shared" si="68"/>
        <v>Low</v>
      </c>
    </row>
    <row r="1452" spans="1:13" x14ac:dyDescent="0.35">
      <c r="A1452">
        <v>1451</v>
      </c>
      <c r="B1452">
        <v>3961</v>
      </c>
      <c r="C1452" t="str">
        <f t="shared" si="66"/>
        <v>Large</v>
      </c>
      <c r="D1452">
        <v>2</v>
      </c>
      <c r="E1452">
        <v>2</v>
      </c>
      <c r="F1452">
        <v>3</v>
      </c>
      <c r="G1452">
        <v>1933</v>
      </c>
      <c r="H1452" t="str">
        <f t="shared" si="67"/>
        <v>Pre-1950</v>
      </c>
      <c r="I1452" t="s">
        <v>14</v>
      </c>
      <c r="J1452" t="s">
        <v>11</v>
      </c>
      <c r="K1452" t="s">
        <v>12</v>
      </c>
      <c r="L1452" s="4">
        <v>733045</v>
      </c>
      <c r="M1452" t="str">
        <f t="shared" si="68"/>
        <v>Premium</v>
      </c>
    </row>
    <row r="1453" spans="1:13" x14ac:dyDescent="0.35">
      <c r="A1453">
        <v>1452</v>
      </c>
      <c r="B1453">
        <v>3885</v>
      </c>
      <c r="C1453" t="str">
        <f t="shared" si="66"/>
        <v>Large</v>
      </c>
      <c r="D1453">
        <v>5</v>
      </c>
      <c r="E1453">
        <v>2</v>
      </c>
      <c r="F1453">
        <v>1</v>
      </c>
      <c r="G1453">
        <v>2013</v>
      </c>
      <c r="H1453" t="str">
        <f t="shared" si="67"/>
        <v>Post-2000</v>
      </c>
      <c r="I1453" t="s">
        <v>14</v>
      </c>
      <c r="J1453" t="s">
        <v>15</v>
      </c>
      <c r="K1453" t="s">
        <v>16</v>
      </c>
      <c r="L1453" s="4">
        <v>502436</v>
      </c>
      <c r="M1453" t="str">
        <f t="shared" si="68"/>
        <v>High</v>
      </c>
    </row>
    <row r="1454" spans="1:13" x14ac:dyDescent="0.35">
      <c r="A1454">
        <v>1453</v>
      </c>
      <c r="B1454">
        <v>521</v>
      </c>
      <c r="C1454" t="str">
        <f t="shared" si="66"/>
        <v>Small</v>
      </c>
      <c r="D1454">
        <v>1</v>
      </c>
      <c r="E1454">
        <v>1</v>
      </c>
      <c r="F1454">
        <v>1</v>
      </c>
      <c r="G1454">
        <v>1970</v>
      </c>
      <c r="H1454" t="str">
        <f t="shared" si="67"/>
        <v>1950-1975</v>
      </c>
      <c r="I1454" t="s">
        <v>10</v>
      </c>
      <c r="J1454" t="s">
        <v>18</v>
      </c>
      <c r="K1454" t="s">
        <v>12</v>
      </c>
      <c r="L1454" s="4">
        <v>994699</v>
      </c>
      <c r="M1454" t="str">
        <f t="shared" si="68"/>
        <v>Premium</v>
      </c>
    </row>
    <row r="1455" spans="1:13" x14ac:dyDescent="0.35">
      <c r="A1455">
        <v>1454</v>
      </c>
      <c r="B1455">
        <v>909</v>
      </c>
      <c r="C1455" t="str">
        <f t="shared" si="66"/>
        <v>Small</v>
      </c>
      <c r="D1455">
        <v>1</v>
      </c>
      <c r="E1455">
        <v>2</v>
      </c>
      <c r="F1455">
        <v>3</v>
      </c>
      <c r="G1455">
        <v>2021</v>
      </c>
      <c r="H1455" t="str">
        <f t="shared" si="67"/>
        <v>Post-2000</v>
      </c>
      <c r="I1455" t="s">
        <v>10</v>
      </c>
      <c r="J1455" t="s">
        <v>11</v>
      </c>
      <c r="K1455" t="s">
        <v>16</v>
      </c>
      <c r="L1455" s="4">
        <v>71797</v>
      </c>
      <c r="M1455" t="str">
        <f t="shared" si="68"/>
        <v>Low</v>
      </c>
    </row>
    <row r="1456" spans="1:13" x14ac:dyDescent="0.35">
      <c r="A1456">
        <v>1455</v>
      </c>
      <c r="B1456">
        <v>1394</v>
      </c>
      <c r="C1456" t="str">
        <f t="shared" si="66"/>
        <v>Medium</v>
      </c>
      <c r="D1456">
        <v>2</v>
      </c>
      <c r="E1456">
        <v>4</v>
      </c>
      <c r="F1456">
        <v>3</v>
      </c>
      <c r="G1456">
        <v>2012</v>
      </c>
      <c r="H1456" t="str">
        <f t="shared" si="67"/>
        <v>Post-2000</v>
      </c>
      <c r="I1456" t="s">
        <v>17</v>
      </c>
      <c r="J1456" t="s">
        <v>13</v>
      </c>
      <c r="K1456" t="s">
        <v>12</v>
      </c>
      <c r="L1456" s="4">
        <v>948407</v>
      </c>
      <c r="M1456" t="str">
        <f t="shared" si="68"/>
        <v>Premium</v>
      </c>
    </row>
    <row r="1457" spans="1:13" x14ac:dyDescent="0.35">
      <c r="A1457">
        <v>1456</v>
      </c>
      <c r="B1457">
        <v>1014</v>
      </c>
      <c r="C1457" t="str">
        <f t="shared" si="66"/>
        <v>Medium</v>
      </c>
      <c r="D1457">
        <v>3</v>
      </c>
      <c r="E1457">
        <v>2</v>
      </c>
      <c r="F1457">
        <v>2</v>
      </c>
      <c r="G1457">
        <v>2017</v>
      </c>
      <c r="H1457" t="str">
        <f t="shared" si="67"/>
        <v>Post-2000</v>
      </c>
      <c r="I1457" t="s">
        <v>14</v>
      </c>
      <c r="J1457" t="s">
        <v>15</v>
      </c>
      <c r="K1457" t="s">
        <v>12</v>
      </c>
      <c r="L1457" s="4">
        <v>933601</v>
      </c>
      <c r="M1457" t="str">
        <f t="shared" si="68"/>
        <v>Premium</v>
      </c>
    </row>
    <row r="1458" spans="1:13" x14ac:dyDescent="0.35">
      <c r="A1458">
        <v>1457</v>
      </c>
      <c r="B1458">
        <v>4609</v>
      </c>
      <c r="C1458" t="str">
        <f t="shared" si="66"/>
        <v>Extra Large</v>
      </c>
      <c r="D1458">
        <v>1</v>
      </c>
      <c r="E1458">
        <v>2</v>
      </c>
      <c r="F1458">
        <v>3</v>
      </c>
      <c r="G1458">
        <v>1961</v>
      </c>
      <c r="H1458" t="str">
        <f t="shared" si="67"/>
        <v>1950-1975</v>
      </c>
      <c r="I1458" t="s">
        <v>19</v>
      </c>
      <c r="J1458" t="s">
        <v>13</v>
      </c>
      <c r="K1458" t="s">
        <v>12</v>
      </c>
      <c r="L1458" s="4">
        <v>820227</v>
      </c>
      <c r="M1458" t="str">
        <f t="shared" si="68"/>
        <v>Premium</v>
      </c>
    </row>
    <row r="1459" spans="1:13" x14ac:dyDescent="0.35">
      <c r="A1459">
        <v>1458</v>
      </c>
      <c r="B1459">
        <v>2634</v>
      </c>
      <c r="C1459" t="str">
        <f t="shared" si="66"/>
        <v>Large</v>
      </c>
      <c r="D1459">
        <v>5</v>
      </c>
      <c r="E1459">
        <v>4</v>
      </c>
      <c r="F1459">
        <v>2</v>
      </c>
      <c r="G1459">
        <v>1922</v>
      </c>
      <c r="H1459" t="str">
        <f t="shared" si="67"/>
        <v>Pre-1950</v>
      </c>
      <c r="I1459" t="s">
        <v>19</v>
      </c>
      <c r="J1459" t="s">
        <v>15</v>
      </c>
      <c r="K1459" t="s">
        <v>12</v>
      </c>
      <c r="L1459" s="4">
        <v>640620</v>
      </c>
      <c r="M1459" t="str">
        <f t="shared" si="68"/>
        <v>Premium</v>
      </c>
    </row>
    <row r="1460" spans="1:13" x14ac:dyDescent="0.35">
      <c r="A1460">
        <v>1459</v>
      </c>
      <c r="B1460">
        <v>4095</v>
      </c>
      <c r="C1460" t="str">
        <f t="shared" si="66"/>
        <v>Extra Large</v>
      </c>
      <c r="D1460">
        <v>1</v>
      </c>
      <c r="E1460">
        <v>2</v>
      </c>
      <c r="F1460">
        <v>3</v>
      </c>
      <c r="G1460">
        <v>1945</v>
      </c>
      <c r="H1460" t="str">
        <f t="shared" si="67"/>
        <v>Pre-1950</v>
      </c>
      <c r="I1460" t="s">
        <v>10</v>
      </c>
      <c r="J1460" t="s">
        <v>11</v>
      </c>
      <c r="K1460" t="s">
        <v>16</v>
      </c>
      <c r="L1460" s="4">
        <v>810943</v>
      </c>
      <c r="M1460" t="str">
        <f t="shared" si="68"/>
        <v>Premium</v>
      </c>
    </row>
    <row r="1461" spans="1:13" x14ac:dyDescent="0.35">
      <c r="A1461">
        <v>1460</v>
      </c>
      <c r="B1461">
        <v>3456</v>
      </c>
      <c r="C1461" t="str">
        <f t="shared" si="66"/>
        <v>Large</v>
      </c>
      <c r="D1461">
        <v>5</v>
      </c>
      <c r="E1461">
        <v>4</v>
      </c>
      <c r="F1461">
        <v>1</v>
      </c>
      <c r="G1461">
        <v>1955</v>
      </c>
      <c r="H1461" t="str">
        <f t="shared" si="67"/>
        <v>1950-1975</v>
      </c>
      <c r="I1461" t="s">
        <v>10</v>
      </c>
      <c r="J1461" t="s">
        <v>13</v>
      </c>
      <c r="K1461" t="s">
        <v>16</v>
      </c>
      <c r="L1461" s="4">
        <v>274997</v>
      </c>
      <c r="M1461" t="str">
        <f t="shared" si="68"/>
        <v>Medium</v>
      </c>
    </row>
    <row r="1462" spans="1:13" x14ac:dyDescent="0.35">
      <c r="A1462">
        <v>1461</v>
      </c>
      <c r="B1462">
        <v>2060</v>
      </c>
      <c r="C1462" t="str">
        <f t="shared" si="66"/>
        <v>Medium</v>
      </c>
      <c r="D1462">
        <v>4</v>
      </c>
      <c r="E1462">
        <v>2</v>
      </c>
      <c r="F1462">
        <v>1</v>
      </c>
      <c r="G1462">
        <v>1906</v>
      </c>
      <c r="H1462" t="str">
        <f t="shared" si="67"/>
        <v>Pre-1950</v>
      </c>
      <c r="I1462" t="s">
        <v>14</v>
      </c>
      <c r="J1462" t="s">
        <v>11</v>
      </c>
      <c r="K1462" t="s">
        <v>12</v>
      </c>
      <c r="L1462" s="4">
        <v>506123</v>
      </c>
      <c r="M1462" t="str">
        <f t="shared" si="68"/>
        <v>High</v>
      </c>
    </row>
    <row r="1463" spans="1:13" x14ac:dyDescent="0.35">
      <c r="A1463">
        <v>1462</v>
      </c>
      <c r="B1463">
        <v>1766</v>
      </c>
      <c r="C1463" t="str">
        <f t="shared" si="66"/>
        <v>Medium</v>
      </c>
      <c r="D1463">
        <v>4</v>
      </c>
      <c r="E1463">
        <v>4</v>
      </c>
      <c r="F1463">
        <v>3</v>
      </c>
      <c r="G1463">
        <v>2017</v>
      </c>
      <c r="H1463" t="str">
        <f t="shared" si="67"/>
        <v>Post-2000</v>
      </c>
      <c r="I1463" t="s">
        <v>10</v>
      </c>
      <c r="J1463" t="s">
        <v>15</v>
      </c>
      <c r="K1463" t="s">
        <v>16</v>
      </c>
      <c r="L1463" s="4">
        <v>450404</v>
      </c>
      <c r="M1463" t="str">
        <f t="shared" si="68"/>
        <v>High</v>
      </c>
    </row>
    <row r="1464" spans="1:13" x14ac:dyDescent="0.35">
      <c r="A1464">
        <v>1463</v>
      </c>
      <c r="B1464">
        <v>2669</v>
      </c>
      <c r="C1464" t="str">
        <f t="shared" si="66"/>
        <v>Large</v>
      </c>
      <c r="D1464">
        <v>5</v>
      </c>
      <c r="E1464">
        <v>2</v>
      </c>
      <c r="F1464">
        <v>2</v>
      </c>
      <c r="G1464">
        <v>1988</v>
      </c>
      <c r="H1464" t="str">
        <f t="shared" si="67"/>
        <v>1976-2000</v>
      </c>
      <c r="I1464" t="s">
        <v>19</v>
      </c>
      <c r="J1464" t="s">
        <v>15</v>
      </c>
      <c r="K1464" t="s">
        <v>16</v>
      </c>
      <c r="L1464" s="4">
        <v>335840</v>
      </c>
      <c r="M1464" t="str">
        <f t="shared" si="68"/>
        <v>Medium</v>
      </c>
    </row>
    <row r="1465" spans="1:13" x14ac:dyDescent="0.35">
      <c r="A1465">
        <v>1464</v>
      </c>
      <c r="B1465">
        <v>4138</v>
      </c>
      <c r="C1465" t="str">
        <f t="shared" si="66"/>
        <v>Extra Large</v>
      </c>
      <c r="D1465">
        <v>3</v>
      </c>
      <c r="E1465">
        <v>4</v>
      </c>
      <c r="F1465">
        <v>1</v>
      </c>
      <c r="G1465">
        <v>1960</v>
      </c>
      <c r="H1465" t="str">
        <f t="shared" si="67"/>
        <v>1950-1975</v>
      </c>
      <c r="I1465" t="s">
        <v>17</v>
      </c>
      <c r="J1465" t="s">
        <v>15</v>
      </c>
      <c r="K1465" t="s">
        <v>12</v>
      </c>
      <c r="L1465" s="4">
        <v>52024</v>
      </c>
      <c r="M1465" t="str">
        <f t="shared" si="68"/>
        <v>Low</v>
      </c>
    </row>
    <row r="1466" spans="1:13" x14ac:dyDescent="0.35">
      <c r="A1466">
        <v>1465</v>
      </c>
      <c r="B1466">
        <v>1249</v>
      </c>
      <c r="C1466" t="str">
        <f t="shared" si="66"/>
        <v>Medium</v>
      </c>
      <c r="D1466">
        <v>1</v>
      </c>
      <c r="E1466">
        <v>1</v>
      </c>
      <c r="F1466">
        <v>2</v>
      </c>
      <c r="G1466">
        <v>1902</v>
      </c>
      <c r="H1466" t="str">
        <f t="shared" si="67"/>
        <v>Pre-1950</v>
      </c>
      <c r="I1466" t="s">
        <v>17</v>
      </c>
      <c r="J1466" t="s">
        <v>15</v>
      </c>
      <c r="K1466" t="s">
        <v>16</v>
      </c>
      <c r="L1466" s="4">
        <v>479201</v>
      </c>
      <c r="M1466" t="str">
        <f t="shared" si="68"/>
        <v>High</v>
      </c>
    </row>
    <row r="1467" spans="1:13" x14ac:dyDescent="0.35">
      <c r="A1467">
        <v>1466</v>
      </c>
      <c r="B1467">
        <v>3927</v>
      </c>
      <c r="C1467" t="str">
        <f t="shared" si="66"/>
        <v>Large</v>
      </c>
      <c r="D1467">
        <v>1</v>
      </c>
      <c r="E1467">
        <v>4</v>
      </c>
      <c r="F1467">
        <v>3</v>
      </c>
      <c r="G1467">
        <v>2022</v>
      </c>
      <c r="H1467" t="str">
        <f t="shared" si="67"/>
        <v>Post-2000</v>
      </c>
      <c r="I1467" t="s">
        <v>14</v>
      </c>
      <c r="J1467" t="s">
        <v>18</v>
      </c>
      <c r="K1467" t="s">
        <v>16</v>
      </c>
      <c r="L1467" s="4">
        <v>711944</v>
      </c>
      <c r="M1467" t="str">
        <f t="shared" si="68"/>
        <v>Premium</v>
      </c>
    </row>
    <row r="1468" spans="1:13" x14ac:dyDescent="0.35">
      <c r="A1468">
        <v>1467</v>
      </c>
      <c r="B1468">
        <v>2427</v>
      </c>
      <c r="C1468" t="str">
        <f t="shared" si="66"/>
        <v>Medium</v>
      </c>
      <c r="D1468">
        <v>4</v>
      </c>
      <c r="E1468">
        <v>2</v>
      </c>
      <c r="F1468">
        <v>3</v>
      </c>
      <c r="G1468">
        <v>1937</v>
      </c>
      <c r="H1468" t="str">
        <f t="shared" si="67"/>
        <v>Pre-1950</v>
      </c>
      <c r="I1468" t="s">
        <v>17</v>
      </c>
      <c r="J1468" t="s">
        <v>15</v>
      </c>
      <c r="K1468" t="s">
        <v>16</v>
      </c>
      <c r="L1468" s="4">
        <v>403142</v>
      </c>
      <c r="M1468" t="str">
        <f t="shared" si="68"/>
        <v>High</v>
      </c>
    </row>
    <row r="1469" spans="1:13" x14ac:dyDescent="0.35">
      <c r="A1469">
        <v>1468</v>
      </c>
      <c r="B1469">
        <v>4304</v>
      </c>
      <c r="C1469" t="str">
        <f t="shared" si="66"/>
        <v>Extra Large</v>
      </c>
      <c r="D1469">
        <v>5</v>
      </c>
      <c r="E1469">
        <v>2</v>
      </c>
      <c r="F1469">
        <v>1</v>
      </c>
      <c r="G1469">
        <v>1983</v>
      </c>
      <c r="H1469" t="str">
        <f t="shared" si="67"/>
        <v>1976-2000</v>
      </c>
      <c r="I1469" t="s">
        <v>10</v>
      </c>
      <c r="J1469" t="s">
        <v>13</v>
      </c>
      <c r="K1469" t="s">
        <v>16</v>
      </c>
      <c r="L1469" s="4">
        <v>208116</v>
      </c>
      <c r="M1469" t="str">
        <f t="shared" si="68"/>
        <v>Medium</v>
      </c>
    </row>
    <row r="1470" spans="1:13" x14ac:dyDescent="0.35">
      <c r="A1470">
        <v>1469</v>
      </c>
      <c r="B1470">
        <v>4202</v>
      </c>
      <c r="C1470" t="str">
        <f t="shared" si="66"/>
        <v>Extra Large</v>
      </c>
      <c r="D1470">
        <v>1</v>
      </c>
      <c r="E1470">
        <v>3</v>
      </c>
      <c r="F1470">
        <v>3</v>
      </c>
      <c r="G1470">
        <v>1933</v>
      </c>
      <c r="H1470" t="str">
        <f t="shared" si="67"/>
        <v>Pre-1950</v>
      </c>
      <c r="I1470" t="s">
        <v>10</v>
      </c>
      <c r="J1470" t="s">
        <v>15</v>
      </c>
      <c r="K1470" t="s">
        <v>12</v>
      </c>
      <c r="L1470" s="4">
        <v>831627</v>
      </c>
      <c r="M1470" t="str">
        <f t="shared" si="68"/>
        <v>Premium</v>
      </c>
    </row>
    <row r="1471" spans="1:13" x14ac:dyDescent="0.35">
      <c r="A1471">
        <v>1470</v>
      </c>
      <c r="B1471">
        <v>2856</v>
      </c>
      <c r="C1471" t="str">
        <f t="shared" si="66"/>
        <v>Large</v>
      </c>
      <c r="D1471">
        <v>1</v>
      </c>
      <c r="E1471">
        <v>4</v>
      </c>
      <c r="F1471">
        <v>1</v>
      </c>
      <c r="G1471">
        <v>2012</v>
      </c>
      <c r="H1471" t="str">
        <f t="shared" si="67"/>
        <v>Post-2000</v>
      </c>
      <c r="I1471" t="s">
        <v>10</v>
      </c>
      <c r="J1471" t="s">
        <v>11</v>
      </c>
      <c r="K1471" t="s">
        <v>12</v>
      </c>
      <c r="L1471" s="4">
        <v>317429</v>
      </c>
      <c r="M1471" t="str">
        <f t="shared" si="68"/>
        <v>Medium</v>
      </c>
    </row>
    <row r="1472" spans="1:13" x14ac:dyDescent="0.35">
      <c r="A1472">
        <v>1471</v>
      </c>
      <c r="B1472">
        <v>2835</v>
      </c>
      <c r="C1472" t="str">
        <f t="shared" si="66"/>
        <v>Large</v>
      </c>
      <c r="D1472">
        <v>3</v>
      </c>
      <c r="E1472">
        <v>1</v>
      </c>
      <c r="F1472">
        <v>2</v>
      </c>
      <c r="G1472">
        <v>1943</v>
      </c>
      <c r="H1472" t="str">
        <f t="shared" si="67"/>
        <v>Pre-1950</v>
      </c>
      <c r="I1472" t="s">
        <v>10</v>
      </c>
      <c r="J1472" t="s">
        <v>18</v>
      </c>
      <c r="K1472" t="s">
        <v>16</v>
      </c>
      <c r="L1472" s="4">
        <v>506331</v>
      </c>
      <c r="M1472" t="str">
        <f t="shared" si="68"/>
        <v>High</v>
      </c>
    </row>
    <row r="1473" spans="1:13" x14ac:dyDescent="0.35">
      <c r="A1473">
        <v>1472</v>
      </c>
      <c r="B1473">
        <v>806</v>
      </c>
      <c r="C1473" t="str">
        <f t="shared" si="66"/>
        <v>Small</v>
      </c>
      <c r="D1473">
        <v>2</v>
      </c>
      <c r="E1473">
        <v>4</v>
      </c>
      <c r="F1473">
        <v>1</v>
      </c>
      <c r="G1473">
        <v>2007</v>
      </c>
      <c r="H1473" t="str">
        <f t="shared" si="67"/>
        <v>Post-2000</v>
      </c>
      <c r="I1473" t="s">
        <v>14</v>
      </c>
      <c r="J1473" t="s">
        <v>13</v>
      </c>
      <c r="K1473" t="s">
        <v>12</v>
      </c>
      <c r="L1473" s="4">
        <v>843802</v>
      </c>
      <c r="M1473" t="str">
        <f t="shared" si="68"/>
        <v>Premium</v>
      </c>
    </row>
    <row r="1474" spans="1:13" x14ac:dyDescent="0.35">
      <c r="A1474">
        <v>1473</v>
      </c>
      <c r="B1474">
        <v>4165</v>
      </c>
      <c r="C1474" t="str">
        <f t="shared" si="66"/>
        <v>Extra Large</v>
      </c>
      <c r="D1474">
        <v>4</v>
      </c>
      <c r="E1474">
        <v>4</v>
      </c>
      <c r="F1474">
        <v>1</v>
      </c>
      <c r="G1474">
        <v>1929</v>
      </c>
      <c r="H1474" t="str">
        <f t="shared" si="67"/>
        <v>Pre-1950</v>
      </c>
      <c r="I1474" t="s">
        <v>17</v>
      </c>
      <c r="J1474" t="s">
        <v>18</v>
      </c>
      <c r="K1474" t="s">
        <v>12</v>
      </c>
      <c r="L1474" s="4">
        <v>67903</v>
      </c>
      <c r="M1474" t="str">
        <f t="shared" si="68"/>
        <v>Low</v>
      </c>
    </row>
    <row r="1475" spans="1:13" x14ac:dyDescent="0.35">
      <c r="A1475">
        <v>1474</v>
      </c>
      <c r="B1475">
        <v>2489</v>
      </c>
      <c r="C1475" t="str">
        <f t="shared" ref="C1475:C1538" si="69">IF(B1475&lt;=1000,"Small",IF(B1475&lt;=2500,"Medium",IF(B1475&lt;=4000,"Large",IF(B1475&gt;=4000,"Extra Large"))))</f>
        <v>Medium</v>
      </c>
      <c r="D1475">
        <v>4</v>
      </c>
      <c r="E1475">
        <v>1</v>
      </c>
      <c r="F1475">
        <v>2</v>
      </c>
      <c r="G1475">
        <v>1916</v>
      </c>
      <c r="H1475" t="str">
        <f t="shared" ref="H1475:H1538" si="70">IF(G1475&lt;=1950,"Pre-1950",IF(G1475&lt;=1975,"1950-1975",IF(G1475&lt;=2000,"1976-2000",IF(G1475&gt;=2000,"Post-2000"))))</f>
        <v>Pre-1950</v>
      </c>
      <c r="I1475" t="s">
        <v>19</v>
      </c>
      <c r="J1475" t="s">
        <v>18</v>
      </c>
      <c r="K1475" t="s">
        <v>12</v>
      </c>
      <c r="L1475" s="4">
        <v>737859</v>
      </c>
      <c r="M1475" t="str">
        <f t="shared" ref="M1475:M1538" si="71">IF(L1475&lt;=200000,"Low",IF(L1475&lt;=400000,"Medium",IF(L1475&lt;=600000,"High",IF(L1475&gt;=600000,"Premium",""))))</f>
        <v>Premium</v>
      </c>
    </row>
    <row r="1476" spans="1:13" x14ac:dyDescent="0.35">
      <c r="A1476">
        <v>1475</v>
      </c>
      <c r="B1476">
        <v>1161</v>
      </c>
      <c r="C1476" t="str">
        <f t="shared" si="69"/>
        <v>Medium</v>
      </c>
      <c r="D1476">
        <v>2</v>
      </c>
      <c r="E1476">
        <v>4</v>
      </c>
      <c r="F1476">
        <v>1</v>
      </c>
      <c r="G1476">
        <v>1958</v>
      </c>
      <c r="H1476" t="str">
        <f t="shared" si="70"/>
        <v>1950-1975</v>
      </c>
      <c r="I1476" t="s">
        <v>17</v>
      </c>
      <c r="J1476" t="s">
        <v>18</v>
      </c>
      <c r="K1476" t="s">
        <v>16</v>
      </c>
      <c r="L1476" s="4">
        <v>934336</v>
      </c>
      <c r="M1476" t="str">
        <f t="shared" si="71"/>
        <v>Premium</v>
      </c>
    </row>
    <row r="1477" spans="1:13" x14ac:dyDescent="0.35">
      <c r="A1477">
        <v>1476</v>
      </c>
      <c r="B1477">
        <v>811</v>
      </c>
      <c r="C1477" t="str">
        <f t="shared" si="69"/>
        <v>Small</v>
      </c>
      <c r="D1477">
        <v>1</v>
      </c>
      <c r="E1477">
        <v>1</v>
      </c>
      <c r="F1477">
        <v>1</v>
      </c>
      <c r="G1477">
        <v>1909</v>
      </c>
      <c r="H1477" t="str">
        <f t="shared" si="70"/>
        <v>Pre-1950</v>
      </c>
      <c r="I1477" t="s">
        <v>10</v>
      </c>
      <c r="J1477" t="s">
        <v>11</v>
      </c>
      <c r="K1477" t="s">
        <v>16</v>
      </c>
      <c r="L1477" s="4">
        <v>859427</v>
      </c>
      <c r="M1477" t="str">
        <f t="shared" si="71"/>
        <v>Premium</v>
      </c>
    </row>
    <row r="1478" spans="1:13" x14ac:dyDescent="0.35">
      <c r="A1478">
        <v>1477</v>
      </c>
      <c r="B1478">
        <v>3420</v>
      </c>
      <c r="C1478" t="str">
        <f t="shared" si="69"/>
        <v>Large</v>
      </c>
      <c r="D1478">
        <v>3</v>
      </c>
      <c r="E1478">
        <v>1</v>
      </c>
      <c r="F1478">
        <v>3</v>
      </c>
      <c r="G1478">
        <v>1998</v>
      </c>
      <c r="H1478" t="str">
        <f t="shared" si="70"/>
        <v>1976-2000</v>
      </c>
      <c r="I1478" t="s">
        <v>19</v>
      </c>
      <c r="J1478" t="s">
        <v>18</v>
      </c>
      <c r="K1478" t="s">
        <v>12</v>
      </c>
      <c r="L1478" s="4">
        <v>417304</v>
      </c>
      <c r="M1478" t="str">
        <f t="shared" si="71"/>
        <v>High</v>
      </c>
    </row>
    <row r="1479" spans="1:13" x14ac:dyDescent="0.35">
      <c r="A1479">
        <v>1478</v>
      </c>
      <c r="B1479">
        <v>1582</v>
      </c>
      <c r="C1479" t="str">
        <f t="shared" si="69"/>
        <v>Medium</v>
      </c>
      <c r="D1479">
        <v>3</v>
      </c>
      <c r="E1479">
        <v>4</v>
      </c>
      <c r="F1479">
        <v>2</v>
      </c>
      <c r="G1479">
        <v>1983</v>
      </c>
      <c r="H1479" t="str">
        <f t="shared" si="70"/>
        <v>1976-2000</v>
      </c>
      <c r="I1479" t="s">
        <v>14</v>
      </c>
      <c r="J1479" t="s">
        <v>18</v>
      </c>
      <c r="K1479" t="s">
        <v>12</v>
      </c>
      <c r="L1479" s="4">
        <v>478416</v>
      </c>
      <c r="M1479" t="str">
        <f t="shared" si="71"/>
        <v>High</v>
      </c>
    </row>
    <row r="1480" spans="1:13" x14ac:dyDescent="0.35">
      <c r="A1480">
        <v>1479</v>
      </c>
      <c r="B1480">
        <v>3471</v>
      </c>
      <c r="C1480" t="str">
        <f t="shared" si="69"/>
        <v>Large</v>
      </c>
      <c r="D1480">
        <v>4</v>
      </c>
      <c r="E1480">
        <v>4</v>
      </c>
      <c r="F1480">
        <v>1</v>
      </c>
      <c r="G1480">
        <v>1917</v>
      </c>
      <c r="H1480" t="str">
        <f t="shared" si="70"/>
        <v>Pre-1950</v>
      </c>
      <c r="I1480" t="s">
        <v>10</v>
      </c>
      <c r="J1480" t="s">
        <v>15</v>
      </c>
      <c r="K1480" t="s">
        <v>16</v>
      </c>
      <c r="L1480" s="4">
        <v>662665</v>
      </c>
      <c r="M1480" t="str">
        <f t="shared" si="71"/>
        <v>Premium</v>
      </c>
    </row>
    <row r="1481" spans="1:13" x14ac:dyDescent="0.35">
      <c r="A1481">
        <v>1480</v>
      </c>
      <c r="B1481">
        <v>1254</v>
      </c>
      <c r="C1481" t="str">
        <f t="shared" si="69"/>
        <v>Medium</v>
      </c>
      <c r="D1481">
        <v>3</v>
      </c>
      <c r="E1481">
        <v>2</v>
      </c>
      <c r="F1481">
        <v>2</v>
      </c>
      <c r="G1481">
        <v>1944</v>
      </c>
      <c r="H1481" t="str">
        <f t="shared" si="70"/>
        <v>Pre-1950</v>
      </c>
      <c r="I1481" t="s">
        <v>10</v>
      </c>
      <c r="J1481" t="s">
        <v>11</v>
      </c>
      <c r="K1481" t="s">
        <v>12</v>
      </c>
      <c r="L1481" s="4">
        <v>251474</v>
      </c>
      <c r="M1481" t="str">
        <f t="shared" si="71"/>
        <v>Medium</v>
      </c>
    </row>
    <row r="1482" spans="1:13" x14ac:dyDescent="0.35">
      <c r="A1482">
        <v>1481</v>
      </c>
      <c r="B1482">
        <v>4630</v>
      </c>
      <c r="C1482" t="str">
        <f t="shared" si="69"/>
        <v>Extra Large</v>
      </c>
      <c r="D1482">
        <v>2</v>
      </c>
      <c r="E1482">
        <v>2</v>
      </c>
      <c r="F1482">
        <v>2</v>
      </c>
      <c r="G1482">
        <v>2007</v>
      </c>
      <c r="H1482" t="str">
        <f t="shared" si="70"/>
        <v>Post-2000</v>
      </c>
      <c r="I1482" t="s">
        <v>19</v>
      </c>
      <c r="J1482" t="s">
        <v>13</v>
      </c>
      <c r="K1482" t="s">
        <v>16</v>
      </c>
      <c r="L1482" s="4">
        <v>456782</v>
      </c>
      <c r="M1482" t="str">
        <f t="shared" si="71"/>
        <v>High</v>
      </c>
    </row>
    <row r="1483" spans="1:13" x14ac:dyDescent="0.35">
      <c r="A1483">
        <v>1482</v>
      </c>
      <c r="B1483">
        <v>852</v>
      </c>
      <c r="C1483" t="str">
        <f t="shared" si="69"/>
        <v>Small</v>
      </c>
      <c r="D1483">
        <v>1</v>
      </c>
      <c r="E1483">
        <v>3</v>
      </c>
      <c r="F1483">
        <v>1</v>
      </c>
      <c r="G1483">
        <v>1990</v>
      </c>
      <c r="H1483" t="str">
        <f t="shared" si="70"/>
        <v>1976-2000</v>
      </c>
      <c r="I1483" t="s">
        <v>14</v>
      </c>
      <c r="J1483" t="s">
        <v>13</v>
      </c>
      <c r="K1483" t="s">
        <v>12</v>
      </c>
      <c r="L1483" s="4">
        <v>874254</v>
      </c>
      <c r="M1483" t="str">
        <f t="shared" si="71"/>
        <v>Premium</v>
      </c>
    </row>
    <row r="1484" spans="1:13" x14ac:dyDescent="0.35">
      <c r="A1484">
        <v>1483</v>
      </c>
      <c r="B1484">
        <v>1402</v>
      </c>
      <c r="C1484" t="str">
        <f t="shared" si="69"/>
        <v>Medium</v>
      </c>
      <c r="D1484">
        <v>2</v>
      </c>
      <c r="E1484">
        <v>3</v>
      </c>
      <c r="F1484">
        <v>3</v>
      </c>
      <c r="G1484">
        <v>1958</v>
      </c>
      <c r="H1484" t="str">
        <f t="shared" si="70"/>
        <v>1950-1975</v>
      </c>
      <c r="I1484" t="s">
        <v>19</v>
      </c>
      <c r="J1484" t="s">
        <v>13</v>
      </c>
      <c r="K1484" t="s">
        <v>16</v>
      </c>
      <c r="L1484" s="4">
        <v>419556</v>
      </c>
      <c r="M1484" t="str">
        <f t="shared" si="71"/>
        <v>High</v>
      </c>
    </row>
    <row r="1485" spans="1:13" x14ac:dyDescent="0.35">
      <c r="A1485">
        <v>1484</v>
      </c>
      <c r="B1485">
        <v>4388</v>
      </c>
      <c r="C1485" t="str">
        <f t="shared" si="69"/>
        <v>Extra Large</v>
      </c>
      <c r="D1485">
        <v>5</v>
      </c>
      <c r="E1485">
        <v>4</v>
      </c>
      <c r="F1485">
        <v>2</v>
      </c>
      <c r="G1485">
        <v>1961</v>
      </c>
      <c r="H1485" t="str">
        <f t="shared" si="70"/>
        <v>1950-1975</v>
      </c>
      <c r="I1485" t="s">
        <v>14</v>
      </c>
      <c r="J1485" t="s">
        <v>11</v>
      </c>
      <c r="K1485" t="s">
        <v>16</v>
      </c>
      <c r="L1485" s="4">
        <v>887654</v>
      </c>
      <c r="M1485" t="str">
        <f t="shared" si="71"/>
        <v>Premium</v>
      </c>
    </row>
    <row r="1486" spans="1:13" x14ac:dyDescent="0.35">
      <c r="A1486">
        <v>1485</v>
      </c>
      <c r="B1486">
        <v>658</v>
      </c>
      <c r="C1486" t="str">
        <f t="shared" si="69"/>
        <v>Small</v>
      </c>
      <c r="D1486">
        <v>4</v>
      </c>
      <c r="E1486">
        <v>1</v>
      </c>
      <c r="F1486">
        <v>1</v>
      </c>
      <c r="G1486">
        <v>1958</v>
      </c>
      <c r="H1486" t="str">
        <f t="shared" si="70"/>
        <v>1950-1975</v>
      </c>
      <c r="I1486" t="s">
        <v>10</v>
      </c>
      <c r="J1486" t="s">
        <v>13</v>
      </c>
      <c r="K1486" t="s">
        <v>16</v>
      </c>
      <c r="L1486" s="4">
        <v>930520</v>
      </c>
      <c r="M1486" t="str">
        <f t="shared" si="71"/>
        <v>Premium</v>
      </c>
    </row>
    <row r="1487" spans="1:13" x14ac:dyDescent="0.35">
      <c r="A1487">
        <v>1486</v>
      </c>
      <c r="B1487">
        <v>2477</v>
      </c>
      <c r="C1487" t="str">
        <f t="shared" si="69"/>
        <v>Medium</v>
      </c>
      <c r="D1487">
        <v>3</v>
      </c>
      <c r="E1487">
        <v>3</v>
      </c>
      <c r="F1487">
        <v>2</v>
      </c>
      <c r="G1487">
        <v>1948</v>
      </c>
      <c r="H1487" t="str">
        <f t="shared" si="70"/>
        <v>Pre-1950</v>
      </c>
      <c r="I1487" t="s">
        <v>17</v>
      </c>
      <c r="J1487" t="s">
        <v>11</v>
      </c>
      <c r="K1487" t="s">
        <v>16</v>
      </c>
      <c r="L1487" s="4">
        <v>543301</v>
      </c>
      <c r="M1487" t="str">
        <f t="shared" si="71"/>
        <v>High</v>
      </c>
    </row>
    <row r="1488" spans="1:13" x14ac:dyDescent="0.35">
      <c r="A1488">
        <v>1487</v>
      </c>
      <c r="B1488">
        <v>1456</v>
      </c>
      <c r="C1488" t="str">
        <f t="shared" si="69"/>
        <v>Medium</v>
      </c>
      <c r="D1488">
        <v>5</v>
      </c>
      <c r="E1488">
        <v>4</v>
      </c>
      <c r="F1488">
        <v>3</v>
      </c>
      <c r="G1488">
        <v>1999</v>
      </c>
      <c r="H1488" t="str">
        <f t="shared" si="70"/>
        <v>1976-2000</v>
      </c>
      <c r="I1488" t="s">
        <v>10</v>
      </c>
      <c r="J1488" t="s">
        <v>15</v>
      </c>
      <c r="K1488" t="s">
        <v>12</v>
      </c>
      <c r="L1488" s="4">
        <v>402594</v>
      </c>
      <c r="M1488" t="str">
        <f t="shared" si="71"/>
        <v>High</v>
      </c>
    </row>
    <row r="1489" spans="1:13" x14ac:dyDescent="0.35">
      <c r="A1489">
        <v>1488</v>
      </c>
      <c r="B1489">
        <v>2571</v>
      </c>
      <c r="C1489" t="str">
        <f t="shared" si="69"/>
        <v>Large</v>
      </c>
      <c r="D1489">
        <v>3</v>
      </c>
      <c r="E1489">
        <v>3</v>
      </c>
      <c r="F1489">
        <v>3</v>
      </c>
      <c r="G1489">
        <v>1962</v>
      </c>
      <c r="H1489" t="str">
        <f t="shared" si="70"/>
        <v>1950-1975</v>
      </c>
      <c r="I1489" t="s">
        <v>17</v>
      </c>
      <c r="J1489" t="s">
        <v>15</v>
      </c>
      <c r="K1489" t="s">
        <v>16</v>
      </c>
      <c r="L1489" s="4">
        <v>493884</v>
      </c>
      <c r="M1489" t="str">
        <f t="shared" si="71"/>
        <v>High</v>
      </c>
    </row>
    <row r="1490" spans="1:13" x14ac:dyDescent="0.35">
      <c r="A1490">
        <v>1489</v>
      </c>
      <c r="B1490">
        <v>903</v>
      </c>
      <c r="C1490" t="str">
        <f t="shared" si="69"/>
        <v>Small</v>
      </c>
      <c r="D1490">
        <v>1</v>
      </c>
      <c r="E1490">
        <v>1</v>
      </c>
      <c r="F1490">
        <v>3</v>
      </c>
      <c r="G1490">
        <v>1986</v>
      </c>
      <c r="H1490" t="str">
        <f t="shared" si="70"/>
        <v>1976-2000</v>
      </c>
      <c r="I1490" t="s">
        <v>17</v>
      </c>
      <c r="J1490" t="s">
        <v>11</v>
      </c>
      <c r="K1490" t="s">
        <v>12</v>
      </c>
      <c r="L1490" s="4">
        <v>683654</v>
      </c>
      <c r="M1490" t="str">
        <f t="shared" si="71"/>
        <v>Premium</v>
      </c>
    </row>
    <row r="1491" spans="1:13" x14ac:dyDescent="0.35">
      <c r="A1491">
        <v>1490</v>
      </c>
      <c r="B1491">
        <v>3279</v>
      </c>
      <c r="C1491" t="str">
        <f t="shared" si="69"/>
        <v>Large</v>
      </c>
      <c r="D1491">
        <v>1</v>
      </c>
      <c r="E1491">
        <v>4</v>
      </c>
      <c r="F1491">
        <v>1</v>
      </c>
      <c r="G1491">
        <v>1931</v>
      </c>
      <c r="H1491" t="str">
        <f t="shared" si="70"/>
        <v>Pre-1950</v>
      </c>
      <c r="I1491" t="s">
        <v>14</v>
      </c>
      <c r="J1491" t="s">
        <v>13</v>
      </c>
      <c r="K1491" t="s">
        <v>16</v>
      </c>
      <c r="L1491" s="4">
        <v>422222</v>
      </c>
      <c r="M1491" t="str">
        <f t="shared" si="71"/>
        <v>High</v>
      </c>
    </row>
    <row r="1492" spans="1:13" x14ac:dyDescent="0.35">
      <c r="A1492">
        <v>1491</v>
      </c>
      <c r="B1492">
        <v>1887</v>
      </c>
      <c r="C1492" t="str">
        <f t="shared" si="69"/>
        <v>Medium</v>
      </c>
      <c r="D1492">
        <v>1</v>
      </c>
      <c r="E1492">
        <v>1</v>
      </c>
      <c r="F1492">
        <v>1</v>
      </c>
      <c r="G1492">
        <v>1909</v>
      </c>
      <c r="H1492" t="str">
        <f t="shared" si="70"/>
        <v>Pre-1950</v>
      </c>
      <c r="I1492" t="s">
        <v>19</v>
      </c>
      <c r="J1492" t="s">
        <v>11</v>
      </c>
      <c r="K1492" t="s">
        <v>16</v>
      </c>
      <c r="L1492" s="4">
        <v>638141</v>
      </c>
      <c r="M1492" t="str">
        <f t="shared" si="71"/>
        <v>Premium</v>
      </c>
    </row>
    <row r="1493" spans="1:13" x14ac:dyDescent="0.35">
      <c r="A1493">
        <v>1492</v>
      </c>
      <c r="B1493">
        <v>3953</v>
      </c>
      <c r="C1493" t="str">
        <f t="shared" si="69"/>
        <v>Large</v>
      </c>
      <c r="D1493">
        <v>3</v>
      </c>
      <c r="E1493">
        <v>4</v>
      </c>
      <c r="F1493">
        <v>3</v>
      </c>
      <c r="G1493">
        <v>1910</v>
      </c>
      <c r="H1493" t="str">
        <f t="shared" si="70"/>
        <v>Pre-1950</v>
      </c>
      <c r="I1493" t="s">
        <v>14</v>
      </c>
      <c r="J1493" t="s">
        <v>11</v>
      </c>
      <c r="K1493" t="s">
        <v>12</v>
      </c>
      <c r="L1493" s="4">
        <v>235715</v>
      </c>
      <c r="M1493" t="str">
        <f t="shared" si="71"/>
        <v>Medium</v>
      </c>
    </row>
    <row r="1494" spans="1:13" x14ac:dyDescent="0.35">
      <c r="A1494">
        <v>1493</v>
      </c>
      <c r="B1494">
        <v>1455</v>
      </c>
      <c r="C1494" t="str">
        <f t="shared" si="69"/>
        <v>Medium</v>
      </c>
      <c r="D1494">
        <v>5</v>
      </c>
      <c r="E1494">
        <v>3</v>
      </c>
      <c r="F1494">
        <v>1</v>
      </c>
      <c r="G1494">
        <v>2001</v>
      </c>
      <c r="H1494" t="str">
        <f t="shared" si="70"/>
        <v>Post-2000</v>
      </c>
      <c r="I1494" t="s">
        <v>10</v>
      </c>
      <c r="J1494" t="s">
        <v>18</v>
      </c>
      <c r="K1494" t="s">
        <v>12</v>
      </c>
      <c r="L1494" s="4">
        <v>960226</v>
      </c>
      <c r="M1494" t="str">
        <f t="shared" si="71"/>
        <v>Premium</v>
      </c>
    </row>
    <row r="1495" spans="1:13" x14ac:dyDescent="0.35">
      <c r="A1495">
        <v>1494</v>
      </c>
      <c r="B1495">
        <v>2212</v>
      </c>
      <c r="C1495" t="str">
        <f t="shared" si="69"/>
        <v>Medium</v>
      </c>
      <c r="D1495">
        <v>1</v>
      </c>
      <c r="E1495">
        <v>2</v>
      </c>
      <c r="F1495">
        <v>3</v>
      </c>
      <c r="G1495">
        <v>1969</v>
      </c>
      <c r="H1495" t="str">
        <f t="shared" si="70"/>
        <v>1950-1975</v>
      </c>
      <c r="I1495" t="s">
        <v>19</v>
      </c>
      <c r="J1495" t="s">
        <v>11</v>
      </c>
      <c r="K1495" t="s">
        <v>12</v>
      </c>
      <c r="L1495" s="4">
        <v>203405</v>
      </c>
      <c r="M1495" t="str">
        <f t="shared" si="71"/>
        <v>Medium</v>
      </c>
    </row>
    <row r="1496" spans="1:13" x14ac:dyDescent="0.35">
      <c r="A1496">
        <v>1495</v>
      </c>
      <c r="B1496">
        <v>1773</v>
      </c>
      <c r="C1496" t="str">
        <f t="shared" si="69"/>
        <v>Medium</v>
      </c>
      <c r="D1496">
        <v>5</v>
      </c>
      <c r="E1496">
        <v>3</v>
      </c>
      <c r="F1496">
        <v>1</v>
      </c>
      <c r="G1496">
        <v>2022</v>
      </c>
      <c r="H1496" t="str">
        <f t="shared" si="70"/>
        <v>Post-2000</v>
      </c>
      <c r="I1496" t="s">
        <v>17</v>
      </c>
      <c r="J1496" t="s">
        <v>18</v>
      </c>
      <c r="K1496" t="s">
        <v>16</v>
      </c>
      <c r="L1496" s="4">
        <v>459174</v>
      </c>
      <c r="M1496" t="str">
        <f t="shared" si="71"/>
        <v>High</v>
      </c>
    </row>
    <row r="1497" spans="1:13" x14ac:dyDescent="0.35">
      <c r="A1497">
        <v>1496</v>
      </c>
      <c r="B1497">
        <v>4311</v>
      </c>
      <c r="C1497" t="str">
        <f t="shared" si="69"/>
        <v>Extra Large</v>
      </c>
      <c r="D1497">
        <v>3</v>
      </c>
      <c r="E1497">
        <v>3</v>
      </c>
      <c r="F1497">
        <v>3</v>
      </c>
      <c r="G1497">
        <v>2004</v>
      </c>
      <c r="H1497" t="str">
        <f t="shared" si="70"/>
        <v>Post-2000</v>
      </c>
      <c r="I1497" t="s">
        <v>17</v>
      </c>
      <c r="J1497" t="s">
        <v>15</v>
      </c>
      <c r="K1497" t="s">
        <v>16</v>
      </c>
      <c r="L1497" s="4">
        <v>626730</v>
      </c>
      <c r="M1497" t="str">
        <f t="shared" si="71"/>
        <v>Premium</v>
      </c>
    </row>
    <row r="1498" spans="1:13" x14ac:dyDescent="0.35">
      <c r="A1498">
        <v>1497</v>
      </c>
      <c r="B1498">
        <v>3125</v>
      </c>
      <c r="C1498" t="str">
        <f t="shared" si="69"/>
        <v>Large</v>
      </c>
      <c r="D1498">
        <v>5</v>
      </c>
      <c r="E1498">
        <v>2</v>
      </c>
      <c r="F1498">
        <v>2</v>
      </c>
      <c r="G1498">
        <v>1961</v>
      </c>
      <c r="H1498" t="str">
        <f t="shared" si="70"/>
        <v>1950-1975</v>
      </c>
      <c r="I1498" t="s">
        <v>10</v>
      </c>
      <c r="J1498" t="s">
        <v>18</v>
      </c>
      <c r="K1498" t="s">
        <v>12</v>
      </c>
      <c r="L1498" s="4">
        <v>464170</v>
      </c>
      <c r="M1498" t="str">
        <f t="shared" si="71"/>
        <v>High</v>
      </c>
    </row>
    <row r="1499" spans="1:13" x14ac:dyDescent="0.35">
      <c r="A1499">
        <v>1498</v>
      </c>
      <c r="B1499">
        <v>2882</v>
      </c>
      <c r="C1499" t="str">
        <f t="shared" si="69"/>
        <v>Large</v>
      </c>
      <c r="D1499">
        <v>3</v>
      </c>
      <c r="E1499">
        <v>2</v>
      </c>
      <c r="F1499">
        <v>3</v>
      </c>
      <c r="G1499">
        <v>1946</v>
      </c>
      <c r="H1499" t="str">
        <f t="shared" si="70"/>
        <v>Pre-1950</v>
      </c>
      <c r="I1499" t="s">
        <v>19</v>
      </c>
      <c r="J1499" t="s">
        <v>11</v>
      </c>
      <c r="K1499" t="s">
        <v>16</v>
      </c>
      <c r="L1499" s="4">
        <v>280755</v>
      </c>
      <c r="M1499" t="str">
        <f t="shared" si="71"/>
        <v>Medium</v>
      </c>
    </row>
    <row r="1500" spans="1:13" x14ac:dyDescent="0.35">
      <c r="A1500">
        <v>1499</v>
      </c>
      <c r="B1500">
        <v>1941</v>
      </c>
      <c r="C1500" t="str">
        <f t="shared" si="69"/>
        <v>Medium</v>
      </c>
      <c r="D1500">
        <v>3</v>
      </c>
      <c r="E1500">
        <v>4</v>
      </c>
      <c r="F1500">
        <v>3</v>
      </c>
      <c r="G1500">
        <v>1933</v>
      </c>
      <c r="H1500" t="str">
        <f t="shared" si="70"/>
        <v>Pre-1950</v>
      </c>
      <c r="I1500" t="s">
        <v>10</v>
      </c>
      <c r="J1500" t="s">
        <v>15</v>
      </c>
      <c r="K1500" t="s">
        <v>12</v>
      </c>
      <c r="L1500" s="4">
        <v>583963</v>
      </c>
      <c r="M1500" t="str">
        <f t="shared" si="71"/>
        <v>High</v>
      </c>
    </row>
    <row r="1501" spans="1:13" x14ac:dyDescent="0.35">
      <c r="A1501">
        <v>1500</v>
      </c>
      <c r="B1501">
        <v>3479</v>
      </c>
      <c r="C1501" t="str">
        <f t="shared" si="69"/>
        <v>Large</v>
      </c>
      <c r="D1501">
        <v>4</v>
      </c>
      <c r="E1501">
        <v>4</v>
      </c>
      <c r="F1501">
        <v>1</v>
      </c>
      <c r="G1501">
        <v>1999</v>
      </c>
      <c r="H1501" t="str">
        <f t="shared" si="70"/>
        <v>1976-2000</v>
      </c>
      <c r="I1501" t="s">
        <v>10</v>
      </c>
      <c r="J1501" t="s">
        <v>18</v>
      </c>
      <c r="K1501" t="s">
        <v>16</v>
      </c>
      <c r="L1501" s="4">
        <v>139590</v>
      </c>
      <c r="M1501" t="str">
        <f t="shared" si="71"/>
        <v>Low</v>
      </c>
    </row>
    <row r="1502" spans="1:13" x14ac:dyDescent="0.35">
      <c r="A1502">
        <v>1501</v>
      </c>
      <c r="B1502">
        <v>2297</v>
      </c>
      <c r="C1502" t="str">
        <f t="shared" si="69"/>
        <v>Medium</v>
      </c>
      <c r="D1502">
        <v>3</v>
      </c>
      <c r="E1502">
        <v>1</v>
      </c>
      <c r="F1502">
        <v>1</v>
      </c>
      <c r="G1502">
        <v>2000</v>
      </c>
      <c r="H1502" t="str">
        <f t="shared" si="70"/>
        <v>1976-2000</v>
      </c>
      <c r="I1502" t="s">
        <v>14</v>
      </c>
      <c r="J1502" t="s">
        <v>11</v>
      </c>
      <c r="K1502" t="s">
        <v>16</v>
      </c>
      <c r="L1502" s="4">
        <v>420714</v>
      </c>
      <c r="M1502" t="str">
        <f t="shared" si="71"/>
        <v>High</v>
      </c>
    </row>
    <row r="1503" spans="1:13" x14ac:dyDescent="0.35">
      <c r="A1503">
        <v>1502</v>
      </c>
      <c r="B1503">
        <v>4890</v>
      </c>
      <c r="C1503" t="str">
        <f t="shared" si="69"/>
        <v>Extra Large</v>
      </c>
      <c r="D1503">
        <v>3</v>
      </c>
      <c r="E1503">
        <v>1</v>
      </c>
      <c r="F1503">
        <v>1</v>
      </c>
      <c r="G1503">
        <v>1916</v>
      </c>
      <c r="H1503" t="str">
        <f t="shared" si="70"/>
        <v>Pre-1950</v>
      </c>
      <c r="I1503" t="s">
        <v>10</v>
      </c>
      <c r="J1503" t="s">
        <v>15</v>
      </c>
      <c r="K1503" t="s">
        <v>16</v>
      </c>
      <c r="L1503" s="4">
        <v>343805</v>
      </c>
      <c r="M1503" t="str">
        <f t="shared" si="71"/>
        <v>Medium</v>
      </c>
    </row>
    <row r="1504" spans="1:13" x14ac:dyDescent="0.35">
      <c r="A1504">
        <v>1503</v>
      </c>
      <c r="B1504">
        <v>4509</v>
      </c>
      <c r="C1504" t="str">
        <f t="shared" si="69"/>
        <v>Extra Large</v>
      </c>
      <c r="D1504">
        <v>2</v>
      </c>
      <c r="E1504">
        <v>3</v>
      </c>
      <c r="F1504">
        <v>1</v>
      </c>
      <c r="G1504">
        <v>2003</v>
      </c>
      <c r="H1504" t="str">
        <f t="shared" si="70"/>
        <v>Post-2000</v>
      </c>
      <c r="I1504" t="s">
        <v>19</v>
      </c>
      <c r="J1504" t="s">
        <v>18</v>
      </c>
      <c r="K1504" t="s">
        <v>12</v>
      </c>
      <c r="L1504" s="4">
        <v>638577</v>
      </c>
      <c r="M1504" t="str">
        <f t="shared" si="71"/>
        <v>Premium</v>
      </c>
    </row>
    <row r="1505" spans="1:13" x14ac:dyDescent="0.35">
      <c r="A1505">
        <v>1504</v>
      </c>
      <c r="B1505">
        <v>1894</v>
      </c>
      <c r="C1505" t="str">
        <f t="shared" si="69"/>
        <v>Medium</v>
      </c>
      <c r="D1505">
        <v>1</v>
      </c>
      <c r="E1505">
        <v>2</v>
      </c>
      <c r="F1505">
        <v>1</v>
      </c>
      <c r="G1505">
        <v>2003</v>
      </c>
      <c r="H1505" t="str">
        <f t="shared" si="70"/>
        <v>Post-2000</v>
      </c>
      <c r="I1505" t="s">
        <v>10</v>
      </c>
      <c r="J1505" t="s">
        <v>11</v>
      </c>
      <c r="K1505" t="s">
        <v>16</v>
      </c>
      <c r="L1505" s="4">
        <v>67184</v>
      </c>
      <c r="M1505" t="str">
        <f t="shared" si="71"/>
        <v>Low</v>
      </c>
    </row>
    <row r="1506" spans="1:13" x14ac:dyDescent="0.35">
      <c r="A1506">
        <v>1505</v>
      </c>
      <c r="B1506">
        <v>4781</v>
      </c>
      <c r="C1506" t="str">
        <f t="shared" si="69"/>
        <v>Extra Large</v>
      </c>
      <c r="D1506">
        <v>4</v>
      </c>
      <c r="E1506">
        <v>1</v>
      </c>
      <c r="F1506">
        <v>1</v>
      </c>
      <c r="G1506">
        <v>1953</v>
      </c>
      <c r="H1506" t="str">
        <f t="shared" si="70"/>
        <v>1950-1975</v>
      </c>
      <c r="I1506" t="s">
        <v>19</v>
      </c>
      <c r="J1506" t="s">
        <v>11</v>
      </c>
      <c r="K1506" t="s">
        <v>12</v>
      </c>
      <c r="L1506" s="4">
        <v>884395</v>
      </c>
      <c r="M1506" t="str">
        <f t="shared" si="71"/>
        <v>Premium</v>
      </c>
    </row>
    <row r="1507" spans="1:13" x14ac:dyDescent="0.35">
      <c r="A1507">
        <v>1506</v>
      </c>
      <c r="B1507">
        <v>1769</v>
      </c>
      <c r="C1507" t="str">
        <f t="shared" si="69"/>
        <v>Medium</v>
      </c>
      <c r="D1507">
        <v>4</v>
      </c>
      <c r="E1507">
        <v>3</v>
      </c>
      <c r="F1507">
        <v>2</v>
      </c>
      <c r="G1507">
        <v>1975</v>
      </c>
      <c r="H1507" t="str">
        <f t="shared" si="70"/>
        <v>1950-1975</v>
      </c>
      <c r="I1507" t="s">
        <v>17</v>
      </c>
      <c r="J1507" t="s">
        <v>13</v>
      </c>
      <c r="K1507" t="s">
        <v>12</v>
      </c>
      <c r="L1507" s="4">
        <v>731182</v>
      </c>
      <c r="M1507" t="str">
        <f t="shared" si="71"/>
        <v>Premium</v>
      </c>
    </row>
    <row r="1508" spans="1:13" x14ac:dyDescent="0.35">
      <c r="A1508">
        <v>1507</v>
      </c>
      <c r="B1508">
        <v>4214</v>
      </c>
      <c r="C1508" t="str">
        <f t="shared" si="69"/>
        <v>Extra Large</v>
      </c>
      <c r="D1508">
        <v>4</v>
      </c>
      <c r="E1508">
        <v>2</v>
      </c>
      <c r="F1508">
        <v>3</v>
      </c>
      <c r="G1508">
        <v>1984</v>
      </c>
      <c r="H1508" t="str">
        <f t="shared" si="70"/>
        <v>1976-2000</v>
      </c>
      <c r="I1508" t="s">
        <v>10</v>
      </c>
      <c r="J1508" t="s">
        <v>13</v>
      </c>
      <c r="K1508" t="s">
        <v>16</v>
      </c>
      <c r="L1508" s="4">
        <v>505519</v>
      </c>
      <c r="M1508" t="str">
        <f t="shared" si="71"/>
        <v>High</v>
      </c>
    </row>
    <row r="1509" spans="1:13" x14ac:dyDescent="0.35">
      <c r="A1509">
        <v>1508</v>
      </c>
      <c r="B1509">
        <v>1029</v>
      </c>
      <c r="C1509" t="str">
        <f t="shared" si="69"/>
        <v>Medium</v>
      </c>
      <c r="D1509">
        <v>2</v>
      </c>
      <c r="E1509">
        <v>4</v>
      </c>
      <c r="F1509">
        <v>3</v>
      </c>
      <c r="G1509">
        <v>1939</v>
      </c>
      <c r="H1509" t="str">
        <f t="shared" si="70"/>
        <v>Pre-1950</v>
      </c>
      <c r="I1509" t="s">
        <v>19</v>
      </c>
      <c r="J1509" t="s">
        <v>18</v>
      </c>
      <c r="K1509" t="s">
        <v>12</v>
      </c>
      <c r="L1509" s="4">
        <v>257537</v>
      </c>
      <c r="M1509" t="str">
        <f t="shared" si="71"/>
        <v>Medium</v>
      </c>
    </row>
    <row r="1510" spans="1:13" x14ac:dyDescent="0.35">
      <c r="A1510">
        <v>1509</v>
      </c>
      <c r="B1510">
        <v>4123</v>
      </c>
      <c r="C1510" t="str">
        <f t="shared" si="69"/>
        <v>Extra Large</v>
      </c>
      <c r="D1510">
        <v>3</v>
      </c>
      <c r="E1510">
        <v>3</v>
      </c>
      <c r="F1510">
        <v>3</v>
      </c>
      <c r="G1510">
        <v>1918</v>
      </c>
      <c r="H1510" t="str">
        <f t="shared" si="70"/>
        <v>Pre-1950</v>
      </c>
      <c r="I1510" t="s">
        <v>17</v>
      </c>
      <c r="J1510" t="s">
        <v>18</v>
      </c>
      <c r="K1510" t="s">
        <v>12</v>
      </c>
      <c r="L1510" s="4">
        <v>841699</v>
      </c>
      <c r="M1510" t="str">
        <f t="shared" si="71"/>
        <v>Premium</v>
      </c>
    </row>
    <row r="1511" spans="1:13" x14ac:dyDescent="0.35">
      <c r="A1511">
        <v>1510</v>
      </c>
      <c r="B1511">
        <v>3458</v>
      </c>
      <c r="C1511" t="str">
        <f t="shared" si="69"/>
        <v>Large</v>
      </c>
      <c r="D1511">
        <v>1</v>
      </c>
      <c r="E1511">
        <v>4</v>
      </c>
      <c r="F1511">
        <v>2</v>
      </c>
      <c r="G1511">
        <v>1966</v>
      </c>
      <c r="H1511" t="str">
        <f t="shared" si="70"/>
        <v>1950-1975</v>
      </c>
      <c r="I1511" t="s">
        <v>19</v>
      </c>
      <c r="J1511" t="s">
        <v>18</v>
      </c>
      <c r="K1511" t="s">
        <v>16</v>
      </c>
      <c r="L1511" s="4">
        <v>233719</v>
      </c>
      <c r="M1511" t="str">
        <f t="shared" si="71"/>
        <v>Medium</v>
      </c>
    </row>
    <row r="1512" spans="1:13" x14ac:dyDescent="0.35">
      <c r="A1512">
        <v>1511</v>
      </c>
      <c r="B1512">
        <v>3414</v>
      </c>
      <c r="C1512" t="str">
        <f t="shared" si="69"/>
        <v>Large</v>
      </c>
      <c r="D1512">
        <v>5</v>
      </c>
      <c r="E1512">
        <v>1</v>
      </c>
      <c r="F1512">
        <v>3</v>
      </c>
      <c r="G1512">
        <v>1981</v>
      </c>
      <c r="H1512" t="str">
        <f t="shared" si="70"/>
        <v>1976-2000</v>
      </c>
      <c r="I1512" t="s">
        <v>17</v>
      </c>
      <c r="J1512" t="s">
        <v>11</v>
      </c>
      <c r="K1512" t="s">
        <v>12</v>
      </c>
      <c r="L1512" s="4">
        <v>899246</v>
      </c>
      <c r="M1512" t="str">
        <f t="shared" si="71"/>
        <v>Premium</v>
      </c>
    </row>
    <row r="1513" spans="1:13" x14ac:dyDescent="0.35">
      <c r="A1513">
        <v>1512</v>
      </c>
      <c r="B1513">
        <v>4091</v>
      </c>
      <c r="C1513" t="str">
        <f t="shared" si="69"/>
        <v>Extra Large</v>
      </c>
      <c r="D1513">
        <v>3</v>
      </c>
      <c r="E1513">
        <v>1</v>
      </c>
      <c r="F1513">
        <v>2</v>
      </c>
      <c r="G1513">
        <v>1952</v>
      </c>
      <c r="H1513" t="str">
        <f t="shared" si="70"/>
        <v>1950-1975</v>
      </c>
      <c r="I1513" t="s">
        <v>14</v>
      </c>
      <c r="J1513" t="s">
        <v>18</v>
      </c>
      <c r="K1513" t="s">
        <v>12</v>
      </c>
      <c r="L1513" s="4">
        <v>872457</v>
      </c>
      <c r="M1513" t="str">
        <f t="shared" si="71"/>
        <v>Premium</v>
      </c>
    </row>
    <row r="1514" spans="1:13" x14ac:dyDescent="0.35">
      <c r="A1514">
        <v>1513</v>
      </c>
      <c r="B1514">
        <v>2647</v>
      </c>
      <c r="C1514" t="str">
        <f t="shared" si="69"/>
        <v>Large</v>
      </c>
      <c r="D1514">
        <v>2</v>
      </c>
      <c r="E1514">
        <v>2</v>
      </c>
      <c r="F1514">
        <v>2</v>
      </c>
      <c r="G1514">
        <v>2014</v>
      </c>
      <c r="H1514" t="str">
        <f t="shared" si="70"/>
        <v>Post-2000</v>
      </c>
      <c r="I1514" t="s">
        <v>10</v>
      </c>
      <c r="J1514" t="s">
        <v>11</v>
      </c>
      <c r="K1514" t="s">
        <v>16</v>
      </c>
      <c r="L1514" s="4">
        <v>171246</v>
      </c>
      <c r="M1514" t="str">
        <f t="shared" si="71"/>
        <v>Low</v>
      </c>
    </row>
    <row r="1515" spans="1:13" x14ac:dyDescent="0.35">
      <c r="A1515">
        <v>1514</v>
      </c>
      <c r="B1515">
        <v>3869</v>
      </c>
      <c r="C1515" t="str">
        <f t="shared" si="69"/>
        <v>Large</v>
      </c>
      <c r="D1515">
        <v>3</v>
      </c>
      <c r="E1515">
        <v>3</v>
      </c>
      <c r="F1515">
        <v>2</v>
      </c>
      <c r="G1515">
        <v>1963</v>
      </c>
      <c r="H1515" t="str">
        <f t="shared" si="70"/>
        <v>1950-1975</v>
      </c>
      <c r="I1515" t="s">
        <v>10</v>
      </c>
      <c r="J1515" t="s">
        <v>18</v>
      </c>
      <c r="K1515" t="s">
        <v>16</v>
      </c>
      <c r="L1515" s="4">
        <v>389749</v>
      </c>
      <c r="M1515" t="str">
        <f t="shared" si="71"/>
        <v>Medium</v>
      </c>
    </row>
    <row r="1516" spans="1:13" x14ac:dyDescent="0.35">
      <c r="A1516">
        <v>1515</v>
      </c>
      <c r="B1516">
        <v>1439</v>
      </c>
      <c r="C1516" t="str">
        <f t="shared" si="69"/>
        <v>Medium</v>
      </c>
      <c r="D1516">
        <v>3</v>
      </c>
      <c r="E1516">
        <v>4</v>
      </c>
      <c r="F1516">
        <v>3</v>
      </c>
      <c r="G1516">
        <v>1982</v>
      </c>
      <c r="H1516" t="str">
        <f t="shared" si="70"/>
        <v>1976-2000</v>
      </c>
      <c r="I1516" t="s">
        <v>17</v>
      </c>
      <c r="J1516" t="s">
        <v>11</v>
      </c>
      <c r="K1516" t="s">
        <v>16</v>
      </c>
      <c r="L1516" s="4">
        <v>706341</v>
      </c>
      <c r="M1516" t="str">
        <f t="shared" si="71"/>
        <v>Premium</v>
      </c>
    </row>
    <row r="1517" spans="1:13" x14ac:dyDescent="0.35">
      <c r="A1517">
        <v>1516</v>
      </c>
      <c r="B1517">
        <v>1025</v>
      </c>
      <c r="C1517" t="str">
        <f t="shared" si="69"/>
        <v>Medium</v>
      </c>
      <c r="D1517">
        <v>2</v>
      </c>
      <c r="E1517">
        <v>2</v>
      </c>
      <c r="F1517">
        <v>2</v>
      </c>
      <c r="G1517">
        <v>1946</v>
      </c>
      <c r="H1517" t="str">
        <f t="shared" si="70"/>
        <v>Pre-1950</v>
      </c>
      <c r="I1517" t="s">
        <v>14</v>
      </c>
      <c r="J1517" t="s">
        <v>11</v>
      </c>
      <c r="K1517" t="s">
        <v>12</v>
      </c>
      <c r="L1517" s="4">
        <v>879868</v>
      </c>
      <c r="M1517" t="str">
        <f t="shared" si="71"/>
        <v>Premium</v>
      </c>
    </row>
    <row r="1518" spans="1:13" x14ac:dyDescent="0.35">
      <c r="A1518">
        <v>1517</v>
      </c>
      <c r="B1518">
        <v>501</v>
      </c>
      <c r="C1518" t="str">
        <f t="shared" si="69"/>
        <v>Small</v>
      </c>
      <c r="D1518">
        <v>4</v>
      </c>
      <c r="E1518">
        <v>1</v>
      </c>
      <c r="F1518">
        <v>3</v>
      </c>
      <c r="G1518">
        <v>1905</v>
      </c>
      <c r="H1518" t="str">
        <f t="shared" si="70"/>
        <v>Pre-1950</v>
      </c>
      <c r="I1518" t="s">
        <v>19</v>
      </c>
      <c r="J1518" t="s">
        <v>13</v>
      </c>
      <c r="K1518" t="s">
        <v>12</v>
      </c>
      <c r="L1518" s="4">
        <v>723832</v>
      </c>
      <c r="M1518" t="str">
        <f t="shared" si="71"/>
        <v>Premium</v>
      </c>
    </row>
    <row r="1519" spans="1:13" x14ac:dyDescent="0.35">
      <c r="A1519">
        <v>1518</v>
      </c>
      <c r="B1519">
        <v>874</v>
      </c>
      <c r="C1519" t="str">
        <f t="shared" si="69"/>
        <v>Small</v>
      </c>
      <c r="D1519">
        <v>4</v>
      </c>
      <c r="E1519">
        <v>1</v>
      </c>
      <c r="F1519">
        <v>3</v>
      </c>
      <c r="G1519">
        <v>1915</v>
      </c>
      <c r="H1519" t="str">
        <f t="shared" si="70"/>
        <v>Pre-1950</v>
      </c>
      <c r="I1519" t="s">
        <v>14</v>
      </c>
      <c r="J1519" t="s">
        <v>15</v>
      </c>
      <c r="K1519" t="s">
        <v>16</v>
      </c>
      <c r="L1519" s="4">
        <v>200408</v>
      </c>
      <c r="M1519" t="str">
        <f t="shared" si="71"/>
        <v>Medium</v>
      </c>
    </row>
    <row r="1520" spans="1:13" x14ac:dyDescent="0.35">
      <c r="A1520">
        <v>1519</v>
      </c>
      <c r="B1520">
        <v>2840</v>
      </c>
      <c r="C1520" t="str">
        <f t="shared" si="69"/>
        <v>Large</v>
      </c>
      <c r="D1520">
        <v>1</v>
      </c>
      <c r="E1520">
        <v>3</v>
      </c>
      <c r="F1520">
        <v>1</v>
      </c>
      <c r="G1520">
        <v>1971</v>
      </c>
      <c r="H1520" t="str">
        <f t="shared" si="70"/>
        <v>1950-1975</v>
      </c>
      <c r="I1520" t="s">
        <v>19</v>
      </c>
      <c r="J1520" t="s">
        <v>11</v>
      </c>
      <c r="K1520" t="s">
        <v>12</v>
      </c>
      <c r="L1520" s="4">
        <v>730947</v>
      </c>
      <c r="M1520" t="str">
        <f t="shared" si="71"/>
        <v>Premium</v>
      </c>
    </row>
    <row r="1521" spans="1:13" x14ac:dyDescent="0.35">
      <c r="A1521">
        <v>1520</v>
      </c>
      <c r="B1521">
        <v>4505</v>
      </c>
      <c r="C1521" t="str">
        <f t="shared" si="69"/>
        <v>Extra Large</v>
      </c>
      <c r="D1521">
        <v>1</v>
      </c>
      <c r="E1521">
        <v>4</v>
      </c>
      <c r="F1521">
        <v>1</v>
      </c>
      <c r="G1521">
        <v>2011</v>
      </c>
      <c r="H1521" t="str">
        <f t="shared" si="70"/>
        <v>Post-2000</v>
      </c>
      <c r="I1521" t="s">
        <v>19</v>
      </c>
      <c r="J1521" t="s">
        <v>18</v>
      </c>
      <c r="K1521" t="s">
        <v>16</v>
      </c>
      <c r="L1521" s="4">
        <v>913624</v>
      </c>
      <c r="M1521" t="str">
        <f t="shared" si="71"/>
        <v>Premium</v>
      </c>
    </row>
    <row r="1522" spans="1:13" x14ac:dyDescent="0.35">
      <c r="A1522">
        <v>1521</v>
      </c>
      <c r="B1522">
        <v>3552</v>
      </c>
      <c r="C1522" t="str">
        <f t="shared" si="69"/>
        <v>Large</v>
      </c>
      <c r="D1522">
        <v>4</v>
      </c>
      <c r="E1522">
        <v>3</v>
      </c>
      <c r="F1522">
        <v>2</v>
      </c>
      <c r="G1522">
        <v>1917</v>
      </c>
      <c r="H1522" t="str">
        <f t="shared" si="70"/>
        <v>Pre-1950</v>
      </c>
      <c r="I1522" t="s">
        <v>10</v>
      </c>
      <c r="J1522" t="s">
        <v>13</v>
      </c>
      <c r="K1522" t="s">
        <v>16</v>
      </c>
      <c r="L1522" s="4">
        <v>287439</v>
      </c>
      <c r="M1522" t="str">
        <f t="shared" si="71"/>
        <v>Medium</v>
      </c>
    </row>
    <row r="1523" spans="1:13" x14ac:dyDescent="0.35">
      <c r="A1523">
        <v>1522</v>
      </c>
      <c r="B1523">
        <v>2865</v>
      </c>
      <c r="C1523" t="str">
        <f t="shared" si="69"/>
        <v>Large</v>
      </c>
      <c r="D1523">
        <v>5</v>
      </c>
      <c r="E1523">
        <v>4</v>
      </c>
      <c r="F1523">
        <v>2</v>
      </c>
      <c r="G1523">
        <v>1951</v>
      </c>
      <c r="H1523" t="str">
        <f t="shared" si="70"/>
        <v>1950-1975</v>
      </c>
      <c r="I1523" t="s">
        <v>17</v>
      </c>
      <c r="J1523" t="s">
        <v>18</v>
      </c>
      <c r="K1523" t="s">
        <v>16</v>
      </c>
      <c r="L1523" s="4">
        <v>957023</v>
      </c>
      <c r="M1523" t="str">
        <f t="shared" si="71"/>
        <v>Premium</v>
      </c>
    </row>
    <row r="1524" spans="1:13" x14ac:dyDescent="0.35">
      <c r="A1524">
        <v>1523</v>
      </c>
      <c r="B1524">
        <v>2025</v>
      </c>
      <c r="C1524" t="str">
        <f t="shared" si="69"/>
        <v>Medium</v>
      </c>
      <c r="D1524">
        <v>3</v>
      </c>
      <c r="E1524">
        <v>4</v>
      </c>
      <c r="F1524">
        <v>3</v>
      </c>
      <c r="G1524">
        <v>1947</v>
      </c>
      <c r="H1524" t="str">
        <f t="shared" si="70"/>
        <v>Pre-1950</v>
      </c>
      <c r="I1524" t="s">
        <v>10</v>
      </c>
      <c r="J1524" t="s">
        <v>18</v>
      </c>
      <c r="K1524" t="s">
        <v>12</v>
      </c>
      <c r="L1524" s="4">
        <v>396655</v>
      </c>
      <c r="M1524" t="str">
        <f t="shared" si="71"/>
        <v>Medium</v>
      </c>
    </row>
    <row r="1525" spans="1:13" x14ac:dyDescent="0.35">
      <c r="A1525">
        <v>1524</v>
      </c>
      <c r="B1525">
        <v>4976</v>
      </c>
      <c r="C1525" t="str">
        <f t="shared" si="69"/>
        <v>Extra Large</v>
      </c>
      <c r="D1525">
        <v>5</v>
      </c>
      <c r="E1525">
        <v>3</v>
      </c>
      <c r="F1525">
        <v>2</v>
      </c>
      <c r="G1525">
        <v>1942</v>
      </c>
      <c r="H1525" t="str">
        <f t="shared" si="70"/>
        <v>Pre-1950</v>
      </c>
      <c r="I1525" t="s">
        <v>10</v>
      </c>
      <c r="J1525" t="s">
        <v>11</v>
      </c>
      <c r="K1525" t="s">
        <v>12</v>
      </c>
      <c r="L1525" s="4">
        <v>583953</v>
      </c>
      <c r="M1525" t="str">
        <f t="shared" si="71"/>
        <v>High</v>
      </c>
    </row>
    <row r="1526" spans="1:13" x14ac:dyDescent="0.35">
      <c r="A1526">
        <v>1525</v>
      </c>
      <c r="B1526">
        <v>2146</v>
      </c>
      <c r="C1526" t="str">
        <f t="shared" si="69"/>
        <v>Medium</v>
      </c>
      <c r="D1526">
        <v>3</v>
      </c>
      <c r="E1526">
        <v>2</v>
      </c>
      <c r="F1526">
        <v>2</v>
      </c>
      <c r="G1526">
        <v>1938</v>
      </c>
      <c r="H1526" t="str">
        <f t="shared" si="70"/>
        <v>Pre-1950</v>
      </c>
      <c r="I1526" t="s">
        <v>10</v>
      </c>
      <c r="J1526" t="s">
        <v>11</v>
      </c>
      <c r="K1526" t="s">
        <v>16</v>
      </c>
      <c r="L1526" s="4">
        <v>732457</v>
      </c>
      <c r="M1526" t="str">
        <f t="shared" si="71"/>
        <v>Premium</v>
      </c>
    </row>
    <row r="1527" spans="1:13" x14ac:dyDescent="0.35">
      <c r="A1527">
        <v>1526</v>
      </c>
      <c r="B1527">
        <v>513</v>
      </c>
      <c r="C1527" t="str">
        <f t="shared" si="69"/>
        <v>Small</v>
      </c>
      <c r="D1527">
        <v>4</v>
      </c>
      <c r="E1527">
        <v>3</v>
      </c>
      <c r="F1527">
        <v>3</v>
      </c>
      <c r="G1527">
        <v>1948</v>
      </c>
      <c r="H1527" t="str">
        <f t="shared" si="70"/>
        <v>Pre-1950</v>
      </c>
      <c r="I1527" t="s">
        <v>19</v>
      </c>
      <c r="J1527" t="s">
        <v>15</v>
      </c>
      <c r="K1527" t="s">
        <v>16</v>
      </c>
      <c r="L1527" s="4">
        <v>927709</v>
      </c>
      <c r="M1527" t="str">
        <f t="shared" si="71"/>
        <v>Premium</v>
      </c>
    </row>
    <row r="1528" spans="1:13" x14ac:dyDescent="0.35">
      <c r="A1528">
        <v>1527</v>
      </c>
      <c r="B1528">
        <v>2778</v>
      </c>
      <c r="C1528" t="str">
        <f t="shared" si="69"/>
        <v>Large</v>
      </c>
      <c r="D1528">
        <v>1</v>
      </c>
      <c r="E1528">
        <v>3</v>
      </c>
      <c r="F1528">
        <v>2</v>
      </c>
      <c r="G1528">
        <v>2012</v>
      </c>
      <c r="H1528" t="str">
        <f t="shared" si="70"/>
        <v>Post-2000</v>
      </c>
      <c r="I1528" t="s">
        <v>10</v>
      </c>
      <c r="J1528" t="s">
        <v>11</v>
      </c>
      <c r="K1528" t="s">
        <v>12</v>
      </c>
      <c r="L1528" s="4">
        <v>626762</v>
      </c>
      <c r="M1528" t="str">
        <f t="shared" si="71"/>
        <v>Premium</v>
      </c>
    </row>
    <row r="1529" spans="1:13" x14ac:dyDescent="0.35">
      <c r="A1529">
        <v>1528</v>
      </c>
      <c r="B1529">
        <v>3655</v>
      </c>
      <c r="C1529" t="str">
        <f t="shared" si="69"/>
        <v>Large</v>
      </c>
      <c r="D1529">
        <v>1</v>
      </c>
      <c r="E1529">
        <v>1</v>
      </c>
      <c r="F1529">
        <v>2</v>
      </c>
      <c r="G1529">
        <v>1911</v>
      </c>
      <c r="H1529" t="str">
        <f t="shared" si="70"/>
        <v>Pre-1950</v>
      </c>
      <c r="I1529" t="s">
        <v>19</v>
      </c>
      <c r="J1529" t="s">
        <v>11</v>
      </c>
      <c r="K1529" t="s">
        <v>16</v>
      </c>
      <c r="L1529" s="4">
        <v>777333</v>
      </c>
      <c r="M1529" t="str">
        <f t="shared" si="71"/>
        <v>Premium</v>
      </c>
    </row>
    <row r="1530" spans="1:13" x14ac:dyDescent="0.35">
      <c r="A1530">
        <v>1529</v>
      </c>
      <c r="B1530">
        <v>629</v>
      </c>
      <c r="C1530" t="str">
        <f t="shared" si="69"/>
        <v>Small</v>
      </c>
      <c r="D1530">
        <v>5</v>
      </c>
      <c r="E1530">
        <v>1</v>
      </c>
      <c r="F1530">
        <v>3</v>
      </c>
      <c r="G1530">
        <v>2008</v>
      </c>
      <c r="H1530" t="str">
        <f t="shared" si="70"/>
        <v>Post-2000</v>
      </c>
      <c r="I1530" t="s">
        <v>17</v>
      </c>
      <c r="J1530" t="s">
        <v>15</v>
      </c>
      <c r="K1530" t="s">
        <v>12</v>
      </c>
      <c r="L1530" s="4">
        <v>468401</v>
      </c>
      <c r="M1530" t="str">
        <f t="shared" si="71"/>
        <v>High</v>
      </c>
    </row>
    <row r="1531" spans="1:13" x14ac:dyDescent="0.35">
      <c r="A1531">
        <v>1530</v>
      </c>
      <c r="B1531">
        <v>4314</v>
      </c>
      <c r="C1531" t="str">
        <f t="shared" si="69"/>
        <v>Extra Large</v>
      </c>
      <c r="D1531">
        <v>1</v>
      </c>
      <c r="E1531">
        <v>3</v>
      </c>
      <c r="F1531">
        <v>3</v>
      </c>
      <c r="G1531">
        <v>1909</v>
      </c>
      <c r="H1531" t="str">
        <f t="shared" si="70"/>
        <v>Pre-1950</v>
      </c>
      <c r="I1531" t="s">
        <v>19</v>
      </c>
      <c r="J1531" t="s">
        <v>18</v>
      </c>
      <c r="K1531" t="s">
        <v>16</v>
      </c>
      <c r="L1531" s="4">
        <v>125911</v>
      </c>
      <c r="M1531" t="str">
        <f t="shared" si="71"/>
        <v>Low</v>
      </c>
    </row>
    <row r="1532" spans="1:13" x14ac:dyDescent="0.35">
      <c r="A1532">
        <v>1531</v>
      </c>
      <c r="B1532">
        <v>3716</v>
      </c>
      <c r="C1532" t="str">
        <f t="shared" si="69"/>
        <v>Large</v>
      </c>
      <c r="D1532">
        <v>4</v>
      </c>
      <c r="E1532">
        <v>3</v>
      </c>
      <c r="F1532">
        <v>1</v>
      </c>
      <c r="G1532">
        <v>1970</v>
      </c>
      <c r="H1532" t="str">
        <f t="shared" si="70"/>
        <v>1950-1975</v>
      </c>
      <c r="I1532" t="s">
        <v>19</v>
      </c>
      <c r="J1532" t="s">
        <v>15</v>
      </c>
      <c r="K1532" t="s">
        <v>16</v>
      </c>
      <c r="L1532" s="4">
        <v>142643</v>
      </c>
      <c r="M1532" t="str">
        <f t="shared" si="71"/>
        <v>Low</v>
      </c>
    </row>
    <row r="1533" spans="1:13" x14ac:dyDescent="0.35">
      <c r="A1533">
        <v>1532</v>
      </c>
      <c r="B1533">
        <v>3438</v>
      </c>
      <c r="C1533" t="str">
        <f t="shared" si="69"/>
        <v>Large</v>
      </c>
      <c r="D1533">
        <v>5</v>
      </c>
      <c r="E1533">
        <v>1</v>
      </c>
      <c r="F1533">
        <v>3</v>
      </c>
      <c r="G1533">
        <v>2009</v>
      </c>
      <c r="H1533" t="str">
        <f t="shared" si="70"/>
        <v>Post-2000</v>
      </c>
      <c r="I1533" t="s">
        <v>14</v>
      </c>
      <c r="J1533" t="s">
        <v>15</v>
      </c>
      <c r="K1533" t="s">
        <v>12</v>
      </c>
      <c r="L1533" s="4">
        <v>866916</v>
      </c>
      <c r="M1533" t="str">
        <f t="shared" si="71"/>
        <v>Premium</v>
      </c>
    </row>
    <row r="1534" spans="1:13" x14ac:dyDescent="0.35">
      <c r="A1534">
        <v>1533</v>
      </c>
      <c r="B1534">
        <v>4428</v>
      </c>
      <c r="C1534" t="str">
        <f t="shared" si="69"/>
        <v>Extra Large</v>
      </c>
      <c r="D1534">
        <v>3</v>
      </c>
      <c r="E1534">
        <v>4</v>
      </c>
      <c r="F1534">
        <v>1</v>
      </c>
      <c r="G1534">
        <v>1954</v>
      </c>
      <c r="H1534" t="str">
        <f t="shared" si="70"/>
        <v>1950-1975</v>
      </c>
      <c r="I1534" t="s">
        <v>10</v>
      </c>
      <c r="J1534" t="s">
        <v>15</v>
      </c>
      <c r="K1534" t="s">
        <v>12</v>
      </c>
      <c r="L1534" s="4">
        <v>309383</v>
      </c>
      <c r="M1534" t="str">
        <f t="shared" si="71"/>
        <v>Medium</v>
      </c>
    </row>
    <row r="1535" spans="1:13" x14ac:dyDescent="0.35">
      <c r="A1535">
        <v>1534</v>
      </c>
      <c r="B1535">
        <v>2540</v>
      </c>
      <c r="C1535" t="str">
        <f t="shared" si="69"/>
        <v>Large</v>
      </c>
      <c r="D1535">
        <v>1</v>
      </c>
      <c r="E1535">
        <v>3</v>
      </c>
      <c r="F1535">
        <v>2</v>
      </c>
      <c r="G1535">
        <v>1900</v>
      </c>
      <c r="H1535" t="str">
        <f t="shared" si="70"/>
        <v>Pre-1950</v>
      </c>
      <c r="I1535" t="s">
        <v>10</v>
      </c>
      <c r="J1535" t="s">
        <v>13</v>
      </c>
      <c r="K1535" t="s">
        <v>12</v>
      </c>
      <c r="L1535" s="4">
        <v>413309</v>
      </c>
      <c r="M1535" t="str">
        <f t="shared" si="71"/>
        <v>High</v>
      </c>
    </row>
    <row r="1536" spans="1:13" x14ac:dyDescent="0.35">
      <c r="A1536">
        <v>1535</v>
      </c>
      <c r="B1536">
        <v>527</v>
      </c>
      <c r="C1536" t="str">
        <f t="shared" si="69"/>
        <v>Small</v>
      </c>
      <c r="D1536">
        <v>2</v>
      </c>
      <c r="E1536">
        <v>2</v>
      </c>
      <c r="F1536">
        <v>3</v>
      </c>
      <c r="G1536">
        <v>1948</v>
      </c>
      <c r="H1536" t="str">
        <f t="shared" si="70"/>
        <v>Pre-1950</v>
      </c>
      <c r="I1536" t="s">
        <v>10</v>
      </c>
      <c r="J1536" t="s">
        <v>18</v>
      </c>
      <c r="K1536" t="s">
        <v>12</v>
      </c>
      <c r="L1536" s="4">
        <v>226682</v>
      </c>
      <c r="M1536" t="str">
        <f t="shared" si="71"/>
        <v>Medium</v>
      </c>
    </row>
    <row r="1537" spans="1:13" x14ac:dyDescent="0.35">
      <c r="A1537">
        <v>1536</v>
      </c>
      <c r="B1537">
        <v>2613</v>
      </c>
      <c r="C1537" t="str">
        <f t="shared" si="69"/>
        <v>Large</v>
      </c>
      <c r="D1537">
        <v>1</v>
      </c>
      <c r="E1537">
        <v>2</v>
      </c>
      <c r="F1537">
        <v>3</v>
      </c>
      <c r="G1537">
        <v>1935</v>
      </c>
      <c r="H1537" t="str">
        <f t="shared" si="70"/>
        <v>Pre-1950</v>
      </c>
      <c r="I1537" t="s">
        <v>10</v>
      </c>
      <c r="J1537" t="s">
        <v>13</v>
      </c>
      <c r="K1537" t="s">
        <v>12</v>
      </c>
      <c r="L1537" s="4">
        <v>756167</v>
      </c>
      <c r="M1537" t="str">
        <f t="shared" si="71"/>
        <v>Premium</v>
      </c>
    </row>
    <row r="1538" spans="1:13" x14ac:dyDescent="0.35">
      <c r="A1538">
        <v>1537</v>
      </c>
      <c r="B1538">
        <v>1752</v>
      </c>
      <c r="C1538" t="str">
        <f t="shared" si="69"/>
        <v>Medium</v>
      </c>
      <c r="D1538">
        <v>3</v>
      </c>
      <c r="E1538">
        <v>2</v>
      </c>
      <c r="F1538">
        <v>3</v>
      </c>
      <c r="G1538">
        <v>1920</v>
      </c>
      <c r="H1538" t="str">
        <f t="shared" si="70"/>
        <v>Pre-1950</v>
      </c>
      <c r="I1538" t="s">
        <v>14</v>
      </c>
      <c r="J1538" t="s">
        <v>13</v>
      </c>
      <c r="K1538" t="s">
        <v>16</v>
      </c>
      <c r="L1538" s="4">
        <v>862267</v>
      </c>
      <c r="M1538" t="str">
        <f t="shared" si="71"/>
        <v>Premium</v>
      </c>
    </row>
    <row r="1539" spans="1:13" x14ac:dyDescent="0.35">
      <c r="A1539">
        <v>1538</v>
      </c>
      <c r="B1539">
        <v>4856</v>
      </c>
      <c r="C1539" t="str">
        <f t="shared" ref="C1539:C1602" si="72">IF(B1539&lt;=1000,"Small",IF(B1539&lt;=2500,"Medium",IF(B1539&lt;=4000,"Large",IF(B1539&gt;=4000,"Extra Large"))))</f>
        <v>Extra Large</v>
      </c>
      <c r="D1539">
        <v>5</v>
      </c>
      <c r="E1539">
        <v>3</v>
      </c>
      <c r="F1539">
        <v>2</v>
      </c>
      <c r="G1539">
        <v>1936</v>
      </c>
      <c r="H1539" t="str">
        <f t="shared" ref="H1539:H1602" si="73">IF(G1539&lt;=1950,"Pre-1950",IF(G1539&lt;=1975,"1950-1975",IF(G1539&lt;=2000,"1976-2000",IF(G1539&gt;=2000,"Post-2000"))))</f>
        <v>Pre-1950</v>
      </c>
      <c r="I1539" t="s">
        <v>14</v>
      </c>
      <c r="J1539" t="s">
        <v>11</v>
      </c>
      <c r="K1539" t="s">
        <v>16</v>
      </c>
      <c r="L1539" s="4">
        <v>800639</v>
      </c>
      <c r="M1539" t="str">
        <f t="shared" ref="M1539:M1602" si="74">IF(L1539&lt;=200000,"Low",IF(L1539&lt;=400000,"Medium",IF(L1539&lt;=600000,"High",IF(L1539&gt;=600000,"Premium",""))))</f>
        <v>Premium</v>
      </c>
    </row>
    <row r="1540" spans="1:13" x14ac:dyDescent="0.35">
      <c r="A1540">
        <v>1539</v>
      </c>
      <c r="B1540">
        <v>2546</v>
      </c>
      <c r="C1540" t="str">
        <f t="shared" si="72"/>
        <v>Large</v>
      </c>
      <c r="D1540">
        <v>3</v>
      </c>
      <c r="E1540">
        <v>4</v>
      </c>
      <c r="F1540">
        <v>1</v>
      </c>
      <c r="G1540">
        <v>2015</v>
      </c>
      <c r="H1540" t="str">
        <f t="shared" si="73"/>
        <v>Post-2000</v>
      </c>
      <c r="I1540" t="s">
        <v>14</v>
      </c>
      <c r="J1540" t="s">
        <v>15</v>
      </c>
      <c r="K1540" t="s">
        <v>12</v>
      </c>
      <c r="L1540" s="4">
        <v>146453</v>
      </c>
      <c r="M1540" t="str">
        <f t="shared" si="74"/>
        <v>Low</v>
      </c>
    </row>
    <row r="1541" spans="1:13" x14ac:dyDescent="0.35">
      <c r="A1541">
        <v>1540</v>
      </c>
      <c r="B1541">
        <v>4523</v>
      </c>
      <c r="C1541" t="str">
        <f t="shared" si="72"/>
        <v>Extra Large</v>
      </c>
      <c r="D1541">
        <v>2</v>
      </c>
      <c r="E1541">
        <v>4</v>
      </c>
      <c r="F1541">
        <v>2</v>
      </c>
      <c r="G1541">
        <v>1923</v>
      </c>
      <c r="H1541" t="str">
        <f t="shared" si="73"/>
        <v>Pre-1950</v>
      </c>
      <c r="I1541" t="s">
        <v>14</v>
      </c>
      <c r="J1541" t="s">
        <v>15</v>
      </c>
      <c r="K1541" t="s">
        <v>12</v>
      </c>
      <c r="L1541" s="4">
        <v>628078</v>
      </c>
      <c r="M1541" t="str">
        <f t="shared" si="74"/>
        <v>Premium</v>
      </c>
    </row>
    <row r="1542" spans="1:13" x14ac:dyDescent="0.35">
      <c r="A1542">
        <v>1541</v>
      </c>
      <c r="B1542">
        <v>4896</v>
      </c>
      <c r="C1542" t="str">
        <f t="shared" si="72"/>
        <v>Extra Large</v>
      </c>
      <c r="D1542">
        <v>4</v>
      </c>
      <c r="E1542">
        <v>1</v>
      </c>
      <c r="F1542">
        <v>2</v>
      </c>
      <c r="G1542">
        <v>1954</v>
      </c>
      <c r="H1542" t="str">
        <f t="shared" si="73"/>
        <v>1950-1975</v>
      </c>
      <c r="I1542" t="s">
        <v>10</v>
      </c>
      <c r="J1542" t="s">
        <v>13</v>
      </c>
      <c r="K1542" t="s">
        <v>16</v>
      </c>
      <c r="L1542" s="4">
        <v>782320</v>
      </c>
      <c r="M1542" t="str">
        <f t="shared" si="74"/>
        <v>Premium</v>
      </c>
    </row>
    <row r="1543" spans="1:13" x14ac:dyDescent="0.35">
      <c r="A1543">
        <v>1542</v>
      </c>
      <c r="B1543">
        <v>3874</v>
      </c>
      <c r="C1543" t="str">
        <f t="shared" si="72"/>
        <v>Large</v>
      </c>
      <c r="D1543">
        <v>1</v>
      </c>
      <c r="E1543">
        <v>3</v>
      </c>
      <c r="F1543">
        <v>3</v>
      </c>
      <c r="G1543">
        <v>1924</v>
      </c>
      <c r="H1543" t="str">
        <f t="shared" si="73"/>
        <v>Pre-1950</v>
      </c>
      <c r="I1543" t="s">
        <v>19</v>
      </c>
      <c r="J1543" t="s">
        <v>11</v>
      </c>
      <c r="K1543" t="s">
        <v>16</v>
      </c>
      <c r="L1543" s="4">
        <v>846075</v>
      </c>
      <c r="M1543" t="str">
        <f t="shared" si="74"/>
        <v>Premium</v>
      </c>
    </row>
    <row r="1544" spans="1:13" x14ac:dyDescent="0.35">
      <c r="A1544">
        <v>1543</v>
      </c>
      <c r="B1544">
        <v>3966</v>
      </c>
      <c r="C1544" t="str">
        <f t="shared" si="72"/>
        <v>Large</v>
      </c>
      <c r="D1544">
        <v>5</v>
      </c>
      <c r="E1544">
        <v>4</v>
      </c>
      <c r="F1544">
        <v>1</v>
      </c>
      <c r="G1544">
        <v>1906</v>
      </c>
      <c r="H1544" t="str">
        <f t="shared" si="73"/>
        <v>Pre-1950</v>
      </c>
      <c r="I1544" t="s">
        <v>17</v>
      </c>
      <c r="J1544" t="s">
        <v>11</v>
      </c>
      <c r="K1544" t="s">
        <v>12</v>
      </c>
      <c r="L1544" s="4">
        <v>387990</v>
      </c>
      <c r="M1544" t="str">
        <f t="shared" si="74"/>
        <v>Medium</v>
      </c>
    </row>
    <row r="1545" spans="1:13" x14ac:dyDescent="0.35">
      <c r="A1545">
        <v>1544</v>
      </c>
      <c r="B1545">
        <v>3581</v>
      </c>
      <c r="C1545" t="str">
        <f t="shared" si="72"/>
        <v>Large</v>
      </c>
      <c r="D1545">
        <v>4</v>
      </c>
      <c r="E1545">
        <v>3</v>
      </c>
      <c r="F1545">
        <v>2</v>
      </c>
      <c r="G1545">
        <v>2005</v>
      </c>
      <c r="H1545" t="str">
        <f t="shared" si="73"/>
        <v>Post-2000</v>
      </c>
      <c r="I1545" t="s">
        <v>14</v>
      </c>
      <c r="J1545" t="s">
        <v>11</v>
      </c>
      <c r="K1545" t="s">
        <v>12</v>
      </c>
      <c r="L1545" s="4">
        <v>462167</v>
      </c>
      <c r="M1545" t="str">
        <f t="shared" si="74"/>
        <v>High</v>
      </c>
    </row>
    <row r="1546" spans="1:13" x14ac:dyDescent="0.35">
      <c r="A1546">
        <v>1545</v>
      </c>
      <c r="B1546">
        <v>4278</v>
      </c>
      <c r="C1546" t="str">
        <f t="shared" si="72"/>
        <v>Extra Large</v>
      </c>
      <c r="D1546">
        <v>3</v>
      </c>
      <c r="E1546">
        <v>1</v>
      </c>
      <c r="F1546">
        <v>3</v>
      </c>
      <c r="G1546">
        <v>1980</v>
      </c>
      <c r="H1546" t="str">
        <f t="shared" si="73"/>
        <v>1976-2000</v>
      </c>
      <c r="I1546" t="s">
        <v>19</v>
      </c>
      <c r="J1546" t="s">
        <v>18</v>
      </c>
      <c r="K1546" t="s">
        <v>16</v>
      </c>
      <c r="L1546" s="4">
        <v>535320</v>
      </c>
      <c r="M1546" t="str">
        <f t="shared" si="74"/>
        <v>High</v>
      </c>
    </row>
    <row r="1547" spans="1:13" x14ac:dyDescent="0.35">
      <c r="A1547">
        <v>1546</v>
      </c>
      <c r="B1547">
        <v>1129</v>
      </c>
      <c r="C1547" t="str">
        <f t="shared" si="72"/>
        <v>Medium</v>
      </c>
      <c r="D1547">
        <v>5</v>
      </c>
      <c r="E1547">
        <v>1</v>
      </c>
      <c r="F1547">
        <v>2</v>
      </c>
      <c r="G1547">
        <v>1992</v>
      </c>
      <c r="H1547" t="str">
        <f t="shared" si="73"/>
        <v>1976-2000</v>
      </c>
      <c r="I1547" t="s">
        <v>14</v>
      </c>
      <c r="J1547" t="s">
        <v>13</v>
      </c>
      <c r="K1547" t="s">
        <v>12</v>
      </c>
      <c r="L1547" s="4">
        <v>458449</v>
      </c>
      <c r="M1547" t="str">
        <f t="shared" si="74"/>
        <v>High</v>
      </c>
    </row>
    <row r="1548" spans="1:13" x14ac:dyDescent="0.35">
      <c r="A1548">
        <v>1547</v>
      </c>
      <c r="B1548">
        <v>769</v>
      </c>
      <c r="C1548" t="str">
        <f t="shared" si="72"/>
        <v>Small</v>
      </c>
      <c r="D1548">
        <v>4</v>
      </c>
      <c r="E1548">
        <v>1</v>
      </c>
      <c r="F1548">
        <v>2</v>
      </c>
      <c r="G1548">
        <v>1993</v>
      </c>
      <c r="H1548" t="str">
        <f t="shared" si="73"/>
        <v>1976-2000</v>
      </c>
      <c r="I1548" t="s">
        <v>10</v>
      </c>
      <c r="J1548" t="s">
        <v>18</v>
      </c>
      <c r="K1548" t="s">
        <v>16</v>
      </c>
      <c r="L1548" s="4">
        <v>587488</v>
      </c>
      <c r="M1548" t="str">
        <f t="shared" si="74"/>
        <v>High</v>
      </c>
    </row>
    <row r="1549" spans="1:13" x14ac:dyDescent="0.35">
      <c r="A1549">
        <v>1548</v>
      </c>
      <c r="B1549">
        <v>3139</v>
      </c>
      <c r="C1549" t="str">
        <f t="shared" si="72"/>
        <v>Large</v>
      </c>
      <c r="D1549">
        <v>5</v>
      </c>
      <c r="E1549">
        <v>2</v>
      </c>
      <c r="F1549">
        <v>3</v>
      </c>
      <c r="G1549">
        <v>1970</v>
      </c>
      <c r="H1549" t="str">
        <f t="shared" si="73"/>
        <v>1950-1975</v>
      </c>
      <c r="I1549" t="s">
        <v>10</v>
      </c>
      <c r="J1549" t="s">
        <v>11</v>
      </c>
      <c r="K1549" t="s">
        <v>16</v>
      </c>
      <c r="L1549" s="4">
        <v>626563</v>
      </c>
      <c r="M1549" t="str">
        <f t="shared" si="74"/>
        <v>Premium</v>
      </c>
    </row>
    <row r="1550" spans="1:13" x14ac:dyDescent="0.35">
      <c r="A1550">
        <v>1549</v>
      </c>
      <c r="B1550">
        <v>2493</v>
      </c>
      <c r="C1550" t="str">
        <f t="shared" si="72"/>
        <v>Medium</v>
      </c>
      <c r="D1550">
        <v>2</v>
      </c>
      <c r="E1550">
        <v>3</v>
      </c>
      <c r="F1550">
        <v>3</v>
      </c>
      <c r="G1550">
        <v>1996</v>
      </c>
      <c r="H1550" t="str">
        <f t="shared" si="73"/>
        <v>1976-2000</v>
      </c>
      <c r="I1550" t="s">
        <v>19</v>
      </c>
      <c r="J1550" t="s">
        <v>11</v>
      </c>
      <c r="K1550" t="s">
        <v>12</v>
      </c>
      <c r="L1550" s="4">
        <v>519284</v>
      </c>
      <c r="M1550" t="str">
        <f t="shared" si="74"/>
        <v>High</v>
      </c>
    </row>
    <row r="1551" spans="1:13" x14ac:dyDescent="0.35">
      <c r="A1551">
        <v>1550</v>
      </c>
      <c r="B1551">
        <v>3391</v>
      </c>
      <c r="C1551" t="str">
        <f t="shared" si="72"/>
        <v>Large</v>
      </c>
      <c r="D1551">
        <v>2</v>
      </c>
      <c r="E1551">
        <v>1</v>
      </c>
      <c r="F1551">
        <v>1</v>
      </c>
      <c r="G1551">
        <v>1970</v>
      </c>
      <c r="H1551" t="str">
        <f t="shared" si="73"/>
        <v>1950-1975</v>
      </c>
      <c r="I1551" t="s">
        <v>19</v>
      </c>
      <c r="J1551" t="s">
        <v>11</v>
      </c>
      <c r="K1551" t="s">
        <v>16</v>
      </c>
      <c r="L1551" s="4">
        <v>925433</v>
      </c>
      <c r="M1551" t="str">
        <f t="shared" si="74"/>
        <v>Premium</v>
      </c>
    </row>
    <row r="1552" spans="1:13" x14ac:dyDescent="0.35">
      <c r="A1552">
        <v>1551</v>
      </c>
      <c r="B1552">
        <v>3932</v>
      </c>
      <c r="C1552" t="str">
        <f t="shared" si="72"/>
        <v>Large</v>
      </c>
      <c r="D1552">
        <v>1</v>
      </c>
      <c r="E1552">
        <v>3</v>
      </c>
      <c r="F1552">
        <v>2</v>
      </c>
      <c r="G1552">
        <v>2021</v>
      </c>
      <c r="H1552" t="str">
        <f t="shared" si="73"/>
        <v>Post-2000</v>
      </c>
      <c r="I1552" t="s">
        <v>19</v>
      </c>
      <c r="J1552" t="s">
        <v>15</v>
      </c>
      <c r="K1552" t="s">
        <v>16</v>
      </c>
      <c r="L1552" s="4">
        <v>726651</v>
      </c>
      <c r="M1552" t="str">
        <f t="shared" si="74"/>
        <v>Premium</v>
      </c>
    </row>
    <row r="1553" spans="1:13" x14ac:dyDescent="0.35">
      <c r="A1553">
        <v>1552</v>
      </c>
      <c r="B1553">
        <v>1780</v>
      </c>
      <c r="C1553" t="str">
        <f t="shared" si="72"/>
        <v>Medium</v>
      </c>
      <c r="D1553">
        <v>1</v>
      </c>
      <c r="E1553">
        <v>2</v>
      </c>
      <c r="F1553">
        <v>3</v>
      </c>
      <c r="G1553">
        <v>1923</v>
      </c>
      <c r="H1553" t="str">
        <f t="shared" si="73"/>
        <v>Pre-1950</v>
      </c>
      <c r="I1553" t="s">
        <v>10</v>
      </c>
      <c r="J1553" t="s">
        <v>13</v>
      </c>
      <c r="K1553" t="s">
        <v>16</v>
      </c>
      <c r="L1553" s="4">
        <v>354592</v>
      </c>
      <c r="M1553" t="str">
        <f t="shared" si="74"/>
        <v>Medium</v>
      </c>
    </row>
    <row r="1554" spans="1:13" x14ac:dyDescent="0.35">
      <c r="A1554">
        <v>1553</v>
      </c>
      <c r="B1554">
        <v>2860</v>
      </c>
      <c r="C1554" t="str">
        <f t="shared" si="72"/>
        <v>Large</v>
      </c>
      <c r="D1554">
        <v>2</v>
      </c>
      <c r="E1554">
        <v>2</v>
      </c>
      <c r="F1554">
        <v>3</v>
      </c>
      <c r="G1554">
        <v>1910</v>
      </c>
      <c r="H1554" t="str">
        <f t="shared" si="73"/>
        <v>Pre-1950</v>
      </c>
      <c r="I1554" t="s">
        <v>10</v>
      </c>
      <c r="J1554" t="s">
        <v>15</v>
      </c>
      <c r="K1554" t="s">
        <v>12</v>
      </c>
      <c r="L1554" s="4">
        <v>998084</v>
      </c>
      <c r="M1554" t="str">
        <f t="shared" si="74"/>
        <v>Premium</v>
      </c>
    </row>
    <row r="1555" spans="1:13" x14ac:dyDescent="0.35">
      <c r="A1555">
        <v>1554</v>
      </c>
      <c r="B1555">
        <v>1075</v>
      </c>
      <c r="C1555" t="str">
        <f t="shared" si="72"/>
        <v>Medium</v>
      </c>
      <c r="D1555">
        <v>5</v>
      </c>
      <c r="E1555">
        <v>1</v>
      </c>
      <c r="F1555">
        <v>1</v>
      </c>
      <c r="G1555">
        <v>1972</v>
      </c>
      <c r="H1555" t="str">
        <f t="shared" si="73"/>
        <v>1950-1975</v>
      </c>
      <c r="I1555" t="s">
        <v>17</v>
      </c>
      <c r="J1555" t="s">
        <v>18</v>
      </c>
      <c r="K1555" t="s">
        <v>16</v>
      </c>
      <c r="L1555" s="4">
        <v>665973</v>
      </c>
      <c r="M1555" t="str">
        <f t="shared" si="74"/>
        <v>Premium</v>
      </c>
    </row>
    <row r="1556" spans="1:13" x14ac:dyDescent="0.35">
      <c r="A1556">
        <v>1555</v>
      </c>
      <c r="B1556">
        <v>1807</v>
      </c>
      <c r="C1556" t="str">
        <f t="shared" si="72"/>
        <v>Medium</v>
      </c>
      <c r="D1556">
        <v>2</v>
      </c>
      <c r="E1556">
        <v>1</v>
      </c>
      <c r="F1556">
        <v>1</v>
      </c>
      <c r="G1556">
        <v>1911</v>
      </c>
      <c r="H1556" t="str">
        <f t="shared" si="73"/>
        <v>Pre-1950</v>
      </c>
      <c r="I1556" t="s">
        <v>19</v>
      </c>
      <c r="J1556" t="s">
        <v>15</v>
      </c>
      <c r="K1556" t="s">
        <v>12</v>
      </c>
      <c r="L1556" s="4">
        <v>464562</v>
      </c>
      <c r="M1556" t="str">
        <f t="shared" si="74"/>
        <v>High</v>
      </c>
    </row>
    <row r="1557" spans="1:13" x14ac:dyDescent="0.35">
      <c r="A1557">
        <v>1556</v>
      </c>
      <c r="B1557">
        <v>3692</v>
      </c>
      <c r="C1557" t="str">
        <f t="shared" si="72"/>
        <v>Large</v>
      </c>
      <c r="D1557">
        <v>1</v>
      </c>
      <c r="E1557">
        <v>4</v>
      </c>
      <c r="F1557">
        <v>3</v>
      </c>
      <c r="G1557">
        <v>1934</v>
      </c>
      <c r="H1557" t="str">
        <f t="shared" si="73"/>
        <v>Pre-1950</v>
      </c>
      <c r="I1557" t="s">
        <v>17</v>
      </c>
      <c r="J1557" t="s">
        <v>13</v>
      </c>
      <c r="K1557" t="s">
        <v>16</v>
      </c>
      <c r="L1557" s="4">
        <v>847051</v>
      </c>
      <c r="M1557" t="str">
        <f t="shared" si="74"/>
        <v>Premium</v>
      </c>
    </row>
    <row r="1558" spans="1:13" x14ac:dyDescent="0.35">
      <c r="A1558">
        <v>1557</v>
      </c>
      <c r="B1558">
        <v>3678</v>
      </c>
      <c r="C1558" t="str">
        <f t="shared" si="72"/>
        <v>Large</v>
      </c>
      <c r="D1558">
        <v>2</v>
      </c>
      <c r="E1558">
        <v>3</v>
      </c>
      <c r="F1558">
        <v>1</v>
      </c>
      <c r="G1558">
        <v>1962</v>
      </c>
      <c r="H1558" t="str">
        <f t="shared" si="73"/>
        <v>1950-1975</v>
      </c>
      <c r="I1558" t="s">
        <v>14</v>
      </c>
      <c r="J1558" t="s">
        <v>15</v>
      </c>
      <c r="K1558" t="s">
        <v>16</v>
      </c>
      <c r="L1558" s="4">
        <v>679742</v>
      </c>
      <c r="M1558" t="str">
        <f t="shared" si="74"/>
        <v>Premium</v>
      </c>
    </row>
    <row r="1559" spans="1:13" x14ac:dyDescent="0.35">
      <c r="A1559">
        <v>1558</v>
      </c>
      <c r="B1559">
        <v>3234</v>
      </c>
      <c r="C1559" t="str">
        <f t="shared" si="72"/>
        <v>Large</v>
      </c>
      <c r="D1559">
        <v>2</v>
      </c>
      <c r="E1559">
        <v>1</v>
      </c>
      <c r="F1559">
        <v>3</v>
      </c>
      <c r="G1559">
        <v>1967</v>
      </c>
      <c r="H1559" t="str">
        <f t="shared" si="73"/>
        <v>1950-1975</v>
      </c>
      <c r="I1559" t="s">
        <v>17</v>
      </c>
      <c r="J1559" t="s">
        <v>11</v>
      </c>
      <c r="K1559" t="s">
        <v>16</v>
      </c>
      <c r="L1559" s="4">
        <v>576054</v>
      </c>
      <c r="M1559" t="str">
        <f t="shared" si="74"/>
        <v>High</v>
      </c>
    </row>
    <row r="1560" spans="1:13" x14ac:dyDescent="0.35">
      <c r="A1560">
        <v>1559</v>
      </c>
      <c r="B1560">
        <v>2712</v>
      </c>
      <c r="C1560" t="str">
        <f t="shared" si="72"/>
        <v>Large</v>
      </c>
      <c r="D1560">
        <v>5</v>
      </c>
      <c r="E1560">
        <v>4</v>
      </c>
      <c r="F1560">
        <v>2</v>
      </c>
      <c r="G1560">
        <v>1999</v>
      </c>
      <c r="H1560" t="str">
        <f t="shared" si="73"/>
        <v>1976-2000</v>
      </c>
      <c r="I1560" t="s">
        <v>14</v>
      </c>
      <c r="J1560" t="s">
        <v>18</v>
      </c>
      <c r="K1560" t="s">
        <v>16</v>
      </c>
      <c r="L1560" s="4">
        <v>839981</v>
      </c>
      <c r="M1560" t="str">
        <f t="shared" si="74"/>
        <v>Premium</v>
      </c>
    </row>
    <row r="1561" spans="1:13" x14ac:dyDescent="0.35">
      <c r="A1561">
        <v>1560</v>
      </c>
      <c r="B1561">
        <v>2852</v>
      </c>
      <c r="C1561" t="str">
        <f t="shared" si="72"/>
        <v>Large</v>
      </c>
      <c r="D1561">
        <v>4</v>
      </c>
      <c r="E1561">
        <v>3</v>
      </c>
      <c r="F1561">
        <v>1</v>
      </c>
      <c r="G1561">
        <v>1991</v>
      </c>
      <c r="H1561" t="str">
        <f t="shared" si="73"/>
        <v>1976-2000</v>
      </c>
      <c r="I1561" t="s">
        <v>14</v>
      </c>
      <c r="J1561" t="s">
        <v>18</v>
      </c>
      <c r="K1561" t="s">
        <v>16</v>
      </c>
      <c r="L1561" s="4">
        <v>724053</v>
      </c>
      <c r="M1561" t="str">
        <f t="shared" si="74"/>
        <v>Premium</v>
      </c>
    </row>
    <row r="1562" spans="1:13" x14ac:dyDescent="0.35">
      <c r="A1562">
        <v>1561</v>
      </c>
      <c r="B1562">
        <v>4068</v>
      </c>
      <c r="C1562" t="str">
        <f t="shared" si="72"/>
        <v>Extra Large</v>
      </c>
      <c r="D1562">
        <v>1</v>
      </c>
      <c r="E1562">
        <v>1</v>
      </c>
      <c r="F1562">
        <v>2</v>
      </c>
      <c r="G1562">
        <v>1956</v>
      </c>
      <c r="H1562" t="str">
        <f t="shared" si="73"/>
        <v>1950-1975</v>
      </c>
      <c r="I1562" t="s">
        <v>17</v>
      </c>
      <c r="J1562" t="s">
        <v>11</v>
      </c>
      <c r="K1562" t="s">
        <v>12</v>
      </c>
      <c r="L1562" s="4">
        <v>505235</v>
      </c>
      <c r="M1562" t="str">
        <f t="shared" si="74"/>
        <v>High</v>
      </c>
    </row>
    <row r="1563" spans="1:13" x14ac:dyDescent="0.35">
      <c r="A1563">
        <v>1562</v>
      </c>
      <c r="B1563">
        <v>2155</v>
      </c>
      <c r="C1563" t="str">
        <f t="shared" si="72"/>
        <v>Medium</v>
      </c>
      <c r="D1563">
        <v>5</v>
      </c>
      <c r="E1563">
        <v>4</v>
      </c>
      <c r="F1563">
        <v>2</v>
      </c>
      <c r="G1563">
        <v>1912</v>
      </c>
      <c r="H1563" t="str">
        <f t="shared" si="73"/>
        <v>Pre-1950</v>
      </c>
      <c r="I1563" t="s">
        <v>19</v>
      </c>
      <c r="J1563" t="s">
        <v>11</v>
      </c>
      <c r="K1563" t="s">
        <v>12</v>
      </c>
      <c r="L1563" s="4">
        <v>540674</v>
      </c>
      <c r="M1563" t="str">
        <f t="shared" si="74"/>
        <v>High</v>
      </c>
    </row>
    <row r="1564" spans="1:13" x14ac:dyDescent="0.35">
      <c r="A1564">
        <v>1563</v>
      </c>
      <c r="B1564">
        <v>2079</v>
      </c>
      <c r="C1564" t="str">
        <f t="shared" si="72"/>
        <v>Medium</v>
      </c>
      <c r="D1564">
        <v>2</v>
      </c>
      <c r="E1564">
        <v>4</v>
      </c>
      <c r="F1564">
        <v>2</v>
      </c>
      <c r="G1564">
        <v>1922</v>
      </c>
      <c r="H1564" t="str">
        <f t="shared" si="73"/>
        <v>Pre-1950</v>
      </c>
      <c r="I1564" t="s">
        <v>14</v>
      </c>
      <c r="J1564" t="s">
        <v>11</v>
      </c>
      <c r="K1564" t="s">
        <v>16</v>
      </c>
      <c r="L1564" s="4">
        <v>830644</v>
      </c>
      <c r="M1564" t="str">
        <f t="shared" si="74"/>
        <v>Premium</v>
      </c>
    </row>
    <row r="1565" spans="1:13" x14ac:dyDescent="0.35">
      <c r="A1565">
        <v>1564</v>
      </c>
      <c r="B1565">
        <v>2703</v>
      </c>
      <c r="C1565" t="str">
        <f t="shared" si="72"/>
        <v>Large</v>
      </c>
      <c r="D1565">
        <v>2</v>
      </c>
      <c r="E1565">
        <v>3</v>
      </c>
      <c r="F1565">
        <v>3</v>
      </c>
      <c r="G1565">
        <v>1982</v>
      </c>
      <c r="H1565" t="str">
        <f t="shared" si="73"/>
        <v>1976-2000</v>
      </c>
      <c r="I1565" t="s">
        <v>19</v>
      </c>
      <c r="J1565" t="s">
        <v>13</v>
      </c>
      <c r="K1565" t="s">
        <v>12</v>
      </c>
      <c r="L1565" s="4">
        <v>944370</v>
      </c>
      <c r="M1565" t="str">
        <f t="shared" si="74"/>
        <v>Premium</v>
      </c>
    </row>
    <row r="1566" spans="1:13" x14ac:dyDescent="0.35">
      <c r="A1566">
        <v>1565</v>
      </c>
      <c r="B1566">
        <v>1890</v>
      </c>
      <c r="C1566" t="str">
        <f t="shared" si="72"/>
        <v>Medium</v>
      </c>
      <c r="D1566">
        <v>4</v>
      </c>
      <c r="E1566">
        <v>4</v>
      </c>
      <c r="F1566">
        <v>2</v>
      </c>
      <c r="G1566">
        <v>2005</v>
      </c>
      <c r="H1566" t="str">
        <f t="shared" si="73"/>
        <v>Post-2000</v>
      </c>
      <c r="I1566" t="s">
        <v>10</v>
      </c>
      <c r="J1566" t="s">
        <v>15</v>
      </c>
      <c r="K1566" t="s">
        <v>12</v>
      </c>
      <c r="L1566" s="4">
        <v>964105</v>
      </c>
      <c r="M1566" t="str">
        <f t="shared" si="74"/>
        <v>Premium</v>
      </c>
    </row>
    <row r="1567" spans="1:13" x14ac:dyDescent="0.35">
      <c r="A1567">
        <v>1566</v>
      </c>
      <c r="B1567">
        <v>2242</v>
      </c>
      <c r="C1567" t="str">
        <f t="shared" si="72"/>
        <v>Medium</v>
      </c>
      <c r="D1567">
        <v>1</v>
      </c>
      <c r="E1567">
        <v>3</v>
      </c>
      <c r="F1567">
        <v>2</v>
      </c>
      <c r="G1567">
        <v>2000</v>
      </c>
      <c r="H1567" t="str">
        <f t="shared" si="73"/>
        <v>1976-2000</v>
      </c>
      <c r="I1567" t="s">
        <v>14</v>
      </c>
      <c r="J1567" t="s">
        <v>18</v>
      </c>
      <c r="K1567" t="s">
        <v>16</v>
      </c>
      <c r="L1567" s="4">
        <v>543496</v>
      </c>
      <c r="M1567" t="str">
        <f t="shared" si="74"/>
        <v>High</v>
      </c>
    </row>
    <row r="1568" spans="1:13" x14ac:dyDescent="0.35">
      <c r="A1568">
        <v>1567</v>
      </c>
      <c r="B1568">
        <v>2425</v>
      </c>
      <c r="C1568" t="str">
        <f t="shared" si="72"/>
        <v>Medium</v>
      </c>
      <c r="D1568">
        <v>1</v>
      </c>
      <c r="E1568">
        <v>3</v>
      </c>
      <c r="F1568">
        <v>2</v>
      </c>
      <c r="G1568">
        <v>1938</v>
      </c>
      <c r="H1568" t="str">
        <f t="shared" si="73"/>
        <v>Pre-1950</v>
      </c>
      <c r="I1568" t="s">
        <v>10</v>
      </c>
      <c r="J1568" t="s">
        <v>15</v>
      </c>
      <c r="K1568" t="s">
        <v>12</v>
      </c>
      <c r="L1568" s="4">
        <v>884760</v>
      </c>
      <c r="M1568" t="str">
        <f t="shared" si="74"/>
        <v>Premium</v>
      </c>
    </row>
    <row r="1569" spans="1:13" x14ac:dyDescent="0.35">
      <c r="A1569">
        <v>1568</v>
      </c>
      <c r="B1569">
        <v>1119</v>
      </c>
      <c r="C1569" t="str">
        <f t="shared" si="72"/>
        <v>Medium</v>
      </c>
      <c r="D1569">
        <v>3</v>
      </c>
      <c r="E1569">
        <v>3</v>
      </c>
      <c r="F1569">
        <v>3</v>
      </c>
      <c r="G1569">
        <v>1987</v>
      </c>
      <c r="H1569" t="str">
        <f t="shared" si="73"/>
        <v>1976-2000</v>
      </c>
      <c r="I1569" t="s">
        <v>17</v>
      </c>
      <c r="J1569" t="s">
        <v>11</v>
      </c>
      <c r="K1569" t="s">
        <v>12</v>
      </c>
      <c r="L1569" s="4">
        <v>520917</v>
      </c>
      <c r="M1569" t="str">
        <f t="shared" si="74"/>
        <v>High</v>
      </c>
    </row>
    <row r="1570" spans="1:13" x14ac:dyDescent="0.35">
      <c r="A1570">
        <v>1569</v>
      </c>
      <c r="B1570">
        <v>1774</v>
      </c>
      <c r="C1570" t="str">
        <f t="shared" si="72"/>
        <v>Medium</v>
      </c>
      <c r="D1570">
        <v>1</v>
      </c>
      <c r="E1570">
        <v>2</v>
      </c>
      <c r="F1570">
        <v>2</v>
      </c>
      <c r="G1570">
        <v>1979</v>
      </c>
      <c r="H1570" t="str">
        <f t="shared" si="73"/>
        <v>1976-2000</v>
      </c>
      <c r="I1570" t="s">
        <v>19</v>
      </c>
      <c r="J1570" t="s">
        <v>11</v>
      </c>
      <c r="K1570" t="s">
        <v>12</v>
      </c>
      <c r="L1570" s="4">
        <v>270172</v>
      </c>
      <c r="M1570" t="str">
        <f t="shared" si="74"/>
        <v>Medium</v>
      </c>
    </row>
    <row r="1571" spans="1:13" x14ac:dyDescent="0.35">
      <c r="A1571">
        <v>1570</v>
      </c>
      <c r="B1571">
        <v>1456</v>
      </c>
      <c r="C1571" t="str">
        <f t="shared" si="72"/>
        <v>Medium</v>
      </c>
      <c r="D1571">
        <v>4</v>
      </c>
      <c r="E1571">
        <v>4</v>
      </c>
      <c r="F1571">
        <v>2</v>
      </c>
      <c r="G1571">
        <v>1996</v>
      </c>
      <c r="H1571" t="str">
        <f t="shared" si="73"/>
        <v>1976-2000</v>
      </c>
      <c r="I1571" t="s">
        <v>17</v>
      </c>
      <c r="J1571" t="s">
        <v>15</v>
      </c>
      <c r="K1571" t="s">
        <v>12</v>
      </c>
      <c r="L1571" s="4">
        <v>75301</v>
      </c>
      <c r="M1571" t="str">
        <f t="shared" si="74"/>
        <v>Low</v>
      </c>
    </row>
    <row r="1572" spans="1:13" x14ac:dyDescent="0.35">
      <c r="A1572">
        <v>1571</v>
      </c>
      <c r="B1572">
        <v>2439</v>
      </c>
      <c r="C1572" t="str">
        <f t="shared" si="72"/>
        <v>Medium</v>
      </c>
      <c r="D1572">
        <v>3</v>
      </c>
      <c r="E1572">
        <v>3</v>
      </c>
      <c r="F1572">
        <v>1</v>
      </c>
      <c r="G1572">
        <v>1911</v>
      </c>
      <c r="H1572" t="str">
        <f t="shared" si="73"/>
        <v>Pre-1950</v>
      </c>
      <c r="I1572" t="s">
        <v>14</v>
      </c>
      <c r="J1572" t="s">
        <v>18</v>
      </c>
      <c r="K1572" t="s">
        <v>16</v>
      </c>
      <c r="L1572" s="4">
        <v>619051</v>
      </c>
      <c r="M1572" t="str">
        <f t="shared" si="74"/>
        <v>Premium</v>
      </c>
    </row>
    <row r="1573" spans="1:13" x14ac:dyDescent="0.35">
      <c r="A1573">
        <v>1572</v>
      </c>
      <c r="B1573">
        <v>4453</v>
      </c>
      <c r="C1573" t="str">
        <f t="shared" si="72"/>
        <v>Extra Large</v>
      </c>
      <c r="D1573">
        <v>3</v>
      </c>
      <c r="E1573">
        <v>1</v>
      </c>
      <c r="F1573">
        <v>3</v>
      </c>
      <c r="G1573">
        <v>1933</v>
      </c>
      <c r="H1573" t="str">
        <f t="shared" si="73"/>
        <v>Pre-1950</v>
      </c>
      <c r="I1573" t="s">
        <v>10</v>
      </c>
      <c r="J1573" t="s">
        <v>13</v>
      </c>
      <c r="K1573" t="s">
        <v>12</v>
      </c>
      <c r="L1573" s="4">
        <v>201837</v>
      </c>
      <c r="M1573" t="str">
        <f t="shared" si="74"/>
        <v>Medium</v>
      </c>
    </row>
    <row r="1574" spans="1:13" x14ac:dyDescent="0.35">
      <c r="A1574">
        <v>1573</v>
      </c>
      <c r="B1574">
        <v>2881</v>
      </c>
      <c r="C1574" t="str">
        <f t="shared" si="72"/>
        <v>Large</v>
      </c>
      <c r="D1574">
        <v>2</v>
      </c>
      <c r="E1574">
        <v>2</v>
      </c>
      <c r="F1574">
        <v>2</v>
      </c>
      <c r="G1574">
        <v>1970</v>
      </c>
      <c r="H1574" t="str">
        <f t="shared" si="73"/>
        <v>1950-1975</v>
      </c>
      <c r="I1574" t="s">
        <v>14</v>
      </c>
      <c r="J1574" t="s">
        <v>15</v>
      </c>
      <c r="K1574" t="s">
        <v>16</v>
      </c>
      <c r="L1574" s="4">
        <v>881219</v>
      </c>
      <c r="M1574" t="str">
        <f t="shared" si="74"/>
        <v>Premium</v>
      </c>
    </row>
    <row r="1575" spans="1:13" x14ac:dyDescent="0.35">
      <c r="A1575">
        <v>1574</v>
      </c>
      <c r="B1575">
        <v>1468</v>
      </c>
      <c r="C1575" t="str">
        <f t="shared" si="72"/>
        <v>Medium</v>
      </c>
      <c r="D1575">
        <v>2</v>
      </c>
      <c r="E1575">
        <v>2</v>
      </c>
      <c r="F1575">
        <v>1</v>
      </c>
      <c r="G1575">
        <v>1974</v>
      </c>
      <c r="H1575" t="str">
        <f t="shared" si="73"/>
        <v>1950-1975</v>
      </c>
      <c r="I1575" t="s">
        <v>17</v>
      </c>
      <c r="J1575" t="s">
        <v>11</v>
      </c>
      <c r="K1575" t="s">
        <v>16</v>
      </c>
      <c r="L1575" s="4">
        <v>957107</v>
      </c>
      <c r="M1575" t="str">
        <f t="shared" si="74"/>
        <v>Premium</v>
      </c>
    </row>
    <row r="1576" spans="1:13" x14ac:dyDescent="0.35">
      <c r="A1576">
        <v>1575</v>
      </c>
      <c r="B1576">
        <v>1816</v>
      </c>
      <c r="C1576" t="str">
        <f t="shared" si="72"/>
        <v>Medium</v>
      </c>
      <c r="D1576">
        <v>1</v>
      </c>
      <c r="E1576">
        <v>4</v>
      </c>
      <c r="F1576">
        <v>3</v>
      </c>
      <c r="G1576">
        <v>1930</v>
      </c>
      <c r="H1576" t="str">
        <f t="shared" si="73"/>
        <v>Pre-1950</v>
      </c>
      <c r="I1576" t="s">
        <v>19</v>
      </c>
      <c r="J1576" t="s">
        <v>11</v>
      </c>
      <c r="K1576" t="s">
        <v>12</v>
      </c>
      <c r="L1576" s="4">
        <v>57425</v>
      </c>
      <c r="M1576" t="str">
        <f t="shared" si="74"/>
        <v>Low</v>
      </c>
    </row>
    <row r="1577" spans="1:13" x14ac:dyDescent="0.35">
      <c r="A1577">
        <v>1576</v>
      </c>
      <c r="B1577">
        <v>1543</v>
      </c>
      <c r="C1577" t="str">
        <f t="shared" si="72"/>
        <v>Medium</v>
      </c>
      <c r="D1577">
        <v>3</v>
      </c>
      <c r="E1577">
        <v>3</v>
      </c>
      <c r="F1577">
        <v>3</v>
      </c>
      <c r="G1577">
        <v>1992</v>
      </c>
      <c r="H1577" t="str">
        <f t="shared" si="73"/>
        <v>1976-2000</v>
      </c>
      <c r="I1577" t="s">
        <v>19</v>
      </c>
      <c r="J1577" t="s">
        <v>13</v>
      </c>
      <c r="K1577" t="s">
        <v>16</v>
      </c>
      <c r="L1577" s="4">
        <v>325001</v>
      </c>
      <c r="M1577" t="str">
        <f t="shared" si="74"/>
        <v>Medium</v>
      </c>
    </row>
    <row r="1578" spans="1:13" x14ac:dyDescent="0.35">
      <c r="A1578">
        <v>1577</v>
      </c>
      <c r="B1578">
        <v>781</v>
      </c>
      <c r="C1578" t="str">
        <f t="shared" si="72"/>
        <v>Small</v>
      </c>
      <c r="D1578">
        <v>2</v>
      </c>
      <c r="E1578">
        <v>4</v>
      </c>
      <c r="F1578">
        <v>3</v>
      </c>
      <c r="G1578">
        <v>1961</v>
      </c>
      <c r="H1578" t="str">
        <f t="shared" si="73"/>
        <v>1950-1975</v>
      </c>
      <c r="I1578" t="s">
        <v>14</v>
      </c>
      <c r="J1578" t="s">
        <v>15</v>
      </c>
      <c r="K1578" t="s">
        <v>12</v>
      </c>
      <c r="L1578" s="4">
        <v>233843</v>
      </c>
      <c r="M1578" t="str">
        <f t="shared" si="74"/>
        <v>Medium</v>
      </c>
    </row>
    <row r="1579" spans="1:13" x14ac:dyDescent="0.35">
      <c r="A1579">
        <v>1578</v>
      </c>
      <c r="B1579">
        <v>3344</v>
      </c>
      <c r="C1579" t="str">
        <f t="shared" si="72"/>
        <v>Large</v>
      </c>
      <c r="D1579">
        <v>4</v>
      </c>
      <c r="E1579">
        <v>2</v>
      </c>
      <c r="F1579">
        <v>3</v>
      </c>
      <c r="G1579">
        <v>1912</v>
      </c>
      <c r="H1579" t="str">
        <f t="shared" si="73"/>
        <v>Pre-1950</v>
      </c>
      <c r="I1579" t="s">
        <v>14</v>
      </c>
      <c r="J1579" t="s">
        <v>13</v>
      </c>
      <c r="K1579" t="s">
        <v>16</v>
      </c>
      <c r="L1579" s="4">
        <v>405143</v>
      </c>
      <c r="M1579" t="str">
        <f t="shared" si="74"/>
        <v>High</v>
      </c>
    </row>
    <row r="1580" spans="1:13" x14ac:dyDescent="0.35">
      <c r="A1580">
        <v>1579</v>
      </c>
      <c r="B1580">
        <v>1558</v>
      </c>
      <c r="C1580" t="str">
        <f t="shared" si="72"/>
        <v>Medium</v>
      </c>
      <c r="D1580">
        <v>2</v>
      </c>
      <c r="E1580">
        <v>3</v>
      </c>
      <c r="F1580">
        <v>3</v>
      </c>
      <c r="G1580">
        <v>1930</v>
      </c>
      <c r="H1580" t="str">
        <f t="shared" si="73"/>
        <v>Pre-1950</v>
      </c>
      <c r="I1580" t="s">
        <v>10</v>
      </c>
      <c r="J1580" t="s">
        <v>13</v>
      </c>
      <c r="K1580" t="s">
        <v>12</v>
      </c>
      <c r="L1580" s="4">
        <v>465660</v>
      </c>
      <c r="M1580" t="str">
        <f t="shared" si="74"/>
        <v>High</v>
      </c>
    </row>
    <row r="1581" spans="1:13" x14ac:dyDescent="0.35">
      <c r="A1581">
        <v>1580</v>
      </c>
      <c r="B1581">
        <v>4793</v>
      </c>
      <c r="C1581" t="str">
        <f t="shared" si="72"/>
        <v>Extra Large</v>
      </c>
      <c r="D1581">
        <v>2</v>
      </c>
      <c r="E1581">
        <v>1</v>
      </c>
      <c r="F1581">
        <v>3</v>
      </c>
      <c r="G1581">
        <v>1901</v>
      </c>
      <c r="H1581" t="str">
        <f t="shared" si="73"/>
        <v>Pre-1950</v>
      </c>
      <c r="I1581" t="s">
        <v>17</v>
      </c>
      <c r="J1581" t="s">
        <v>18</v>
      </c>
      <c r="K1581" t="s">
        <v>12</v>
      </c>
      <c r="L1581" s="4">
        <v>833849</v>
      </c>
      <c r="M1581" t="str">
        <f t="shared" si="74"/>
        <v>Premium</v>
      </c>
    </row>
    <row r="1582" spans="1:13" x14ac:dyDescent="0.35">
      <c r="A1582">
        <v>1581</v>
      </c>
      <c r="B1582">
        <v>3032</v>
      </c>
      <c r="C1582" t="str">
        <f t="shared" si="72"/>
        <v>Large</v>
      </c>
      <c r="D1582">
        <v>3</v>
      </c>
      <c r="E1582">
        <v>3</v>
      </c>
      <c r="F1582">
        <v>2</v>
      </c>
      <c r="G1582">
        <v>2002</v>
      </c>
      <c r="H1582" t="str">
        <f t="shared" si="73"/>
        <v>Post-2000</v>
      </c>
      <c r="I1582" t="s">
        <v>14</v>
      </c>
      <c r="J1582" t="s">
        <v>18</v>
      </c>
      <c r="K1582" t="s">
        <v>16</v>
      </c>
      <c r="L1582" s="4">
        <v>615745</v>
      </c>
      <c r="M1582" t="str">
        <f t="shared" si="74"/>
        <v>Premium</v>
      </c>
    </row>
    <row r="1583" spans="1:13" x14ac:dyDescent="0.35">
      <c r="A1583">
        <v>1582</v>
      </c>
      <c r="B1583">
        <v>4328</v>
      </c>
      <c r="C1583" t="str">
        <f t="shared" si="72"/>
        <v>Extra Large</v>
      </c>
      <c r="D1583">
        <v>3</v>
      </c>
      <c r="E1583">
        <v>2</v>
      </c>
      <c r="F1583">
        <v>2</v>
      </c>
      <c r="G1583">
        <v>1914</v>
      </c>
      <c r="H1583" t="str">
        <f t="shared" si="73"/>
        <v>Pre-1950</v>
      </c>
      <c r="I1583" t="s">
        <v>10</v>
      </c>
      <c r="J1583" t="s">
        <v>11</v>
      </c>
      <c r="K1583" t="s">
        <v>12</v>
      </c>
      <c r="L1583" s="4">
        <v>545496</v>
      </c>
      <c r="M1583" t="str">
        <f t="shared" si="74"/>
        <v>High</v>
      </c>
    </row>
    <row r="1584" spans="1:13" x14ac:dyDescent="0.35">
      <c r="A1584">
        <v>1583</v>
      </c>
      <c r="B1584">
        <v>1508</v>
      </c>
      <c r="C1584" t="str">
        <f t="shared" si="72"/>
        <v>Medium</v>
      </c>
      <c r="D1584">
        <v>5</v>
      </c>
      <c r="E1584">
        <v>1</v>
      </c>
      <c r="F1584">
        <v>2</v>
      </c>
      <c r="G1584">
        <v>1956</v>
      </c>
      <c r="H1584" t="str">
        <f t="shared" si="73"/>
        <v>1950-1975</v>
      </c>
      <c r="I1584" t="s">
        <v>14</v>
      </c>
      <c r="J1584" t="s">
        <v>15</v>
      </c>
      <c r="K1584" t="s">
        <v>12</v>
      </c>
      <c r="L1584" s="4">
        <v>785101</v>
      </c>
      <c r="M1584" t="str">
        <f t="shared" si="74"/>
        <v>Premium</v>
      </c>
    </row>
    <row r="1585" spans="1:13" x14ac:dyDescent="0.35">
      <c r="A1585">
        <v>1584</v>
      </c>
      <c r="B1585">
        <v>1729</v>
      </c>
      <c r="C1585" t="str">
        <f t="shared" si="72"/>
        <v>Medium</v>
      </c>
      <c r="D1585">
        <v>4</v>
      </c>
      <c r="E1585">
        <v>3</v>
      </c>
      <c r="F1585">
        <v>2</v>
      </c>
      <c r="G1585">
        <v>1974</v>
      </c>
      <c r="H1585" t="str">
        <f t="shared" si="73"/>
        <v>1950-1975</v>
      </c>
      <c r="I1585" t="s">
        <v>19</v>
      </c>
      <c r="J1585" t="s">
        <v>18</v>
      </c>
      <c r="K1585" t="s">
        <v>12</v>
      </c>
      <c r="L1585" s="4">
        <v>443920</v>
      </c>
      <c r="M1585" t="str">
        <f t="shared" si="74"/>
        <v>High</v>
      </c>
    </row>
    <row r="1586" spans="1:13" x14ac:dyDescent="0.35">
      <c r="A1586">
        <v>1585</v>
      </c>
      <c r="B1586">
        <v>1535</v>
      </c>
      <c r="C1586" t="str">
        <f t="shared" si="72"/>
        <v>Medium</v>
      </c>
      <c r="D1586">
        <v>3</v>
      </c>
      <c r="E1586">
        <v>1</v>
      </c>
      <c r="F1586">
        <v>1</v>
      </c>
      <c r="G1586">
        <v>1933</v>
      </c>
      <c r="H1586" t="str">
        <f t="shared" si="73"/>
        <v>Pre-1950</v>
      </c>
      <c r="I1586" t="s">
        <v>10</v>
      </c>
      <c r="J1586" t="s">
        <v>11</v>
      </c>
      <c r="K1586" t="s">
        <v>12</v>
      </c>
      <c r="L1586" s="4">
        <v>579740</v>
      </c>
      <c r="M1586" t="str">
        <f t="shared" si="74"/>
        <v>High</v>
      </c>
    </row>
    <row r="1587" spans="1:13" x14ac:dyDescent="0.35">
      <c r="A1587">
        <v>1586</v>
      </c>
      <c r="B1587">
        <v>775</v>
      </c>
      <c r="C1587" t="str">
        <f t="shared" si="72"/>
        <v>Small</v>
      </c>
      <c r="D1587">
        <v>1</v>
      </c>
      <c r="E1587">
        <v>1</v>
      </c>
      <c r="F1587">
        <v>2</v>
      </c>
      <c r="G1587">
        <v>2002</v>
      </c>
      <c r="H1587" t="str">
        <f t="shared" si="73"/>
        <v>Post-2000</v>
      </c>
      <c r="I1587" t="s">
        <v>10</v>
      </c>
      <c r="J1587" t="s">
        <v>15</v>
      </c>
      <c r="K1587" t="s">
        <v>16</v>
      </c>
      <c r="L1587" s="4">
        <v>161153</v>
      </c>
      <c r="M1587" t="str">
        <f t="shared" si="74"/>
        <v>Low</v>
      </c>
    </row>
    <row r="1588" spans="1:13" x14ac:dyDescent="0.35">
      <c r="A1588">
        <v>1587</v>
      </c>
      <c r="B1588">
        <v>3240</v>
      </c>
      <c r="C1588" t="str">
        <f t="shared" si="72"/>
        <v>Large</v>
      </c>
      <c r="D1588">
        <v>4</v>
      </c>
      <c r="E1588">
        <v>2</v>
      </c>
      <c r="F1588">
        <v>3</v>
      </c>
      <c r="G1588">
        <v>1967</v>
      </c>
      <c r="H1588" t="str">
        <f t="shared" si="73"/>
        <v>1950-1975</v>
      </c>
      <c r="I1588" t="s">
        <v>14</v>
      </c>
      <c r="J1588" t="s">
        <v>11</v>
      </c>
      <c r="K1588" t="s">
        <v>16</v>
      </c>
      <c r="L1588" s="4">
        <v>875294</v>
      </c>
      <c r="M1588" t="str">
        <f t="shared" si="74"/>
        <v>Premium</v>
      </c>
    </row>
    <row r="1589" spans="1:13" x14ac:dyDescent="0.35">
      <c r="A1589">
        <v>1588</v>
      </c>
      <c r="B1589">
        <v>2789</v>
      </c>
      <c r="C1589" t="str">
        <f t="shared" si="72"/>
        <v>Large</v>
      </c>
      <c r="D1589">
        <v>4</v>
      </c>
      <c r="E1589">
        <v>1</v>
      </c>
      <c r="F1589">
        <v>2</v>
      </c>
      <c r="G1589">
        <v>1974</v>
      </c>
      <c r="H1589" t="str">
        <f t="shared" si="73"/>
        <v>1950-1975</v>
      </c>
      <c r="I1589" t="s">
        <v>17</v>
      </c>
      <c r="J1589" t="s">
        <v>18</v>
      </c>
      <c r="K1589" t="s">
        <v>16</v>
      </c>
      <c r="L1589" s="4">
        <v>242543</v>
      </c>
      <c r="M1589" t="str">
        <f t="shared" si="74"/>
        <v>Medium</v>
      </c>
    </row>
    <row r="1590" spans="1:13" x14ac:dyDescent="0.35">
      <c r="A1590">
        <v>1589</v>
      </c>
      <c r="B1590">
        <v>1739</v>
      </c>
      <c r="C1590" t="str">
        <f t="shared" si="72"/>
        <v>Medium</v>
      </c>
      <c r="D1590">
        <v>3</v>
      </c>
      <c r="E1590">
        <v>4</v>
      </c>
      <c r="F1590">
        <v>2</v>
      </c>
      <c r="G1590">
        <v>1928</v>
      </c>
      <c r="H1590" t="str">
        <f t="shared" si="73"/>
        <v>Pre-1950</v>
      </c>
      <c r="I1590" t="s">
        <v>19</v>
      </c>
      <c r="J1590" t="s">
        <v>11</v>
      </c>
      <c r="K1590" t="s">
        <v>12</v>
      </c>
      <c r="L1590" s="4">
        <v>529274</v>
      </c>
      <c r="M1590" t="str">
        <f t="shared" si="74"/>
        <v>High</v>
      </c>
    </row>
    <row r="1591" spans="1:13" x14ac:dyDescent="0.35">
      <c r="A1591">
        <v>1590</v>
      </c>
      <c r="B1591">
        <v>625</v>
      </c>
      <c r="C1591" t="str">
        <f t="shared" si="72"/>
        <v>Small</v>
      </c>
      <c r="D1591">
        <v>4</v>
      </c>
      <c r="E1591">
        <v>2</v>
      </c>
      <c r="F1591">
        <v>3</v>
      </c>
      <c r="G1591">
        <v>1965</v>
      </c>
      <c r="H1591" t="str">
        <f t="shared" si="73"/>
        <v>1950-1975</v>
      </c>
      <c r="I1591" t="s">
        <v>17</v>
      </c>
      <c r="J1591" t="s">
        <v>15</v>
      </c>
      <c r="K1591" t="s">
        <v>16</v>
      </c>
      <c r="L1591" s="4">
        <v>330444</v>
      </c>
      <c r="M1591" t="str">
        <f t="shared" si="74"/>
        <v>Medium</v>
      </c>
    </row>
    <row r="1592" spans="1:13" x14ac:dyDescent="0.35">
      <c r="A1592">
        <v>1591</v>
      </c>
      <c r="B1592">
        <v>4565</v>
      </c>
      <c r="C1592" t="str">
        <f t="shared" si="72"/>
        <v>Extra Large</v>
      </c>
      <c r="D1592">
        <v>3</v>
      </c>
      <c r="E1592">
        <v>4</v>
      </c>
      <c r="F1592">
        <v>2</v>
      </c>
      <c r="G1592">
        <v>1915</v>
      </c>
      <c r="H1592" t="str">
        <f t="shared" si="73"/>
        <v>Pre-1950</v>
      </c>
      <c r="I1592" t="s">
        <v>10</v>
      </c>
      <c r="J1592" t="s">
        <v>15</v>
      </c>
      <c r="K1592" t="s">
        <v>12</v>
      </c>
      <c r="L1592" s="4">
        <v>977070</v>
      </c>
      <c r="M1592" t="str">
        <f t="shared" si="74"/>
        <v>Premium</v>
      </c>
    </row>
    <row r="1593" spans="1:13" x14ac:dyDescent="0.35">
      <c r="A1593">
        <v>1592</v>
      </c>
      <c r="B1593">
        <v>4812</v>
      </c>
      <c r="C1593" t="str">
        <f t="shared" si="72"/>
        <v>Extra Large</v>
      </c>
      <c r="D1593">
        <v>2</v>
      </c>
      <c r="E1593">
        <v>1</v>
      </c>
      <c r="F1593">
        <v>2</v>
      </c>
      <c r="G1593">
        <v>1938</v>
      </c>
      <c r="H1593" t="str">
        <f t="shared" si="73"/>
        <v>Pre-1950</v>
      </c>
      <c r="I1593" t="s">
        <v>17</v>
      </c>
      <c r="J1593" t="s">
        <v>11</v>
      </c>
      <c r="K1593" t="s">
        <v>12</v>
      </c>
      <c r="L1593" s="4">
        <v>450717</v>
      </c>
      <c r="M1593" t="str">
        <f t="shared" si="74"/>
        <v>High</v>
      </c>
    </row>
    <row r="1594" spans="1:13" x14ac:dyDescent="0.35">
      <c r="A1594">
        <v>1593</v>
      </c>
      <c r="B1594">
        <v>4368</v>
      </c>
      <c r="C1594" t="str">
        <f t="shared" si="72"/>
        <v>Extra Large</v>
      </c>
      <c r="D1594">
        <v>5</v>
      </c>
      <c r="E1594">
        <v>4</v>
      </c>
      <c r="F1594">
        <v>2</v>
      </c>
      <c r="G1594">
        <v>1976</v>
      </c>
      <c r="H1594" t="str">
        <f t="shared" si="73"/>
        <v>1976-2000</v>
      </c>
      <c r="I1594" t="s">
        <v>10</v>
      </c>
      <c r="J1594" t="s">
        <v>15</v>
      </c>
      <c r="K1594" t="s">
        <v>12</v>
      </c>
      <c r="L1594" s="4">
        <v>51845</v>
      </c>
      <c r="M1594" t="str">
        <f t="shared" si="74"/>
        <v>Low</v>
      </c>
    </row>
    <row r="1595" spans="1:13" x14ac:dyDescent="0.35">
      <c r="A1595">
        <v>1594</v>
      </c>
      <c r="B1595">
        <v>1708</v>
      </c>
      <c r="C1595" t="str">
        <f t="shared" si="72"/>
        <v>Medium</v>
      </c>
      <c r="D1595">
        <v>2</v>
      </c>
      <c r="E1595">
        <v>3</v>
      </c>
      <c r="F1595">
        <v>1</v>
      </c>
      <c r="G1595">
        <v>1936</v>
      </c>
      <c r="H1595" t="str">
        <f t="shared" si="73"/>
        <v>Pre-1950</v>
      </c>
      <c r="I1595" t="s">
        <v>17</v>
      </c>
      <c r="J1595" t="s">
        <v>11</v>
      </c>
      <c r="K1595" t="s">
        <v>16</v>
      </c>
      <c r="L1595" s="4">
        <v>169342</v>
      </c>
      <c r="M1595" t="str">
        <f t="shared" si="74"/>
        <v>Low</v>
      </c>
    </row>
    <row r="1596" spans="1:13" x14ac:dyDescent="0.35">
      <c r="A1596">
        <v>1595</v>
      </c>
      <c r="B1596">
        <v>3749</v>
      </c>
      <c r="C1596" t="str">
        <f t="shared" si="72"/>
        <v>Large</v>
      </c>
      <c r="D1596">
        <v>3</v>
      </c>
      <c r="E1596">
        <v>1</v>
      </c>
      <c r="F1596">
        <v>2</v>
      </c>
      <c r="G1596">
        <v>1980</v>
      </c>
      <c r="H1596" t="str">
        <f t="shared" si="73"/>
        <v>1976-2000</v>
      </c>
      <c r="I1596" t="s">
        <v>14</v>
      </c>
      <c r="J1596" t="s">
        <v>15</v>
      </c>
      <c r="K1596" t="s">
        <v>16</v>
      </c>
      <c r="L1596" s="4">
        <v>875613</v>
      </c>
      <c r="M1596" t="str">
        <f t="shared" si="74"/>
        <v>Premium</v>
      </c>
    </row>
    <row r="1597" spans="1:13" x14ac:dyDescent="0.35">
      <c r="A1597">
        <v>1596</v>
      </c>
      <c r="B1597">
        <v>1418</v>
      </c>
      <c r="C1597" t="str">
        <f t="shared" si="72"/>
        <v>Medium</v>
      </c>
      <c r="D1597">
        <v>3</v>
      </c>
      <c r="E1597">
        <v>3</v>
      </c>
      <c r="F1597">
        <v>3</v>
      </c>
      <c r="G1597">
        <v>1920</v>
      </c>
      <c r="H1597" t="str">
        <f t="shared" si="73"/>
        <v>Pre-1950</v>
      </c>
      <c r="I1597" t="s">
        <v>17</v>
      </c>
      <c r="J1597" t="s">
        <v>11</v>
      </c>
      <c r="K1597" t="s">
        <v>16</v>
      </c>
      <c r="L1597" s="4">
        <v>500479</v>
      </c>
      <c r="M1597" t="str">
        <f t="shared" si="74"/>
        <v>High</v>
      </c>
    </row>
    <row r="1598" spans="1:13" x14ac:dyDescent="0.35">
      <c r="A1598">
        <v>1597</v>
      </c>
      <c r="B1598">
        <v>4423</v>
      </c>
      <c r="C1598" t="str">
        <f t="shared" si="72"/>
        <v>Extra Large</v>
      </c>
      <c r="D1598">
        <v>2</v>
      </c>
      <c r="E1598">
        <v>4</v>
      </c>
      <c r="F1598">
        <v>3</v>
      </c>
      <c r="G1598">
        <v>1943</v>
      </c>
      <c r="H1598" t="str">
        <f t="shared" si="73"/>
        <v>Pre-1950</v>
      </c>
      <c r="I1598" t="s">
        <v>10</v>
      </c>
      <c r="J1598" t="s">
        <v>11</v>
      </c>
      <c r="K1598" t="s">
        <v>16</v>
      </c>
      <c r="L1598" s="4">
        <v>811654</v>
      </c>
      <c r="M1598" t="str">
        <f t="shared" si="74"/>
        <v>Premium</v>
      </c>
    </row>
    <row r="1599" spans="1:13" x14ac:dyDescent="0.35">
      <c r="A1599">
        <v>1598</v>
      </c>
      <c r="B1599">
        <v>4903</v>
      </c>
      <c r="C1599" t="str">
        <f t="shared" si="72"/>
        <v>Extra Large</v>
      </c>
      <c r="D1599">
        <v>1</v>
      </c>
      <c r="E1599">
        <v>3</v>
      </c>
      <c r="F1599">
        <v>2</v>
      </c>
      <c r="G1599">
        <v>2023</v>
      </c>
      <c r="H1599" t="str">
        <f t="shared" si="73"/>
        <v>Post-2000</v>
      </c>
      <c r="I1599" t="s">
        <v>19</v>
      </c>
      <c r="J1599" t="s">
        <v>11</v>
      </c>
      <c r="K1599" t="s">
        <v>12</v>
      </c>
      <c r="L1599" s="4">
        <v>813292</v>
      </c>
      <c r="M1599" t="str">
        <f t="shared" si="74"/>
        <v>Premium</v>
      </c>
    </row>
    <row r="1600" spans="1:13" x14ac:dyDescent="0.35">
      <c r="A1600">
        <v>1599</v>
      </c>
      <c r="B1600">
        <v>2469</v>
      </c>
      <c r="C1600" t="str">
        <f t="shared" si="72"/>
        <v>Medium</v>
      </c>
      <c r="D1600">
        <v>1</v>
      </c>
      <c r="E1600">
        <v>1</v>
      </c>
      <c r="F1600">
        <v>2</v>
      </c>
      <c r="G1600">
        <v>1918</v>
      </c>
      <c r="H1600" t="str">
        <f t="shared" si="73"/>
        <v>Pre-1950</v>
      </c>
      <c r="I1600" t="s">
        <v>19</v>
      </c>
      <c r="J1600" t="s">
        <v>13</v>
      </c>
      <c r="K1600" t="s">
        <v>16</v>
      </c>
      <c r="L1600" s="4">
        <v>768398</v>
      </c>
      <c r="M1600" t="str">
        <f t="shared" si="74"/>
        <v>Premium</v>
      </c>
    </row>
    <row r="1601" spans="1:13" x14ac:dyDescent="0.35">
      <c r="A1601">
        <v>1600</v>
      </c>
      <c r="B1601">
        <v>3293</v>
      </c>
      <c r="C1601" t="str">
        <f t="shared" si="72"/>
        <v>Large</v>
      </c>
      <c r="D1601">
        <v>1</v>
      </c>
      <c r="E1601">
        <v>3</v>
      </c>
      <c r="F1601">
        <v>2</v>
      </c>
      <c r="G1601">
        <v>1970</v>
      </c>
      <c r="H1601" t="str">
        <f t="shared" si="73"/>
        <v>1950-1975</v>
      </c>
      <c r="I1601" t="s">
        <v>19</v>
      </c>
      <c r="J1601" t="s">
        <v>15</v>
      </c>
      <c r="K1601" t="s">
        <v>16</v>
      </c>
      <c r="L1601" s="4">
        <v>298850</v>
      </c>
      <c r="M1601" t="str">
        <f t="shared" si="74"/>
        <v>Medium</v>
      </c>
    </row>
    <row r="1602" spans="1:13" x14ac:dyDescent="0.35">
      <c r="A1602">
        <v>1601</v>
      </c>
      <c r="B1602">
        <v>1391</v>
      </c>
      <c r="C1602" t="str">
        <f t="shared" si="72"/>
        <v>Medium</v>
      </c>
      <c r="D1602">
        <v>3</v>
      </c>
      <c r="E1602">
        <v>4</v>
      </c>
      <c r="F1602">
        <v>3</v>
      </c>
      <c r="G1602">
        <v>2001</v>
      </c>
      <c r="H1602" t="str">
        <f t="shared" si="73"/>
        <v>Post-2000</v>
      </c>
      <c r="I1602" t="s">
        <v>10</v>
      </c>
      <c r="J1602" t="s">
        <v>18</v>
      </c>
      <c r="K1602" t="s">
        <v>16</v>
      </c>
      <c r="L1602" s="4">
        <v>788650</v>
      </c>
      <c r="M1602" t="str">
        <f t="shared" si="74"/>
        <v>Premium</v>
      </c>
    </row>
    <row r="1603" spans="1:13" x14ac:dyDescent="0.35">
      <c r="A1603">
        <v>1602</v>
      </c>
      <c r="B1603">
        <v>4970</v>
      </c>
      <c r="C1603" t="str">
        <f t="shared" ref="C1603:C1666" si="75">IF(B1603&lt;=1000,"Small",IF(B1603&lt;=2500,"Medium",IF(B1603&lt;=4000,"Large",IF(B1603&gt;=4000,"Extra Large"))))</f>
        <v>Extra Large</v>
      </c>
      <c r="D1603">
        <v>4</v>
      </c>
      <c r="E1603">
        <v>4</v>
      </c>
      <c r="F1603">
        <v>3</v>
      </c>
      <c r="G1603">
        <v>1907</v>
      </c>
      <c r="H1603" t="str">
        <f t="shared" ref="H1603:H1666" si="76">IF(G1603&lt;=1950,"Pre-1950",IF(G1603&lt;=1975,"1950-1975",IF(G1603&lt;=2000,"1976-2000",IF(G1603&gt;=2000,"Post-2000"))))</f>
        <v>Pre-1950</v>
      </c>
      <c r="I1603" t="s">
        <v>17</v>
      </c>
      <c r="J1603" t="s">
        <v>11</v>
      </c>
      <c r="K1603" t="s">
        <v>16</v>
      </c>
      <c r="L1603" s="4">
        <v>297688</v>
      </c>
      <c r="M1603" t="str">
        <f t="shared" ref="M1603:M1666" si="77">IF(L1603&lt;=200000,"Low",IF(L1603&lt;=400000,"Medium",IF(L1603&lt;=600000,"High",IF(L1603&gt;=600000,"Premium",""))))</f>
        <v>Medium</v>
      </c>
    </row>
    <row r="1604" spans="1:13" x14ac:dyDescent="0.35">
      <c r="A1604">
        <v>1603</v>
      </c>
      <c r="B1604">
        <v>2533</v>
      </c>
      <c r="C1604" t="str">
        <f t="shared" si="75"/>
        <v>Large</v>
      </c>
      <c r="D1604">
        <v>3</v>
      </c>
      <c r="E1604">
        <v>4</v>
      </c>
      <c r="F1604">
        <v>1</v>
      </c>
      <c r="G1604">
        <v>1976</v>
      </c>
      <c r="H1604" t="str">
        <f t="shared" si="76"/>
        <v>1976-2000</v>
      </c>
      <c r="I1604" t="s">
        <v>19</v>
      </c>
      <c r="J1604" t="s">
        <v>13</v>
      </c>
      <c r="K1604" t="s">
        <v>12</v>
      </c>
      <c r="L1604" s="4">
        <v>608692</v>
      </c>
      <c r="M1604" t="str">
        <f t="shared" si="77"/>
        <v>Premium</v>
      </c>
    </row>
    <row r="1605" spans="1:13" x14ac:dyDescent="0.35">
      <c r="A1605">
        <v>1604</v>
      </c>
      <c r="B1605">
        <v>1864</v>
      </c>
      <c r="C1605" t="str">
        <f t="shared" si="75"/>
        <v>Medium</v>
      </c>
      <c r="D1605">
        <v>4</v>
      </c>
      <c r="E1605">
        <v>1</v>
      </c>
      <c r="F1605">
        <v>1</v>
      </c>
      <c r="G1605">
        <v>2000</v>
      </c>
      <c r="H1605" t="str">
        <f t="shared" si="76"/>
        <v>1976-2000</v>
      </c>
      <c r="I1605" t="s">
        <v>19</v>
      </c>
      <c r="J1605" t="s">
        <v>18</v>
      </c>
      <c r="K1605" t="s">
        <v>16</v>
      </c>
      <c r="L1605" s="4">
        <v>596852</v>
      </c>
      <c r="M1605" t="str">
        <f t="shared" si="77"/>
        <v>High</v>
      </c>
    </row>
    <row r="1606" spans="1:13" x14ac:dyDescent="0.35">
      <c r="A1606">
        <v>1605</v>
      </c>
      <c r="B1606">
        <v>628</v>
      </c>
      <c r="C1606" t="str">
        <f t="shared" si="75"/>
        <v>Small</v>
      </c>
      <c r="D1606">
        <v>2</v>
      </c>
      <c r="E1606">
        <v>4</v>
      </c>
      <c r="F1606">
        <v>1</v>
      </c>
      <c r="G1606">
        <v>1965</v>
      </c>
      <c r="H1606" t="str">
        <f t="shared" si="76"/>
        <v>1950-1975</v>
      </c>
      <c r="I1606" t="s">
        <v>19</v>
      </c>
      <c r="J1606" t="s">
        <v>11</v>
      </c>
      <c r="K1606" t="s">
        <v>16</v>
      </c>
      <c r="L1606" s="4">
        <v>672186</v>
      </c>
      <c r="M1606" t="str">
        <f t="shared" si="77"/>
        <v>Premium</v>
      </c>
    </row>
    <row r="1607" spans="1:13" x14ac:dyDescent="0.35">
      <c r="A1607">
        <v>1606</v>
      </c>
      <c r="B1607">
        <v>1514</v>
      </c>
      <c r="C1607" t="str">
        <f t="shared" si="75"/>
        <v>Medium</v>
      </c>
      <c r="D1607">
        <v>5</v>
      </c>
      <c r="E1607">
        <v>1</v>
      </c>
      <c r="F1607">
        <v>3</v>
      </c>
      <c r="G1607">
        <v>1940</v>
      </c>
      <c r="H1607" t="str">
        <f t="shared" si="76"/>
        <v>Pre-1950</v>
      </c>
      <c r="I1607" t="s">
        <v>14</v>
      </c>
      <c r="J1607" t="s">
        <v>18</v>
      </c>
      <c r="K1607" t="s">
        <v>16</v>
      </c>
      <c r="L1607" s="4">
        <v>330371</v>
      </c>
      <c r="M1607" t="str">
        <f t="shared" si="77"/>
        <v>Medium</v>
      </c>
    </row>
    <row r="1608" spans="1:13" x14ac:dyDescent="0.35">
      <c r="A1608">
        <v>1607</v>
      </c>
      <c r="B1608">
        <v>2299</v>
      </c>
      <c r="C1608" t="str">
        <f t="shared" si="75"/>
        <v>Medium</v>
      </c>
      <c r="D1608">
        <v>4</v>
      </c>
      <c r="E1608">
        <v>3</v>
      </c>
      <c r="F1608">
        <v>1</v>
      </c>
      <c r="G1608">
        <v>1974</v>
      </c>
      <c r="H1608" t="str">
        <f t="shared" si="76"/>
        <v>1950-1975</v>
      </c>
      <c r="I1608" t="s">
        <v>10</v>
      </c>
      <c r="J1608" t="s">
        <v>13</v>
      </c>
      <c r="K1608" t="s">
        <v>12</v>
      </c>
      <c r="L1608" s="4">
        <v>570919</v>
      </c>
      <c r="M1608" t="str">
        <f t="shared" si="77"/>
        <v>High</v>
      </c>
    </row>
    <row r="1609" spans="1:13" x14ac:dyDescent="0.35">
      <c r="A1609">
        <v>1608</v>
      </c>
      <c r="B1609">
        <v>2018</v>
      </c>
      <c r="C1609" t="str">
        <f t="shared" si="75"/>
        <v>Medium</v>
      </c>
      <c r="D1609">
        <v>1</v>
      </c>
      <c r="E1609">
        <v>4</v>
      </c>
      <c r="F1609">
        <v>2</v>
      </c>
      <c r="G1609">
        <v>1987</v>
      </c>
      <c r="H1609" t="str">
        <f t="shared" si="76"/>
        <v>1976-2000</v>
      </c>
      <c r="I1609" t="s">
        <v>10</v>
      </c>
      <c r="J1609" t="s">
        <v>18</v>
      </c>
      <c r="K1609" t="s">
        <v>16</v>
      </c>
      <c r="L1609" s="4">
        <v>145259</v>
      </c>
      <c r="M1609" t="str">
        <f t="shared" si="77"/>
        <v>Low</v>
      </c>
    </row>
    <row r="1610" spans="1:13" x14ac:dyDescent="0.35">
      <c r="A1610">
        <v>1609</v>
      </c>
      <c r="B1610">
        <v>4681</v>
      </c>
      <c r="C1610" t="str">
        <f t="shared" si="75"/>
        <v>Extra Large</v>
      </c>
      <c r="D1610">
        <v>3</v>
      </c>
      <c r="E1610">
        <v>3</v>
      </c>
      <c r="F1610">
        <v>2</v>
      </c>
      <c r="G1610">
        <v>1969</v>
      </c>
      <c r="H1610" t="str">
        <f t="shared" si="76"/>
        <v>1950-1975</v>
      </c>
      <c r="I1610" t="s">
        <v>10</v>
      </c>
      <c r="J1610" t="s">
        <v>11</v>
      </c>
      <c r="K1610" t="s">
        <v>16</v>
      </c>
      <c r="L1610" s="4">
        <v>174451</v>
      </c>
      <c r="M1610" t="str">
        <f t="shared" si="77"/>
        <v>Low</v>
      </c>
    </row>
    <row r="1611" spans="1:13" x14ac:dyDescent="0.35">
      <c r="A1611">
        <v>1610</v>
      </c>
      <c r="B1611">
        <v>1698</v>
      </c>
      <c r="C1611" t="str">
        <f t="shared" si="75"/>
        <v>Medium</v>
      </c>
      <c r="D1611">
        <v>2</v>
      </c>
      <c r="E1611">
        <v>2</v>
      </c>
      <c r="F1611">
        <v>3</v>
      </c>
      <c r="G1611">
        <v>1960</v>
      </c>
      <c r="H1611" t="str">
        <f t="shared" si="76"/>
        <v>1950-1975</v>
      </c>
      <c r="I1611" t="s">
        <v>10</v>
      </c>
      <c r="J1611" t="s">
        <v>18</v>
      </c>
      <c r="K1611" t="s">
        <v>16</v>
      </c>
      <c r="L1611" s="4">
        <v>490691</v>
      </c>
      <c r="M1611" t="str">
        <f t="shared" si="77"/>
        <v>High</v>
      </c>
    </row>
    <row r="1612" spans="1:13" x14ac:dyDescent="0.35">
      <c r="A1612">
        <v>1611</v>
      </c>
      <c r="B1612">
        <v>4373</v>
      </c>
      <c r="C1612" t="str">
        <f t="shared" si="75"/>
        <v>Extra Large</v>
      </c>
      <c r="D1612">
        <v>1</v>
      </c>
      <c r="E1612">
        <v>3</v>
      </c>
      <c r="F1612">
        <v>1</v>
      </c>
      <c r="G1612">
        <v>1925</v>
      </c>
      <c r="H1612" t="str">
        <f t="shared" si="76"/>
        <v>Pre-1950</v>
      </c>
      <c r="I1612" t="s">
        <v>10</v>
      </c>
      <c r="J1612" t="s">
        <v>18</v>
      </c>
      <c r="K1612" t="s">
        <v>12</v>
      </c>
      <c r="L1612" s="4">
        <v>67215</v>
      </c>
      <c r="M1612" t="str">
        <f t="shared" si="77"/>
        <v>Low</v>
      </c>
    </row>
    <row r="1613" spans="1:13" x14ac:dyDescent="0.35">
      <c r="A1613">
        <v>1612</v>
      </c>
      <c r="B1613">
        <v>2974</v>
      </c>
      <c r="C1613" t="str">
        <f t="shared" si="75"/>
        <v>Large</v>
      </c>
      <c r="D1613">
        <v>2</v>
      </c>
      <c r="E1613">
        <v>2</v>
      </c>
      <c r="F1613">
        <v>2</v>
      </c>
      <c r="G1613">
        <v>1970</v>
      </c>
      <c r="H1613" t="str">
        <f t="shared" si="76"/>
        <v>1950-1975</v>
      </c>
      <c r="I1613" t="s">
        <v>14</v>
      </c>
      <c r="J1613" t="s">
        <v>11</v>
      </c>
      <c r="K1613" t="s">
        <v>12</v>
      </c>
      <c r="L1613" s="4">
        <v>180577</v>
      </c>
      <c r="M1613" t="str">
        <f t="shared" si="77"/>
        <v>Low</v>
      </c>
    </row>
    <row r="1614" spans="1:13" x14ac:dyDescent="0.35">
      <c r="A1614">
        <v>1613</v>
      </c>
      <c r="B1614">
        <v>3985</v>
      </c>
      <c r="C1614" t="str">
        <f t="shared" si="75"/>
        <v>Large</v>
      </c>
      <c r="D1614">
        <v>5</v>
      </c>
      <c r="E1614">
        <v>3</v>
      </c>
      <c r="F1614">
        <v>3</v>
      </c>
      <c r="G1614">
        <v>2020</v>
      </c>
      <c r="H1614" t="str">
        <f t="shared" si="76"/>
        <v>Post-2000</v>
      </c>
      <c r="I1614" t="s">
        <v>17</v>
      </c>
      <c r="J1614" t="s">
        <v>13</v>
      </c>
      <c r="K1614" t="s">
        <v>16</v>
      </c>
      <c r="L1614" s="4">
        <v>832680</v>
      </c>
      <c r="M1614" t="str">
        <f t="shared" si="77"/>
        <v>Premium</v>
      </c>
    </row>
    <row r="1615" spans="1:13" x14ac:dyDescent="0.35">
      <c r="A1615">
        <v>1614</v>
      </c>
      <c r="B1615">
        <v>4549</v>
      </c>
      <c r="C1615" t="str">
        <f t="shared" si="75"/>
        <v>Extra Large</v>
      </c>
      <c r="D1615">
        <v>3</v>
      </c>
      <c r="E1615">
        <v>1</v>
      </c>
      <c r="F1615">
        <v>1</v>
      </c>
      <c r="G1615">
        <v>2002</v>
      </c>
      <c r="H1615" t="str">
        <f t="shared" si="76"/>
        <v>Post-2000</v>
      </c>
      <c r="I1615" t="s">
        <v>14</v>
      </c>
      <c r="J1615" t="s">
        <v>13</v>
      </c>
      <c r="K1615" t="s">
        <v>16</v>
      </c>
      <c r="L1615" s="4">
        <v>121074</v>
      </c>
      <c r="M1615" t="str">
        <f t="shared" si="77"/>
        <v>Low</v>
      </c>
    </row>
    <row r="1616" spans="1:13" x14ac:dyDescent="0.35">
      <c r="A1616">
        <v>1615</v>
      </c>
      <c r="B1616">
        <v>4219</v>
      </c>
      <c r="C1616" t="str">
        <f t="shared" si="75"/>
        <v>Extra Large</v>
      </c>
      <c r="D1616">
        <v>3</v>
      </c>
      <c r="E1616">
        <v>3</v>
      </c>
      <c r="F1616">
        <v>2</v>
      </c>
      <c r="G1616">
        <v>1982</v>
      </c>
      <c r="H1616" t="str">
        <f t="shared" si="76"/>
        <v>1976-2000</v>
      </c>
      <c r="I1616" t="s">
        <v>19</v>
      </c>
      <c r="J1616" t="s">
        <v>18</v>
      </c>
      <c r="K1616" t="s">
        <v>12</v>
      </c>
      <c r="L1616" s="4">
        <v>989203</v>
      </c>
      <c r="M1616" t="str">
        <f t="shared" si="77"/>
        <v>Premium</v>
      </c>
    </row>
    <row r="1617" spans="1:13" x14ac:dyDescent="0.35">
      <c r="A1617">
        <v>1616</v>
      </c>
      <c r="B1617">
        <v>802</v>
      </c>
      <c r="C1617" t="str">
        <f t="shared" si="75"/>
        <v>Small</v>
      </c>
      <c r="D1617">
        <v>5</v>
      </c>
      <c r="E1617">
        <v>1</v>
      </c>
      <c r="F1617">
        <v>1</v>
      </c>
      <c r="G1617">
        <v>1969</v>
      </c>
      <c r="H1617" t="str">
        <f t="shared" si="76"/>
        <v>1950-1975</v>
      </c>
      <c r="I1617" t="s">
        <v>14</v>
      </c>
      <c r="J1617" t="s">
        <v>15</v>
      </c>
      <c r="K1617" t="s">
        <v>12</v>
      </c>
      <c r="L1617" s="4">
        <v>682909</v>
      </c>
      <c r="M1617" t="str">
        <f t="shared" si="77"/>
        <v>Premium</v>
      </c>
    </row>
    <row r="1618" spans="1:13" x14ac:dyDescent="0.35">
      <c r="A1618">
        <v>1617</v>
      </c>
      <c r="B1618">
        <v>4452</v>
      </c>
      <c r="C1618" t="str">
        <f t="shared" si="75"/>
        <v>Extra Large</v>
      </c>
      <c r="D1618">
        <v>3</v>
      </c>
      <c r="E1618">
        <v>1</v>
      </c>
      <c r="F1618">
        <v>3</v>
      </c>
      <c r="G1618">
        <v>2006</v>
      </c>
      <c r="H1618" t="str">
        <f t="shared" si="76"/>
        <v>Post-2000</v>
      </c>
      <c r="I1618" t="s">
        <v>10</v>
      </c>
      <c r="J1618" t="s">
        <v>18</v>
      </c>
      <c r="K1618" t="s">
        <v>12</v>
      </c>
      <c r="L1618" s="4">
        <v>979958</v>
      </c>
      <c r="M1618" t="str">
        <f t="shared" si="77"/>
        <v>Premium</v>
      </c>
    </row>
    <row r="1619" spans="1:13" x14ac:dyDescent="0.35">
      <c r="A1619">
        <v>1618</v>
      </c>
      <c r="B1619">
        <v>1486</v>
      </c>
      <c r="C1619" t="str">
        <f t="shared" si="75"/>
        <v>Medium</v>
      </c>
      <c r="D1619">
        <v>4</v>
      </c>
      <c r="E1619">
        <v>4</v>
      </c>
      <c r="F1619">
        <v>1</v>
      </c>
      <c r="G1619">
        <v>1928</v>
      </c>
      <c r="H1619" t="str">
        <f t="shared" si="76"/>
        <v>Pre-1950</v>
      </c>
      <c r="I1619" t="s">
        <v>14</v>
      </c>
      <c r="J1619" t="s">
        <v>15</v>
      </c>
      <c r="K1619" t="s">
        <v>12</v>
      </c>
      <c r="L1619" s="4">
        <v>753577</v>
      </c>
      <c r="M1619" t="str">
        <f t="shared" si="77"/>
        <v>Premium</v>
      </c>
    </row>
    <row r="1620" spans="1:13" x14ac:dyDescent="0.35">
      <c r="A1620">
        <v>1619</v>
      </c>
      <c r="B1620">
        <v>2363</v>
      </c>
      <c r="C1620" t="str">
        <f t="shared" si="75"/>
        <v>Medium</v>
      </c>
      <c r="D1620">
        <v>2</v>
      </c>
      <c r="E1620">
        <v>1</v>
      </c>
      <c r="F1620">
        <v>3</v>
      </c>
      <c r="G1620">
        <v>2006</v>
      </c>
      <c r="H1620" t="str">
        <f t="shared" si="76"/>
        <v>Post-2000</v>
      </c>
      <c r="I1620" t="s">
        <v>10</v>
      </c>
      <c r="J1620" t="s">
        <v>18</v>
      </c>
      <c r="K1620" t="s">
        <v>12</v>
      </c>
      <c r="L1620" s="4">
        <v>156759</v>
      </c>
      <c r="M1620" t="str">
        <f t="shared" si="77"/>
        <v>Low</v>
      </c>
    </row>
    <row r="1621" spans="1:13" x14ac:dyDescent="0.35">
      <c r="A1621">
        <v>1620</v>
      </c>
      <c r="B1621">
        <v>4940</v>
      </c>
      <c r="C1621" t="str">
        <f t="shared" si="75"/>
        <v>Extra Large</v>
      </c>
      <c r="D1621">
        <v>1</v>
      </c>
      <c r="E1621">
        <v>2</v>
      </c>
      <c r="F1621">
        <v>1</v>
      </c>
      <c r="G1621">
        <v>2002</v>
      </c>
      <c r="H1621" t="str">
        <f t="shared" si="76"/>
        <v>Post-2000</v>
      </c>
      <c r="I1621" t="s">
        <v>14</v>
      </c>
      <c r="J1621" t="s">
        <v>13</v>
      </c>
      <c r="K1621" t="s">
        <v>16</v>
      </c>
      <c r="L1621" s="4">
        <v>178471</v>
      </c>
      <c r="M1621" t="str">
        <f t="shared" si="77"/>
        <v>Low</v>
      </c>
    </row>
    <row r="1622" spans="1:13" x14ac:dyDescent="0.35">
      <c r="A1622">
        <v>1621</v>
      </c>
      <c r="B1622">
        <v>3572</v>
      </c>
      <c r="C1622" t="str">
        <f t="shared" si="75"/>
        <v>Large</v>
      </c>
      <c r="D1622">
        <v>5</v>
      </c>
      <c r="E1622">
        <v>4</v>
      </c>
      <c r="F1622">
        <v>2</v>
      </c>
      <c r="G1622">
        <v>1965</v>
      </c>
      <c r="H1622" t="str">
        <f t="shared" si="76"/>
        <v>1950-1975</v>
      </c>
      <c r="I1622" t="s">
        <v>10</v>
      </c>
      <c r="J1622" t="s">
        <v>18</v>
      </c>
      <c r="K1622" t="s">
        <v>16</v>
      </c>
      <c r="L1622" s="4">
        <v>858143</v>
      </c>
      <c r="M1622" t="str">
        <f t="shared" si="77"/>
        <v>Premium</v>
      </c>
    </row>
    <row r="1623" spans="1:13" x14ac:dyDescent="0.35">
      <c r="A1623">
        <v>1622</v>
      </c>
      <c r="B1623">
        <v>3624</v>
      </c>
      <c r="C1623" t="str">
        <f t="shared" si="75"/>
        <v>Large</v>
      </c>
      <c r="D1623">
        <v>4</v>
      </c>
      <c r="E1623">
        <v>4</v>
      </c>
      <c r="F1623">
        <v>3</v>
      </c>
      <c r="G1623">
        <v>1918</v>
      </c>
      <c r="H1623" t="str">
        <f t="shared" si="76"/>
        <v>Pre-1950</v>
      </c>
      <c r="I1623" t="s">
        <v>19</v>
      </c>
      <c r="J1623" t="s">
        <v>18</v>
      </c>
      <c r="K1623" t="s">
        <v>16</v>
      </c>
      <c r="L1623" s="4">
        <v>458275</v>
      </c>
      <c r="M1623" t="str">
        <f t="shared" si="77"/>
        <v>High</v>
      </c>
    </row>
    <row r="1624" spans="1:13" x14ac:dyDescent="0.35">
      <c r="A1624">
        <v>1623</v>
      </c>
      <c r="B1624">
        <v>1827</v>
      </c>
      <c r="C1624" t="str">
        <f t="shared" si="75"/>
        <v>Medium</v>
      </c>
      <c r="D1624">
        <v>1</v>
      </c>
      <c r="E1624">
        <v>3</v>
      </c>
      <c r="F1624">
        <v>3</v>
      </c>
      <c r="G1624">
        <v>1967</v>
      </c>
      <c r="H1624" t="str">
        <f t="shared" si="76"/>
        <v>1950-1975</v>
      </c>
      <c r="I1624" t="s">
        <v>10</v>
      </c>
      <c r="J1624" t="s">
        <v>15</v>
      </c>
      <c r="K1624" t="s">
        <v>16</v>
      </c>
      <c r="L1624" s="4">
        <v>622686</v>
      </c>
      <c r="M1624" t="str">
        <f t="shared" si="77"/>
        <v>Premium</v>
      </c>
    </row>
    <row r="1625" spans="1:13" x14ac:dyDescent="0.35">
      <c r="A1625">
        <v>1624</v>
      </c>
      <c r="B1625">
        <v>2908</v>
      </c>
      <c r="C1625" t="str">
        <f t="shared" si="75"/>
        <v>Large</v>
      </c>
      <c r="D1625">
        <v>1</v>
      </c>
      <c r="E1625">
        <v>1</v>
      </c>
      <c r="F1625">
        <v>3</v>
      </c>
      <c r="G1625">
        <v>1957</v>
      </c>
      <c r="H1625" t="str">
        <f t="shared" si="76"/>
        <v>1950-1975</v>
      </c>
      <c r="I1625" t="s">
        <v>14</v>
      </c>
      <c r="J1625" t="s">
        <v>13</v>
      </c>
      <c r="K1625" t="s">
        <v>12</v>
      </c>
      <c r="L1625" s="4">
        <v>837718</v>
      </c>
      <c r="M1625" t="str">
        <f t="shared" si="77"/>
        <v>Premium</v>
      </c>
    </row>
    <row r="1626" spans="1:13" x14ac:dyDescent="0.35">
      <c r="A1626">
        <v>1625</v>
      </c>
      <c r="B1626">
        <v>4173</v>
      </c>
      <c r="C1626" t="str">
        <f t="shared" si="75"/>
        <v>Extra Large</v>
      </c>
      <c r="D1626">
        <v>5</v>
      </c>
      <c r="E1626">
        <v>1</v>
      </c>
      <c r="F1626">
        <v>1</v>
      </c>
      <c r="G1626">
        <v>1969</v>
      </c>
      <c r="H1626" t="str">
        <f t="shared" si="76"/>
        <v>1950-1975</v>
      </c>
      <c r="I1626" t="s">
        <v>19</v>
      </c>
      <c r="J1626" t="s">
        <v>15</v>
      </c>
      <c r="K1626" t="s">
        <v>12</v>
      </c>
      <c r="L1626" s="4">
        <v>215369</v>
      </c>
      <c r="M1626" t="str">
        <f t="shared" si="77"/>
        <v>Medium</v>
      </c>
    </row>
    <row r="1627" spans="1:13" x14ac:dyDescent="0.35">
      <c r="A1627">
        <v>1626</v>
      </c>
      <c r="B1627">
        <v>3791</v>
      </c>
      <c r="C1627" t="str">
        <f t="shared" si="75"/>
        <v>Large</v>
      </c>
      <c r="D1627">
        <v>4</v>
      </c>
      <c r="E1627">
        <v>2</v>
      </c>
      <c r="F1627">
        <v>1</v>
      </c>
      <c r="G1627">
        <v>2012</v>
      </c>
      <c r="H1627" t="str">
        <f t="shared" si="76"/>
        <v>Post-2000</v>
      </c>
      <c r="I1627" t="s">
        <v>14</v>
      </c>
      <c r="J1627" t="s">
        <v>18</v>
      </c>
      <c r="K1627" t="s">
        <v>12</v>
      </c>
      <c r="L1627" s="4">
        <v>682592</v>
      </c>
      <c r="M1627" t="str">
        <f t="shared" si="77"/>
        <v>Premium</v>
      </c>
    </row>
    <row r="1628" spans="1:13" x14ac:dyDescent="0.35">
      <c r="A1628">
        <v>1627</v>
      </c>
      <c r="B1628">
        <v>4533</v>
      </c>
      <c r="C1628" t="str">
        <f t="shared" si="75"/>
        <v>Extra Large</v>
      </c>
      <c r="D1628">
        <v>1</v>
      </c>
      <c r="E1628">
        <v>3</v>
      </c>
      <c r="F1628">
        <v>2</v>
      </c>
      <c r="G1628">
        <v>1956</v>
      </c>
      <c r="H1628" t="str">
        <f t="shared" si="76"/>
        <v>1950-1975</v>
      </c>
      <c r="I1628" t="s">
        <v>19</v>
      </c>
      <c r="J1628" t="s">
        <v>11</v>
      </c>
      <c r="K1628" t="s">
        <v>12</v>
      </c>
      <c r="L1628" s="4">
        <v>154959</v>
      </c>
      <c r="M1628" t="str">
        <f t="shared" si="77"/>
        <v>Low</v>
      </c>
    </row>
    <row r="1629" spans="1:13" x14ac:dyDescent="0.35">
      <c r="A1629">
        <v>1628</v>
      </c>
      <c r="B1629">
        <v>1203</v>
      </c>
      <c r="C1629" t="str">
        <f t="shared" si="75"/>
        <v>Medium</v>
      </c>
      <c r="D1629">
        <v>1</v>
      </c>
      <c r="E1629">
        <v>3</v>
      </c>
      <c r="F1629">
        <v>3</v>
      </c>
      <c r="G1629">
        <v>1936</v>
      </c>
      <c r="H1629" t="str">
        <f t="shared" si="76"/>
        <v>Pre-1950</v>
      </c>
      <c r="I1629" t="s">
        <v>17</v>
      </c>
      <c r="J1629" t="s">
        <v>18</v>
      </c>
      <c r="K1629" t="s">
        <v>12</v>
      </c>
      <c r="L1629" s="4">
        <v>289317</v>
      </c>
      <c r="M1629" t="str">
        <f t="shared" si="77"/>
        <v>Medium</v>
      </c>
    </row>
    <row r="1630" spans="1:13" x14ac:dyDescent="0.35">
      <c r="A1630">
        <v>1629</v>
      </c>
      <c r="B1630">
        <v>1074</v>
      </c>
      <c r="C1630" t="str">
        <f t="shared" si="75"/>
        <v>Medium</v>
      </c>
      <c r="D1630">
        <v>4</v>
      </c>
      <c r="E1630">
        <v>4</v>
      </c>
      <c r="F1630">
        <v>3</v>
      </c>
      <c r="G1630">
        <v>1960</v>
      </c>
      <c r="H1630" t="str">
        <f t="shared" si="76"/>
        <v>1950-1975</v>
      </c>
      <c r="I1630" t="s">
        <v>17</v>
      </c>
      <c r="J1630" t="s">
        <v>18</v>
      </c>
      <c r="K1630" t="s">
        <v>16</v>
      </c>
      <c r="L1630" s="4">
        <v>731845</v>
      </c>
      <c r="M1630" t="str">
        <f t="shared" si="77"/>
        <v>Premium</v>
      </c>
    </row>
    <row r="1631" spans="1:13" x14ac:dyDescent="0.35">
      <c r="A1631">
        <v>1630</v>
      </c>
      <c r="B1631">
        <v>3732</v>
      </c>
      <c r="C1631" t="str">
        <f t="shared" si="75"/>
        <v>Large</v>
      </c>
      <c r="D1631">
        <v>3</v>
      </c>
      <c r="E1631">
        <v>4</v>
      </c>
      <c r="F1631">
        <v>1</v>
      </c>
      <c r="G1631">
        <v>1991</v>
      </c>
      <c r="H1631" t="str">
        <f t="shared" si="76"/>
        <v>1976-2000</v>
      </c>
      <c r="I1631" t="s">
        <v>17</v>
      </c>
      <c r="J1631" t="s">
        <v>15</v>
      </c>
      <c r="K1631" t="s">
        <v>16</v>
      </c>
      <c r="L1631" s="4">
        <v>372111</v>
      </c>
      <c r="M1631" t="str">
        <f t="shared" si="77"/>
        <v>Medium</v>
      </c>
    </row>
    <row r="1632" spans="1:13" x14ac:dyDescent="0.35">
      <c r="A1632">
        <v>1631</v>
      </c>
      <c r="B1632">
        <v>3132</v>
      </c>
      <c r="C1632" t="str">
        <f t="shared" si="75"/>
        <v>Large</v>
      </c>
      <c r="D1632">
        <v>1</v>
      </c>
      <c r="E1632">
        <v>4</v>
      </c>
      <c r="F1632">
        <v>1</v>
      </c>
      <c r="G1632">
        <v>1929</v>
      </c>
      <c r="H1632" t="str">
        <f t="shared" si="76"/>
        <v>Pre-1950</v>
      </c>
      <c r="I1632" t="s">
        <v>14</v>
      </c>
      <c r="J1632" t="s">
        <v>11</v>
      </c>
      <c r="K1632" t="s">
        <v>16</v>
      </c>
      <c r="L1632" s="4">
        <v>934235</v>
      </c>
      <c r="M1632" t="str">
        <f t="shared" si="77"/>
        <v>Premium</v>
      </c>
    </row>
    <row r="1633" spans="1:13" x14ac:dyDescent="0.35">
      <c r="A1633">
        <v>1632</v>
      </c>
      <c r="B1633">
        <v>4328</v>
      </c>
      <c r="C1633" t="str">
        <f t="shared" si="75"/>
        <v>Extra Large</v>
      </c>
      <c r="D1633">
        <v>2</v>
      </c>
      <c r="E1633">
        <v>2</v>
      </c>
      <c r="F1633">
        <v>2</v>
      </c>
      <c r="G1633">
        <v>1970</v>
      </c>
      <c r="H1633" t="str">
        <f t="shared" si="76"/>
        <v>1950-1975</v>
      </c>
      <c r="I1633" t="s">
        <v>14</v>
      </c>
      <c r="J1633" t="s">
        <v>11</v>
      </c>
      <c r="K1633" t="s">
        <v>16</v>
      </c>
      <c r="L1633" s="4">
        <v>179745</v>
      </c>
      <c r="M1633" t="str">
        <f t="shared" si="77"/>
        <v>Low</v>
      </c>
    </row>
    <row r="1634" spans="1:13" x14ac:dyDescent="0.35">
      <c r="A1634">
        <v>1633</v>
      </c>
      <c r="B1634">
        <v>3730</v>
      </c>
      <c r="C1634" t="str">
        <f t="shared" si="75"/>
        <v>Large</v>
      </c>
      <c r="D1634">
        <v>4</v>
      </c>
      <c r="E1634">
        <v>2</v>
      </c>
      <c r="F1634">
        <v>2</v>
      </c>
      <c r="G1634">
        <v>1972</v>
      </c>
      <c r="H1634" t="str">
        <f t="shared" si="76"/>
        <v>1950-1975</v>
      </c>
      <c r="I1634" t="s">
        <v>19</v>
      </c>
      <c r="J1634" t="s">
        <v>15</v>
      </c>
      <c r="K1634" t="s">
        <v>16</v>
      </c>
      <c r="L1634" s="4">
        <v>104583</v>
      </c>
      <c r="M1634" t="str">
        <f t="shared" si="77"/>
        <v>Low</v>
      </c>
    </row>
    <row r="1635" spans="1:13" x14ac:dyDescent="0.35">
      <c r="A1635">
        <v>1634</v>
      </c>
      <c r="B1635">
        <v>988</v>
      </c>
      <c r="C1635" t="str">
        <f t="shared" si="75"/>
        <v>Small</v>
      </c>
      <c r="D1635">
        <v>1</v>
      </c>
      <c r="E1635">
        <v>4</v>
      </c>
      <c r="F1635">
        <v>1</v>
      </c>
      <c r="G1635">
        <v>1924</v>
      </c>
      <c r="H1635" t="str">
        <f t="shared" si="76"/>
        <v>Pre-1950</v>
      </c>
      <c r="I1635" t="s">
        <v>19</v>
      </c>
      <c r="J1635" t="s">
        <v>13</v>
      </c>
      <c r="K1635" t="s">
        <v>12</v>
      </c>
      <c r="L1635" s="4">
        <v>698365</v>
      </c>
      <c r="M1635" t="str">
        <f t="shared" si="77"/>
        <v>Premium</v>
      </c>
    </row>
    <row r="1636" spans="1:13" x14ac:dyDescent="0.35">
      <c r="A1636">
        <v>1635</v>
      </c>
      <c r="B1636">
        <v>1847</v>
      </c>
      <c r="C1636" t="str">
        <f t="shared" si="75"/>
        <v>Medium</v>
      </c>
      <c r="D1636">
        <v>5</v>
      </c>
      <c r="E1636">
        <v>3</v>
      </c>
      <c r="F1636">
        <v>3</v>
      </c>
      <c r="G1636">
        <v>1996</v>
      </c>
      <c r="H1636" t="str">
        <f t="shared" si="76"/>
        <v>1976-2000</v>
      </c>
      <c r="I1636" t="s">
        <v>19</v>
      </c>
      <c r="J1636" t="s">
        <v>11</v>
      </c>
      <c r="K1636" t="s">
        <v>12</v>
      </c>
      <c r="L1636" s="4">
        <v>494846</v>
      </c>
      <c r="M1636" t="str">
        <f t="shared" si="77"/>
        <v>High</v>
      </c>
    </row>
    <row r="1637" spans="1:13" x14ac:dyDescent="0.35">
      <c r="A1637">
        <v>1636</v>
      </c>
      <c r="B1637">
        <v>4181</v>
      </c>
      <c r="C1637" t="str">
        <f t="shared" si="75"/>
        <v>Extra Large</v>
      </c>
      <c r="D1637">
        <v>2</v>
      </c>
      <c r="E1637">
        <v>2</v>
      </c>
      <c r="F1637">
        <v>2</v>
      </c>
      <c r="G1637">
        <v>1964</v>
      </c>
      <c r="H1637" t="str">
        <f t="shared" si="76"/>
        <v>1950-1975</v>
      </c>
      <c r="I1637" t="s">
        <v>19</v>
      </c>
      <c r="J1637" t="s">
        <v>11</v>
      </c>
      <c r="K1637" t="s">
        <v>12</v>
      </c>
      <c r="L1637" s="4">
        <v>161359</v>
      </c>
      <c r="M1637" t="str">
        <f t="shared" si="77"/>
        <v>Low</v>
      </c>
    </row>
    <row r="1638" spans="1:13" x14ac:dyDescent="0.35">
      <c r="A1638">
        <v>1637</v>
      </c>
      <c r="B1638">
        <v>3673</v>
      </c>
      <c r="C1638" t="str">
        <f t="shared" si="75"/>
        <v>Large</v>
      </c>
      <c r="D1638">
        <v>1</v>
      </c>
      <c r="E1638">
        <v>3</v>
      </c>
      <c r="F1638">
        <v>1</v>
      </c>
      <c r="G1638">
        <v>2014</v>
      </c>
      <c r="H1638" t="str">
        <f t="shared" si="76"/>
        <v>Post-2000</v>
      </c>
      <c r="I1638" t="s">
        <v>10</v>
      </c>
      <c r="J1638" t="s">
        <v>15</v>
      </c>
      <c r="K1638" t="s">
        <v>12</v>
      </c>
      <c r="L1638" s="4">
        <v>601374</v>
      </c>
      <c r="M1638" t="str">
        <f t="shared" si="77"/>
        <v>Premium</v>
      </c>
    </row>
    <row r="1639" spans="1:13" x14ac:dyDescent="0.35">
      <c r="A1639">
        <v>1638</v>
      </c>
      <c r="B1639">
        <v>2167</v>
      </c>
      <c r="C1639" t="str">
        <f t="shared" si="75"/>
        <v>Medium</v>
      </c>
      <c r="D1639">
        <v>2</v>
      </c>
      <c r="E1639">
        <v>3</v>
      </c>
      <c r="F1639">
        <v>1</v>
      </c>
      <c r="G1639">
        <v>1905</v>
      </c>
      <c r="H1639" t="str">
        <f t="shared" si="76"/>
        <v>Pre-1950</v>
      </c>
      <c r="I1639" t="s">
        <v>17</v>
      </c>
      <c r="J1639" t="s">
        <v>13</v>
      </c>
      <c r="K1639" t="s">
        <v>12</v>
      </c>
      <c r="L1639" s="4">
        <v>721844</v>
      </c>
      <c r="M1639" t="str">
        <f t="shared" si="77"/>
        <v>Premium</v>
      </c>
    </row>
    <row r="1640" spans="1:13" x14ac:dyDescent="0.35">
      <c r="A1640">
        <v>1639</v>
      </c>
      <c r="B1640">
        <v>2137</v>
      </c>
      <c r="C1640" t="str">
        <f t="shared" si="75"/>
        <v>Medium</v>
      </c>
      <c r="D1640">
        <v>2</v>
      </c>
      <c r="E1640">
        <v>1</v>
      </c>
      <c r="F1640">
        <v>3</v>
      </c>
      <c r="G1640">
        <v>1917</v>
      </c>
      <c r="H1640" t="str">
        <f t="shared" si="76"/>
        <v>Pre-1950</v>
      </c>
      <c r="I1640" t="s">
        <v>10</v>
      </c>
      <c r="J1640" t="s">
        <v>13</v>
      </c>
      <c r="K1640" t="s">
        <v>16</v>
      </c>
      <c r="L1640" s="4">
        <v>773983</v>
      </c>
      <c r="M1640" t="str">
        <f t="shared" si="77"/>
        <v>Premium</v>
      </c>
    </row>
    <row r="1641" spans="1:13" x14ac:dyDescent="0.35">
      <c r="A1641">
        <v>1640</v>
      </c>
      <c r="B1641">
        <v>4614</v>
      </c>
      <c r="C1641" t="str">
        <f t="shared" si="75"/>
        <v>Extra Large</v>
      </c>
      <c r="D1641">
        <v>3</v>
      </c>
      <c r="E1641">
        <v>4</v>
      </c>
      <c r="F1641">
        <v>1</v>
      </c>
      <c r="G1641">
        <v>1909</v>
      </c>
      <c r="H1641" t="str">
        <f t="shared" si="76"/>
        <v>Pre-1950</v>
      </c>
      <c r="I1641" t="s">
        <v>10</v>
      </c>
      <c r="J1641" t="s">
        <v>18</v>
      </c>
      <c r="K1641" t="s">
        <v>16</v>
      </c>
      <c r="L1641" s="4">
        <v>678420</v>
      </c>
      <c r="M1641" t="str">
        <f t="shared" si="77"/>
        <v>Premium</v>
      </c>
    </row>
    <row r="1642" spans="1:13" x14ac:dyDescent="0.35">
      <c r="A1642">
        <v>1641</v>
      </c>
      <c r="B1642">
        <v>4053</v>
      </c>
      <c r="C1642" t="str">
        <f t="shared" si="75"/>
        <v>Extra Large</v>
      </c>
      <c r="D1642">
        <v>2</v>
      </c>
      <c r="E1642">
        <v>1</v>
      </c>
      <c r="F1642">
        <v>1</v>
      </c>
      <c r="G1642">
        <v>1991</v>
      </c>
      <c r="H1642" t="str">
        <f t="shared" si="76"/>
        <v>1976-2000</v>
      </c>
      <c r="I1642" t="s">
        <v>10</v>
      </c>
      <c r="J1642" t="s">
        <v>18</v>
      </c>
      <c r="K1642" t="s">
        <v>16</v>
      </c>
      <c r="L1642" s="4">
        <v>565329</v>
      </c>
      <c r="M1642" t="str">
        <f t="shared" si="77"/>
        <v>High</v>
      </c>
    </row>
    <row r="1643" spans="1:13" x14ac:dyDescent="0.35">
      <c r="A1643">
        <v>1642</v>
      </c>
      <c r="B1643">
        <v>1500</v>
      </c>
      <c r="C1643" t="str">
        <f t="shared" si="75"/>
        <v>Medium</v>
      </c>
      <c r="D1643">
        <v>3</v>
      </c>
      <c r="E1643">
        <v>4</v>
      </c>
      <c r="F1643">
        <v>2</v>
      </c>
      <c r="G1643">
        <v>1910</v>
      </c>
      <c r="H1643" t="str">
        <f t="shared" si="76"/>
        <v>Pre-1950</v>
      </c>
      <c r="I1643" t="s">
        <v>10</v>
      </c>
      <c r="J1643" t="s">
        <v>15</v>
      </c>
      <c r="K1643" t="s">
        <v>12</v>
      </c>
      <c r="L1643" s="4">
        <v>109263</v>
      </c>
      <c r="M1643" t="str">
        <f t="shared" si="77"/>
        <v>Low</v>
      </c>
    </row>
    <row r="1644" spans="1:13" x14ac:dyDescent="0.35">
      <c r="A1644">
        <v>1643</v>
      </c>
      <c r="B1644">
        <v>1350</v>
      </c>
      <c r="C1644" t="str">
        <f t="shared" si="75"/>
        <v>Medium</v>
      </c>
      <c r="D1644">
        <v>4</v>
      </c>
      <c r="E1644">
        <v>4</v>
      </c>
      <c r="F1644">
        <v>1</v>
      </c>
      <c r="G1644">
        <v>1996</v>
      </c>
      <c r="H1644" t="str">
        <f t="shared" si="76"/>
        <v>1976-2000</v>
      </c>
      <c r="I1644" t="s">
        <v>17</v>
      </c>
      <c r="J1644" t="s">
        <v>13</v>
      </c>
      <c r="K1644" t="s">
        <v>12</v>
      </c>
      <c r="L1644" s="4">
        <v>724035</v>
      </c>
      <c r="M1644" t="str">
        <f t="shared" si="77"/>
        <v>Premium</v>
      </c>
    </row>
    <row r="1645" spans="1:13" x14ac:dyDescent="0.35">
      <c r="A1645">
        <v>1644</v>
      </c>
      <c r="B1645">
        <v>1888</v>
      </c>
      <c r="C1645" t="str">
        <f t="shared" si="75"/>
        <v>Medium</v>
      </c>
      <c r="D1645">
        <v>3</v>
      </c>
      <c r="E1645">
        <v>3</v>
      </c>
      <c r="F1645">
        <v>1</v>
      </c>
      <c r="G1645">
        <v>1964</v>
      </c>
      <c r="H1645" t="str">
        <f t="shared" si="76"/>
        <v>1950-1975</v>
      </c>
      <c r="I1645" t="s">
        <v>10</v>
      </c>
      <c r="J1645" t="s">
        <v>15</v>
      </c>
      <c r="K1645" t="s">
        <v>12</v>
      </c>
      <c r="L1645" s="4">
        <v>956587</v>
      </c>
      <c r="M1645" t="str">
        <f t="shared" si="77"/>
        <v>Premium</v>
      </c>
    </row>
    <row r="1646" spans="1:13" x14ac:dyDescent="0.35">
      <c r="A1646">
        <v>1645</v>
      </c>
      <c r="B1646">
        <v>4212</v>
      </c>
      <c r="C1646" t="str">
        <f t="shared" si="75"/>
        <v>Extra Large</v>
      </c>
      <c r="D1646">
        <v>5</v>
      </c>
      <c r="E1646">
        <v>4</v>
      </c>
      <c r="F1646">
        <v>2</v>
      </c>
      <c r="G1646">
        <v>1976</v>
      </c>
      <c r="H1646" t="str">
        <f t="shared" si="76"/>
        <v>1976-2000</v>
      </c>
      <c r="I1646" t="s">
        <v>19</v>
      </c>
      <c r="J1646" t="s">
        <v>18</v>
      </c>
      <c r="K1646" t="s">
        <v>12</v>
      </c>
      <c r="L1646" s="4">
        <v>110664</v>
      </c>
      <c r="M1646" t="str">
        <f t="shared" si="77"/>
        <v>Low</v>
      </c>
    </row>
    <row r="1647" spans="1:13" x14ac:dyDescent="0.35">
      <c r="A1647">
        <v>1646</v>
      </c>
      <c r="B1647">
        <v>1867</v>
      </c>
      <c r="C1647" t="str">
        <f t="shared" si="75"/>
        <v>Medium</v>
      </c>
      <c r="D1647">
        <v>1</v>
      </c>
      <c r="E1647">
        <v>3</v>
      </c>
      <c r="F1647">
        <v>3</v>
      </c>
      <c r="G1647">
        <v>2000</v>
      </c>
      <c r="H1647" t="str">
        <f t="shared" si="76"/>
        <v>1976-2000</v>
      </c>
      <c r="I1647" t="s">
        <v>14</v>
      </c>
      <c r="J1647" t="s">
        <v>15</v>
      </c>
      <c r="K1647" t="s">
        <v>16</v>
      </c>
      <c r="L1647" s="4">
        <v>467896</v>
      </c>
      <c r="M1647" t="str">
        <f t="shared" si="77"/>
        <v>High</v>
      </c>
    </row>
    <row r="1648" spans="1:13" x14ac:dyDescent="0.35">
      <c r="A1648">
        <v>1647</v>
      </c>
      <c r="B1648">
        <v>1321</v>
      </c>
      <c r="C1648" t="str">
        <f t="shared" si="75"/>
        <v>Medium</v>
      </c>
      <c r="D1648">
        <v>4</v>
      </c>
      <c r="E1648">
        <v>3</v>
      </c>
      <c r="F1648">
        <v>3</v>
      </c>
      <c r="G1648">
        <v>1983</v>
      </c>
      <c r="H1648" t="str">
        <f t="shared" si="76"/>
        <v>1976-2000</v>
      </c>
      <c r="I1648" t="s">
        <v>19</v>
      </c>
      <c r="J1648" t="s">
        <v>15</v>
      </c>
      <c r="K1648" t="s">
        <v>12</v>
      </c>
      <c r="L1648" s="4">
        <v>984581</v>
      </c>
      <c r="M1648" t="str">
        <f t="shared" si="77"/>
        <v>Premium</v>
      </c>
    </row>
    <row r="1649" spans="1:13" x14ac:dyDescent="0.35">
      <c r="A1649">
        <v>1648</v>
      </c>
      <c r="B1649">
        <v>954</v>
      </c>
      <c r="C1649" t="str">
        <f t="shared" si="75"/>
        <v>Small</v>
      </c>
      <c r="D1649">
        <v>4</v>
      </c>
      <c r="E1649">
        <v>4</v>
      </c>
      <c r="F1649">
        <v>2</v>
      </c>
      <c r="G1649">
        <v>1964</v>
      </c>
      <c r="H1649" t="str">
        <f t="shared" si="76"/>
        <v>1950-1975</v>
      </c>
      <c r="I1649" t="s">
        <v>14</v>
      </c>
      <c r="J1649" t="s">
        <v>11</v>
      </c>
      <c r="K1649" t="s">
        <v>16</v>
      </c>
      <c r="L1649" s="4">
        <v>956906</v>
      </c>
      <c r="M1649" t="str">
        <f t="shared" si="77"/>
        <v>Premium</v>
      </c>
    </row>
    <row r="1650" spans="1:13" x14ac:dyDescent="0.35">
      <c r="A1650">
        <v>1649</v>
      </c>
      <c r="B1650">
        <v>2124</v>
      </c>
      <c r="C1650" t="str">
        <f t="shared" si="75"/>
        <v>Medium</v>
      </c>
      <c r="D1650">
        <v>5</v>
      </c>
      <c r="E1650">
        <v>3</v>
      </c>
      <c r="F1650">
        <v>2</v>
      </c>
      <c r="G1650">
        <v>1951</v>
      </c>
      <c r="H1650" t="str">
        <f t="shared" si="76"/>
        <v>1950-1975</v>
      </c>
      <c r="I1650" t="s">
        <v>19</v>
      </c>
      <c r="J1650" t="s">
        <v>11</v>
      </c>
      <c r="K1650" t="s">
        <v>12</v>
      </c>
      <c r="L1650" s="4">
        <v>389112</v>
      </c>
      <c r="M1650" t="str">
        <f t="shared" si="77"/>
        <v>Medium</v>
      </c>
    </row>
    <row r="1651" spans="1:13" x14ac:dyDescent="0.35">
      <c r="A1651">
        <v>1650</v>
      </c>
      <c r="B1651">
        <v>3272</v>
      </c>
      <c r="C1651" t="str">
        <f t="shared" si="75"/>
        <v>Large</v>
      </c>
      <c r="D1651">
        <v>3</v>
      </c>
      <c r="E1651">
        <v>3</v>
      </c>
      <c r="F1651">
        <v>3</v>
      </c>
      <c r="G1651">
        <v>1966</v>
      </c>
      <c r="H1651" t="str">
        <f t="shared" si="76"/>
        <v>1950-1975</v>
      </c>
      <c r="I1651" t="s">
        <v>19</v>
      </c>
      <c r="J1651" t="s">
        <v>11</v>
      </c>
      <c r="K1651" t="s">
        <v>16</v>
      </c>
      <c r="L1651" s="4">
        <v>970995</v>
      </c>
      <c r="M1651" t="str">
        <f t="shared" si="77"/>
        <v>Premium</v>
      </c>
    </row>
    <row r="1652" spans="1:13" x14ac:dyDescent="0.35">
      <c r="A1652">
        <v>1651</v>
      </c>
      <c r="B1652">
        <v>4226</v>
      </c>
      <c r="C1652" t="str">
        <f t="shared" si="75"/>
        <v>Extra Large</v>
      </c>
      <c r="D1652">
        <v>1</v>
      </c>
      <c r="E1652">
        <v>3</v>
      </c>
      <c r="F1652">
        <v>3</v>
      </c>
      <c r="G1652">
        <v>1981</v>
      </c>
      <c r="H1652" t="str">
        <f t="shared" si="76"/>
        <v>1976-2000</v>
      </c>
      <c r="I1652" t="s">
        <v>14</v>
      </c>
      <c r="J1652" t="s">
        <v>18</v>
      </c>
      <c r="K1652" t="s">
        <v>12</v>
      </c>
      <c r="L1652" s="4">
        <v>751486</v>
      </c>
      <c r="M1652" t="str">
        <f t="shared" si="77"/>
        <v>Premium</v>
      </c>
    </row>
    <row r="1653" spans="1:13" x14ac:dyDescent="0.35">
      <c r="A1653">
        <v>1652</v>
      </c>
      <c r="B1653">
        <v>3647</v>
      </c>
      <c r="C1653" t="str">
        <f t="shared" si="75"/>
        <v>Large</v>
      </c>
      <c r="D1653">
        <v>3</v>
      </c>
      <c r="E1653">
        <v>2</v>
      </c>
      <c r="F1653">
        <v>3</v>
      </c>
      <c r="G1653">
        <v>2004</v>
      </c>
      <c r="H1653" t="str">
        <f t="shared" si="76"/>
        <v>Post-2000</v>
      </c>
      <c r="I1653" t="s">
        <v>17</v>
      </c>
      <c r="J1653" t="s">
        <v>15</v>
      </c>
      <c r="K1653" t="s">
        <v>12</v>
      </c>
      <c r="L1653" s="4">
        <v>817018</v>
      </c>
      <c r="M1653" t="str">
        <f t="shared" si="77"/>
        <v>Premium</v>
      </c>
    </row>
    <row r="1654" spans="1:13" x14ac:dyDescent="0.35">
      <c r="A1654">
        <v>1653</v>
      </c>
      <c r="B1654">
        <v>4589</v>
      </c>
      <c r="C1654" t="str">
        <f t="shared" si="75"/>
        <v>Extra Large</v>
      </c>
      <c r="D1654">
        <v>2</v>
      </c>
      <c r="E1654">
        <v>3</v>
      </c>
      <c r="F1654">
        <v>3</v>
      </c>
      <c r="G1654">
        <v>1977</v>
      </c>
      <c r="H1654" t="str">
        <f t="shared" si="76"/>
        <v>1976-2000</v>
      </c>
      <c r="I1654" t="s">
        <v>10</v>
      </c>
      <c r="J1654" t="s">
        <v>11</v>
      </c>
      <c r="K1654" t="s">
        <v>16</v>
      </c>
      <c r="L1654" s="4">
        <v>446608</v>
      </c>
      <c r="M1654" t="str">
        <f t="shared" si="77"/>
        <v>High</v>
      </c>
    </row>
    <row r="1655" spans="1:13" x14ac:dyDescent="0.35">
      <c r="A1655">
        <v>1654</v>
      </c>
      <c r="B1655">
        <v>2690</v>
      </c>
      <c r="C1655" t="str">
        <f t="shared" si="75"/>
        <v>Large</v>
      </c>
      <c r="D1655">
        <v>3</v>
      </c>
      <c r="E1655">
        <v>2</v>
      </c>
      <c r="F1655">
        <v>3</v>
      </c>
      <c r="G1655">
        <v>1930</v>
      </c>
      <c r="H1655" t="str">
        <f t="shared" si="76"/>
        <v>Pre-1950</v>
      </c>
      <c r="I1655" t="s">
        <v>19</v>
      </c>
      <c r="J1655" t="s">
        <v>11</v>
      </c>
      <c r="K1655" t="s">
        <v>16</v>
      </c>
      <c r="L1655" s="4">
        <v>505473</v>
      </c>
      <c r="M1655" t="str">
        <f t="shared" si="77"/>
        <v>High</v>
      </c>
    </row>
    <row r="1656" spans="1:13" x14ac:dyDescent="0.35">
      <c r="A1656">
        <v>1655</v>
      </c>
      <c r="B1656">
        <v>1416</v>
      </c>
      <c r="C1656" t="str">
        <f t="shared" si="75"/>
        <v>Medium</v>
      </c>
      <c r="D1656">
        <v>4</v>
      </c>
      <c r="E1656">
        <v>2</v>
      </c>
      <c r="F1656">
        <v>2</v>
      </c>
      <c r="G1656">
        <v>1990</v>
      </c>
      <c r="H1656" t="str">
        <f t="shared" si="76"/>
        <v>1976-2000</v>
      </c>
      <c r="I1656" t="s">
        <v>17</v>
      </c>
      <c r="J1656" t="s">
        <v>11</v>
      </c>
      <c r="K1656" t="s">
        <v>12</v>
      </c>
      <c r="L1656" s="4">
        <v>117804</v>
      </c>
      <c r="M1656" t="str">
        <f t="shared" si="77"/>
        <v>Low</v>
      </c>
    </row>
    <row r="1657" spans="1:13" x14ac:dyDescent="0.35">
      <c r="A1657">
        <v>1656</v>
      </c>
      <c r="B1657">
        <v>4486</v>
      </c>
      <c r="C1657" t="str">
        <f t="shared" si="75"/>
        <v>Extra Large</v>
      </c>
      <c r="D1657">
        <v>1</v>
      </c>
      <c r="E1657">
        <v>3</v>
      </c>
      <c r="F1657">
        <v>1</v>
      </c>
      <c r="G1657">
        <v>1916</v>
      </c>
      <c r="H1657" t="str">
        <f t="shared" si="76"/>
        <v>Pre-1950</v>
      </c>
      <c r="I1657" t="s">
        <v>10</v>
      </c>
      <c r="J1657" t="s">
        <v>18</v>
      </c>
      <c r="K1657" t="s">
        <v>16</v>
      </c>
      <c r="L1657" s="4">
        <v>874832</v>
      </c>
      <c r="M1657" t="str">
        <f t="shared" si="77"/>
        <v>Premium</v>
      </c>
    </row>
    <row r="1658" spans="1:13" x14ac:dyDescent="0.35">
      <c r="A1658">
        <v>1657</v>
      </c>
      <c r="B1658">
        <v>3375</v>
      </c>
      <c r="C1658" t="str">
        <f t="shared" si="75"/>
        <v>Large</v>
      </c>
      <c r="D1658">
        <v>3</v>
      </c>
      <c r="E1658">
        <v>3</v>
      </c>
      <c r="F1658">
        <v>3</v>
      </c>
      <c r="G1658">
        <v>1954</v>
      </c>
      <c r="H1658" t="str">
        <f t="shared" si="76"/>
        <v>1950-1975</v>
      </c>
      <c r="I1658" t="s">
        <v>17</v>
      </c>
      <c r="J1658" t="s">
        <v>18</v>
      </c>
      <c r="K1658" t="s">
        <v>12</v>
      </c>
      <c r="L1658" s="4">
        <v>479767</v>
      </c>
      <c r="M1658" t="str">
        <f t="shared" si="77"/>
        <v>High</v>
      </c>
    </row>
    <row r="1659" spans="1:13" x14ac:dyDescent="0.35">
      <c r="A1659">
        <v>1658</v>
      </c>
      <c r="B1659">
        <v>1940</v>
      </c>
      <c r="C1659" t="str">
        <f t="shared" si="75"/>
        <v>Medium</v>
      </c>
      <c r="D1659">
        <v>1</v>
      </c>
      <c r="E1659">
        <v>2</v>
      </c>
      <c r="F1659">
        <v>3</v>
      </c>
      <c r="G1659">
        <v>2009</v>
      </c>
      <c r="H1659" t="str">
        <f t="shared" si="76"/>
        <v>Post-2000</v>
      </c>
      <c r="I1659" t="s">
        <v>17</v>
      </c>
      <c r="J1659" t="s">
        <v>15</v>
      </c>
      <c r="K1659" t="s">
        <v>12</v>
      </c>
      <c r="L1659" s="4">
        <v>864520</v>
      </c>
      <c r="M1659" t="str">
        <f t="shared" si="77"/>
        <v>Premium</v>
      </c>
    </row>
    <row r="1660" spans="1:13" x14ac:dyDescent="0.35">
      <c r="A1660">
        <v>1659</v>
      </c>
      <c r="B1660">
        <v>4900</v>
      </c>
      <c r="C1660" t="str">
        <f t="shared" si="75"/>
        <v>Extra Large</v>
      </c>
      <c r="D1660">
        <v>1</v>
      </c>
      <c r="E1660">
        <v>2</v>
      </c>
      <c r="F1660">
        <v>1</v>
      </c>
      <c r="G1660">
        <v>1992</v>
      </c>
      <c r="H1660" t="str">
        <f t="shared" si="76"/>
        <v>1976-2000</v>
      </c>
      <c r="I1660" t="s">
        <v>10</v>
      </c>
      <c r="J1660" t="s">
        <v>15</v>
      </c>
      <c r="K1660" t="s">
        <v>16</v>
      </c>
      <c r="L1660" s="4">
        <v>261087</v>
      </c>
      <c r="M1660" t="str">
        <f t="shared" si="77"/>
        <v>Medium</v>
      </c>
    </row>
    <row r="1661" spans="1:13" x14ac:dyDescent="0.35">
      <c r="A1661">
        <v>1660</v>
      </c>
      <c r="B1661">
        <v>1235</v>
      </c>
      <c r="C1661" t="str">
        <f t="shared" si="75"/>
        <v>Medium</v>
      </c>
      <c r="D1661">
        <v>2</v>
      </c>
      <c r="E1661">
        <v>3</v>
      </c>
      <c r="F1661">
        <v>1</v>
      </c>
      <c r="G1661">
        <v>1935</v>
      </c>
      <c r="H1661" t="str">
        <f t="shared" si="76"/>
        <v>Pre-1950</v>
      </c>
      <c r="I1661" t="s">
        <v>19</v>
      </c>
      <c r="J1661" t="s">
        <v>15</v>
      </c>
      <c r="K1661" t="s">
        <v>12</v>
      </c>
      <c r="L1661" s="4">
        <v>992969</v>
      </c>
      <c r="M1661" t="str">
        <f t="shared" si="77"/>
        <v>Premium</v>
      </c>
    </row>
    <row r="1662" spans="1:13" x14ac:dyDescent="0.35">
      <c r="A1662">
        <v>1661</v>
      </c>
      <c r="B1662">
        <v>4068</v>
      </c>
      <c r="C1662" t="str">
        <f t="shared" si="75"/>
        <v>Extra Large</v>
      </c>
      <c r="D1662">
        <v>2</v>
      </c>
      <c r="E1662">
        <v>3</v>
      </c>
      <c r="F1662">
        <v>1</v>
      </c>
      <c r="G1662">
        <v>2000</v>
      </c>
      <c r="H1662" t="str">
        <f t="shared" si="76"/>
        <v>1976-2000</v>
      </c>
      <c r="I1662" t="s">
        <v>17</v>
      </c>
      <c r="J1662" t="s">
        <v>11</v>
      </c>
      <c r="K1662" t="s">
        <v>12</v>
      </c>
      <c r="L1662" s="4">
        <v>491371</v>
      </c>
      <c r="M1662" t="str">
        <f t="shared" si="77"/>
        <v>High</v>
      </c>
    </row>
    <row r="1663" spans="1:13" x14ac:dyDescent="0.35">
      <c r="A1663">
        <v>1662</v>
      </c>
      <c r="B1663">
        <v>3838</v>
      </c>
      <c r="C1663" t="str">
        <f t="shared" si="75"/>
        <v>Large</v>
      </c>
      <c r="D1663">
        <v>4</v>
      </c>
      <c r="E1663">
        <v>4</v>
      </c>
      <c r="F1663">
        <v>1</v>
      </c>
      <c r="G1663">
        <v>1925</v>
      </c>
      <c r="H1663" t="str">
        <f t="shared" si="76"/>
        <v>Pre-1950</v>
      </c>
      <c r="I1663" t="s">
        <v>19</v>
      </c>
      <c r="J1663" t="s">
        <v>13</v>
      </c>
      <c r="K1663" t="s">
        <v>16</v>
      </c>
      <c r="L1663" s="4">
        <v>137893</v>
      </c>
      <c r="M1663" t="str">
        <f t="shared" si="77"/>
        <v>Low</v>
      </c>
    </row>
    <row r="1664" spans="1:13" x14ac:dyDescent="0.35">
      <c r="A1664">
        <v>1663</v>
      </c>
      <c r="B1664">
        <v>3515</v>
      </c>
      <c r="C1664" t="str">
        <f t="shared" si="75"/>
        <v>Large</v>
      </c>
      <c r="D1664">
        <v>5</v>
      </c>
      <c r="E1664">
        <v>2</v>
      </c>
      <c r="F1664">
        <v>1</v>
      </c>
      <c r="G1664">
        <v>1952</v>
      </c>
      <c r="H1664" t="str">
        <f t="shared" si="76"/>
        <v>1950-1975</v>
      </c>
      <c r="I1664" t="s">
        <v>19</v>
      </c>
      <c r="J1664" t="s">
        <v>18</v>
      </c>
      <c r="K1664" t="s">
        <v>12</v>
      </c>
      <c r="L1664" s="4">
        <v>842401</v>
      </c>
      <c r="M1664" t="str">
        <f t="shared" si="77"/>
        <v>Premium</v>
      </c>
    </row>
    <row r="1665" spans="1:13" x14ac:dyDescent="0.35">
      <c r="A1665">
        <v>1664</v>
      </c>
      <c r="B1665">
        <v>3389</v>
      </c>
      <c r="C1665" t="str">
        <f t="shared" si="75"/>
        <v>Large</v>
      </c>
      <c r="D1665">
        <v>1</v>
      </c>
      <c r="E1665">
        <v>2</v>
      </c>
      <c r="F1665">
        <v>1</v>
      </c>
      <c r="G1665">
        <v>1916</v>
      </c>
      <c r="H1665" t="str">
        <f t="shared" si="76"/>
        <v>Pre-1950</v>
      </c>
      <c r="I1665" t="s">
        <v>19</v>
      </c>
      <c r="J1665" t="s">
        <v>11</v>
      </c>
      <c r="K1665" t="s">
        <v>12</v>
      </c>
      <c r="L1665" s="4">
        <v>58981</v>
      </c>
      <c r="M1665" t="str">
        <f t="shared" si="77"/>
        <v>Low</v>
      </c>
    </row>
    <row r="1666" spans="1:13" x14ac:dyDescent="0.35">
      <c r="A1666">
        <v>1665</v>
      </c>
      <c r="B1666">
        <v>1461</v>
      </c>
      <c r="C1666" t="str">
        <f t="shared" si="75"/>
        <v>Medium</v>
      </c>
      <c r="D1666">
        <v>5</v>
      </c>
      <c r="E1666">
        <v>4</v>
      </c>
      <c r="F1666">
        <v>2</v>
      </c>
      <c r="G1666">
        <v>1985</v>
      </c>
      <c r="H1666" t="str">
        <f t="shared" si="76"/>
        <v>1976-2000</v>
      </c>
      <c r="I1666" t="s">
        <v>10</v>
      </c>
      <c r="J1666" t="s">
        <v>11</v>
      </c>
      <c r="K1666" t="s">
        <v>12</v>
      </c>
      <c r="L1666" s="4">
        <v>464248</v>
      </c>
      <c r="M1666" t="str">
        <f t="shared" si="77"/>
        <v>High</v>
      </c>
    </row>
    <row r="1667" spans="1:13" x14ac:dyDescent="0.35">
      <c r="A1667">
        <v>1666</v>
      </c>
      <c r="B1667">
        <v>3489</v>
      </c>
      <c r="C1667" t="str">
        <f t="shared" ref="C1667:C1730" si="78">IF(B1667&lt;=1000,"Small",IF(B1667&lt;=2500,"Medium",IF(B1667&lt;=4000,"Large",IF(B1667&gt;=4000,"Extra Large"))))</f>
        <v>Large</v>
      </c>
      <c r="D1667">
        <v>4</v>
      </c>
      <c r="E1667">
        <v>2</v>
      </c>
      <c r="F1667">
        <v>1</v>
      </c>
      <c r="G1667">
        <v>1924</v>
      </c>
      <c r="H1667" t="str">
        <f t="shared" ref="H1667:H1730" si="79">IF(G1667&lt;=1950,"Pre-1950",IF(G1667&lt;=1975,"1950-1975",IF(G1667&lt;=2000,"1976-2000",IF(G1667&gt;=2000,"Post-2000"))))</f>
        <v>Pre-1950</v>
      </c>
      <c r="I1667" t="s">
        <v>14</v>
      </c>
      <c r="J1667" t="s">
        <v>15</v>
      </c>
      <c r="K1667" t="s">
        <v>12</v>
      </c>
      <c r="L1667" s="4">
        <v>366235</v>
      </c>
      <c r="M1667" t="str">
        <f t="shared" ref="M1667:M1730" si="80">IF(L1667&lt;=200000,"Low",IF(L1667&lt;=400000,"Medium",IF(L1667&lt;=600000,"High",IF(L1667&gt;=600000,"Premium",""))))</f>
        <v>Medium</v>
      </c>
    </row>
    <row r="1668" spans="1:13" x14ac:dyDescent="0.35">
      <c r="A1668">
        <v>1667</v>
      </c>
      <c r="B1668">
        <v>4348</v>
      </c>
      <c r="C1668" t="str">
        <f t="shared" si="78"/>
        <v>Extra Large</v>
      </c>
      <c r="D1668">
        <v>1</v>
      </c>
      <c r="E1668">
        <v>1</v>
      </c>
      <c r="F1668">
        <v>1</v>
      </c>
      <c r="G1668">
        <v>1901</v>
      </c>
      <c r="H1668" t="str">
        <f t="shared" si="79"/>
        <v>Pre-1950</v>
      </c>
      <c r="I1668" t="s">
        <v>19</v>
      </c>
      <c r="J1668" t="s">
        <v>15</v>
      </c>
      <c r="K1668" t="s">
        <v>16</v>
      </c>
      <c r="L1668" s="4">
        <v>157154</v>
      </c>
      <c r="M1668" t="str">
        <f t="shared" si="80"/>
        <v>Low</v>
      </c>
    </row>
    <row r="1669" spans="1:13" x14ac:dyDescent="0.35">
      <c r="A1669">
        <v>1668</v>
      </c>
      <c r="B1669">
        <v>1526</v>
      </c>
      <c r="C1669" t="str">
        <f t="shared" si="78"/>
        <v>Medium</v>
      </c>
      <c r="D1669">
        <v>1</v>
      </c>
      <c r="E1669">
        <v>2</v>
      </c>
      <c r="F1669">
        <v>2</v>
      </c>
      <c r="G1669">
        <v>2018</v>
      </c>
      <c r="H1669" t="str">
        <f t="shared" si="79"/>
        <v>Post-2000</v>
      </c>
      <c r="I1669" t="s">
        <v>14</v>
      </c>
      <c r="J1669" t="s">
        <v>11</v>
      </c>
      <c r="K1669" t="s">
        <v>16</v>
      </c>
      <c r="L1669" s="4">
        <v>336552</v>
      </c>
      <c r="M1669" t="str">
        <f t="shared" si="80"/>
        <v>Medium</v>
      </c>
    </row>
    <row r="1670" spans="1:13" x14ac:dyDescent="0.35">
      <c r="A1670">
        <v>1669</v>
      </c>
      <c r="B1670">
        <v>4365</v>
      </c>
      <c r="C1670" t="str">
        <f t="shared" si="78"/>
        <v>Extra Large</v>
      </c>
      <c r="D1670">
        <v>5</v>
      </c>
      <c r="E1670">
        <v>4</v>
      </c>
      <c r="F1670">
        <v>1</v>
      </c>
      <c r="G1670">
        <v>1985</v>
      </c>
      <c r="H1670" t="str">
        <f t="shared" si="79"/>
        <v>1976-2000</v>
      </c>
      <c r="I1670" t="s">
        <v>14</v>
      </c>
      <c r="J1670" t="s">
        <v>18</v>
      </c>
      <c r="K1670" t="s">
        <v>16</v>
      </c>
      <c r="L1670" s="4">
        <v>729601</v>
      </c>
      <c r="M1670" t="str">
        <f t="shared" si="80"/>
        <v>Premium</v>
      </c>
    </row>
    <row r="1671" spans="1:13" x14ac:dyDescent="0.35">
      <c r="A1671">
        <v>1670</v>
      </c>
      <c r="B1671">
        <v>3363</v>
      </c>
      <c r="C1671" t="str">
        <f t="shared" si="78"/>
        <v>Large</v>
      </c>
      <c r="D1671">
        <v>3</v>
      </c>
      <c r="E1671">
        <v>1</v>
      </c>
      <c r="F1671">
        <v>3</v>
      </c>
      <c r="G1671">
        <v>1904</v>
      </c>
      <c r="H1671" t="str">
        <f t="shared" si="79"/>
        <v>Pre-1950</v>
      </c>
      <c r="I1671" t="s">
        <v>17</v>
      </c>
      <c r="J1671" t="s">
        <v>18</v>
      </c>
      <c r="K1671" t="s">
        <v>12</v>
      </c>
      <c r="L1671" s="4">
        <v>884372</v>
      </c>
      <c r="M1671" t="str">
        <f t="shared" si="80"/>
        <v>Premium</v>
      </c>
    </row>
    <row r="1672" spans="1:13" x14ac:dyDescent="0.35">
      <c r="A1672">
        <v>1671</v>
      </c>
      <c r="B1672">
        <v>3001</v>
      </c>
      <c r="C1672" t="str">
        <f t="shared" si="78"/>
        <v>Large</v>
      </c>
      <c r="D1672">
        <v>2</v>
      </c>
      <c r="E1672">
        <v>3</v>
      </c>
      <c r="F1672">
        <v>3</v>
      </c>
      <c r="G1672">
        <v>1903</v>
      </c>
      <c r="H1672" t="str">
        <f t="shared" si="79"/>
        <v>Pre-1950</v>
      </c>
      <c r="I1672" t="s">
        <v>19</v>
      </c>
      <c r="J1672" t="s">
        <v>11</v>
      </c>
      <c r="K1672" t="s">
        <v>16</v>
      </c>
      <c r="L1672" s="4">
        <v>526154</v>
      </c>
      <c r="M1672" t="str">
        <f t="shared" si="80"/>
        <v>High</v>
      </c>
    </row>
    <row r="1673" spans="1:13" x14ac:dyDescent="0.35">
      <c r="A1673">
        <v>1672</v>
      </c>
      <c r="B1673">
        <v>2447</v>
      </c>
      <c r="C1673" t="str">
        <f t="shared" si="78"/>
        <v>Medium</v>
      </c>
      <c r="D1673">
        <v>3</v>
      </c>
      <c r="E1673">
        <v>4</v>
      </c>
      <c r="F1673">
        <v>1</v>
      </c>
      <c r="G1673">
        <v>1935</v>
      </c>
      <c r="H1673" t="str">
        <f t="shared" si="79"/>
        <v>Pre-1950</v>
      </c>
      <c r="I1673" t="s">
        <v>19</v>
      </c>
      <c r="J1673" t="s">
        <v>13</v>
      </c>
      <c r="K1673" t="s">
        <v>16</v>
      </c>
      <c r="L1673" s="4">
        <v>756465</v>
      </c>
      <c r="M1673" t="str">
        <f t="shared" si="80"/>
        <v>Premium</v>
      </c>
    </row>
    <row r="1674" spans="1:13" x14ac:dyDescent="0.35">
      <c r="A1674">
        <v>1673</v>
      </c>
      <c r="B1674">
        <v>1677</v>
      </c>
      <c r="C1674" t="str">
        <f t="shared" si="78"/>
        <v>Medium</v>
      </c>
      <c r="D1674">
        <v>5</v>
      </c>
      <c r="E1674">
        <v>4</v>
      </c>
      <c r="F1674">
        <v>2</v>
      </c>
      <c r="G1674">
        <v>1905</v>
      </c>
      <c r="H1674" t="str">
        <f t="shared" si="79"/>
        <v>Pre-1950</v>
      </c>
      <c r="I1674" t="s">
        <v>19</v>
      </c>
      <c r="J1674" t="s">
        <v>13</v>
      </c>
      <c r="K1674" t="s">
        <v>16</v>
      </c>
      <c r="L1674" s="4">
        <v>242122</v>
      </c>
      <c r="M1674" t="str">
        <f t="shared" si="80"/>
        <v>Medium</v>
      </c>
    </row>
    <row r="1675" spans="1:13" x14ac:dyDescent="0.35">
      <c r="A1675">
        <v>1674</v>
      </c>
      <c r="B1675">
        <v>511</v>
      </c>
      <c r="C1675" t="str">
        <f t="shared" si="78"/>
        <v>Small</v>
      </c>
      <c r="D1675">
        <v>2</v>
      </c>
      <c r="E1675">
        <v>3</v>
      </c>
      <c r="F1675">
        <v>3</v>
      </c>
      <c r="G1675">
        <v>2015</v>
      </c>
      <c r="H1675" t="str">
        <f t="shared" si="79"/>
        <v>Post-2000</v>
      </c>
      <c r="I1675" t="s">
        <v>14</v>
      </c>
      <c r="J1675" t="s">
        <v>18</v>
      </c>
      <c r="K1675" t="s">
        <v>12</v>
      </c>
      <c r="L1675" s="4">
        <v>53657</v>
      </c>
      <c r="M1675" t="str">
        <f t="shared" si="80"/>
        <v>Low</v>
      </c>
    </row>
    <row r="1676" spans="1:13" x14ac:dyDescent="0.35">
      <c r="A1676">
        <v>1675</v>
      </c>
      <c r="B1676">
        <v>4899</v>
      </c>
      <c r="C1676" t="str">
        <f t="shared" si="78"/>
        <v>Extra Large</v>
      </c>
      <c r="D1676">
        <v>3</v>
      </c>
      <c r="E1676">
        <v>4</v>
      </c>
      <c r="F1676">
        <v>2</v>
      </c>
      <c r="G1676">
        <v>1920</v>
      </c>
      <c r="H1676" t="str">
        <f t="shared" si="79"/>
        <v>Pre-1950</v>
      </c>
      <c r="I1676" t="s">
        <v>10</v>
      </c>
      <c r="J1676" t="s">
        <v>15</v>
      </c>
      <c r="K1676" t="s">
        <v>16</v>
      </c>
      <c r="L1676" s="4">
        <v>857662</v>
      </c>
      <c r="M1676" t="str">
        <f t="shared" si="80"/>
        <v>Premium</v>
      </c>
    </row>
    <row r="1677" spans="1:13" x14ac:dyDescent="0.35">
      <c r="A1677">
        <v>1676</v>
      </c>
      <c r="B1677">
        <v>3864</v>
      </c>
      <c r="C1677" t="str">
        <f t="shared" si="78"/>
        <v>Large</v>
      </c>
      <c r="D1677">
        <v>2</v>
      </c>
      <c r="E1677">
        <v>2</v>
      </c>
      <c r="F1677">
        <v>3</v>
      </c>
      <c r="G1677">
        <v>1976</v>
      </c>
      <c r="H1677" t="str">
        <f t="shared" si="79"/>
        <v>1976-2000</v>
      </c>
      <c r="I1677" t="s">
        <v>14</v>
      </c>
      <c r="J1677" t="s">
        <v>13</v>
      </c>
      <c r="K1677" t="s">
        <v>16</v>
      </c>
      <c r="L1677" s="4">
        <v>986184</v>
      </c>
      <c r="M1677" t="str">
        <f t="shared" si="80"/>
        <v>Premium</v>
      </c>
    </row>
    <row r="1678" spans="1:13" x14ac:dyDescent="0.35">
      <c r="A1678">
        <v>1677</v>
      </c>
      <c r="B1678">
        <v>3522</v>
      </c>
      <c r="C1678" t="str">
        <f t="shared" si="78"/>
        <v>Large</v>
      </c>
      <c r="D1678">
        <v>1</v>
      </c>
      <c r="E1678">
        <v>3</v>
      </c>
      <c r="F1678">
        <v>1</v>
      </c>
      <c r="G1678">
        <v>2017</v>
      </c>
      <c r="H1678" t="str">
        <f t="shared" si="79"/>
        <v>Post-2000</v>
      </c>
      <c r="I1678" t="s">
        <v>19</v>
      </c>
      <c r="J1678" t="s">
        <v>13</v>
      </c>
      <c r="K1678" t="s">
        <v>12</v>
      </c>
      <c r="L1678" s="4">
        <v>263766</v>
      </c>
      <c r="M1678" t="str">
        <f t="shared" si="80"/>
        <v>Medium</v>
      </c>
    </row>
    <row r="1679" spans="1:13" x14ac:dyDescent="0.35">
      <c r="A1679">
        <v>1678</v>
      </c>
      <c r="B1679">
        <v>3871</v>
      </c>
      <c r="C1679" t="str">
        <f t="shared" si="78"/>
        <v>Large</v>
      </c>
      <c r="D1679">
        <v>3</v>
      </c>
      <c r="E1679">
        <v>4</v>
      </c>
      <c r="F1679">
        <v>2</v>
      </c>
      <c r="G1679">
        <v>2000</v>
      </c>
      <c r="H1679" t="str">
        <f t="shared" si="79"/>
        <v>1976-2000</v>
      </c>
      <c r="I1679" t="s">
        <v>19</v>
      </c>
      <c r="J1679" t="s">
        <v>15</v>
      </c>
      <c r="K1679" t="s">
        <v>12</v>
      </c>
      <c r="L1679" s="4">
        <v>659019</v>
      </c>
      <c r="M1679" t="str">
        <f t="shared" si="80"/>
        <v>Premium</v>
      </c>
    </row>
    <row r="1680" spans="1:13" x14ac:dyDescent="0.35">
      <c r="A1680">
        <v>1679</v>
      </c>
      <c r="B1680">
        <v>3330</v>
      </c>
      <c r="C1680" t="str">
        <f t="shared" si="78"/>
        <v>Large</v>
      </c>
      <c r="D1680">
        <v>2</v>
      </c>
      <c r="E1680">
        <v>3</v>
      </c>
      <c r="F1680">
        <v>2</v>
      </c>
      <c r="G1680">
        <v>2018</v>
      </c>
      <c r="H1680" t="str">
        <f t="shared" si="79"/>
        <v>Post-2000</v>
      </c>
      <c r="I1680" t="s">
        <v>19</v>
      </c>
      <c r="J1680" t="s">
        <v>13</v>
      </c>
      <c r="K1680" t="s">
        <v>12</v>
      </c>
      <c r="L1680" s="4">
        <v>223412</v>
      </c>
      <c r="M1680" t="str">
        <f t="shared" si="80"/>
        <v>Medium</v>
      </c>
    </row>
    <row r="1681" spans="1:13" x14ac:dyDescent="0.35">
      <c r="A1681">
        <v>1680</v>
      </c>
      <c r="B1681">
        <v>542</v>
      </c>
      <c r="C1681" t="str">
        <f t="shared" si="78"/>
        <v>Small</v>
      </c>
      <c r="D1681">
        <v>2</v>
      </c>
      <c r="E1681">
        <v>3</v>
      </c>
      <c r="F1681">
        <v>2</v>
      </c>
      <c r="G1681">
        <v>1988</v>
      </c>
      <c r="H1681" t="str">
        <f t="shared" si="79"/>
        <v>1976-2000</v>
      </c>
      <c r="I1681" t="s">
        <v>14</v>
      </c>
      <c r="J1681" t="s">
        <v>11</v>
      </c>
      <c r="K1681" t="s">
        <v>12</v>
      </c>
      <c r="L1681" s="4">
        <v>741310</v>
      </c>
      <c r="M1681" t="str">
        <f t="shared" si="80"/>
        <v>Premium</v>
      </c>
    </row>
    <row r="1682" spans="1:13" x14ac:dyDescent="0.35">
      <c r="A1682">
        <v>1681</v>
      </c>
      <c r="B1682">
        <v>1443</v>
      </c>
      <c r="C1682" t="str">
        <f t="shared" si="78"/>
        <v>Medium</v>
      </c>
      <c r="D1682">
        <v>2</v>
      </c>
      <c r="E1682">
        <v>3</v>
      </c>
      <c r="F1682">
        <v>3</v>
      </c>
      <c r="G1682">
        <v>1925</v>
      </c>
      <c r="H1682" t="str">
        <f t="shared" si="79"/>
        <v>Pre-1950</v>
      </c>
      <c r="I1682" t="s">
        <v>19</v>
      </c>
      <c r="J1682" t="s">
        <v>13</v>
      </c>
      <c r="K1682" t="s">
        <v>12</v>
      </c>
      <c r="L1682" s="4">
        <v>713227</v>
      </c>
      <c r="M1682" t="str">
        <f t="shared" si="80"/>
        <v>Premium</v>
      </c>
    </row>
    <row r="1683" spans="1:13" x14ac:dyDescent="0.35">
      <c r="A1683">
        <v>1682</v>
      </c>
      <c r="B1683">
        <v>2890</v>
      </c>
      <c r="C1683" t="str">
        <f t="shared" si="78"/>
        <v>Large</v>
      </c>
      <c r="D1683">
        <v>3</v>
      </c>
      <c r="E1683">
        <v>1</v>
      </c>
      <c r="F1683">
        <v>3</v>
      </c>
      <c r="G1683">
        <v>1954</v>
      </c>
      <c r="H1683" t="str">
        <f t="shared" si="79"/>
        <v>1950-1975</v>
      </c>
      <c r="I1683" t="s">
        <v>17</v>
      </c>
      <c r="J1683" t="s">
        <v>15</v>
      </c>
      <c r="K1683" t="s">
        <v>12</v>
      </c>
      <c r="L1683" s="4">
        <v>783902</v>
      </c>
      <c r="M1683" t="str">
        <f t="shared" si="80"/>
        <v>Premium</v>
      </c>
    </row>
    <row r="1684" spans="1:13" x14ac:dyDescent="0.35">
      <c r="A1684">
        <v>1683</v>
      </c>
      <c r="B1684">
        <v>3045</v>
      </c>
      <c r="C1684" t="str">
        <f t="shared" si="78"/>
        <v>Large</v>
      </c>
      <c r="D1684">
        <v>4</v>
      </c>
      <c r="E1684">
        <v>4</v>
      </c>
      <c r="F1684">
        <v>3</v>
      </c>
      <c r="G1684">
        <v>1938</v>
      </c>
      <c r="H1684" t="str">
        <f t="shared" si="79"/>
        <v>Pre-1950</v>
      </c>
      <c r="I1684" t="s">
        <v>19</v>
      </c>
      <c r="J1684" t="s">
        <v>11</v>
      </c>
      <c r="K1684" t="s">
        <v>16</v>
      </c>
      <c r="L1684" s="4">
        <v>54329</v>
      </c>
      <c r="M1684" t="str">
        <f t="shared" si="80"/>
        <v>Low</v>
      </c>
    </row>
    <row r="1685" spans="1:13" x14ac:dyDescent="0.35">
      <c r="A1685">
        <v>1684</v>
      </c>
      <c r="B1685">
        <v>2911</v>
      </c>
      <c r="C1685" t="str">
        <f t="shared" si="78"/>
        <v>Large</v>
      </c>
      <c r="D1685">
        <v>3</v>
      </c>
      <c r="E1685">
        <v>1</v>
      </c>
      <c r="F1685">
        <v>1</v>
      </c>
      <c r="G1685">
        <v>1983</v>
      </c>
      <c r="H1685" t="str">
        <f t="shared" si="79"/>
        <v>1976-2000</v>
      </c>
      <c r="I1685" t="s">
        <v>10</v>
      </c>
      <c r="J1685" t="s">
        <v>13</v>
      </c>
      <c r="K1685" t="s">
        <v>16</v>
      </c>
      <c r="L1685" s="4">
        <v>348009</v>
      </c>
      <c r="M1685" t="str">
        <f t="shared" si="80"/>
        <v>Medium</v>
      </c>
    </row>
    <row r="1686" spans="1:13" x14ac:dyDescent="0.35">
      <c r="A1686">
        <v>1685</v>
      </c>
      <c r="B1686">
        <v>1504</v>
      </c>
      <c r="C1686" t="str">
        <f t="shared" si="78"/>
        <v>Medium</v>
      </c>
      <c r="D1686">
        <v>5</v>
      </c>
      <c r="E1686">
        <v>4</v>
      </c>
      <c r="F1686">
        <v>3</v>
      </c>
      <c r="G1686">
        <v>1932</v>
      </c>
      <c r="H1686" t="str">
        <f t="shared" si="79"/>
        <v>Pre-1950</v>
      </c>
      <c r="I1686" t="s">
        <v>17</v>
      </c>
      <c r="J1686" t="s">
        <v>18</v>
      </c>
      <c r="K1686" t="s">
        <v>12</v>
      </c>
      <c r="L1686" s="4">
        <v>772300</v>
      </c>
      <c r="M1686" t="str">
        <f t="shared" si="80"/>
        <v>Premium</v>
      </c>
    </row>
    <row r="1687" spans="1:13" x14ac:dyDescent="0.35">
      <c r="A1687">
        <v>1686</v>
      </c>
      <c r="B1687">
        <v>520</v>
      </c>
      <c r="C1687" t="str">
        <f t="shared" si="78"/>
        <v>Small</v>
      </c>
      <c r="D1687">
        <v>3</v>
      </c>
      <c r="E1687">
        <v>2</v>
      </c>
      <c r="F1687">
        <v>1</v>
      </c>
      <c r="G1687">
        <v>1913</v>
      </c>
      <c r="H1687" t="str">
        <f t="shared" si="79"/>
        <v>Pre-1950</v>
      </c>
      <c r="I1687" t="s">
        <v>19</v>
      </c>
      <c r="J1687" t="s">
        <v>11</v>
      </c>
      <c r="K1687" t="s">
        <v>12</v>
      </c>
      <c r="L1687" s="4">
        <v>569897</v>
      </c>
      <c r="M1687" t="str">
        <f t="shared" si="80"/>
        <v>High</v>
      </c>
    </row>
    <row r="1688" spans="1:13" x14ac:dyDescent="0.35">
      <c r="A1688">
        <v>1687</v>
      </c>
      <c r="B1688">
        <v>906</v>
      </c>
      <c r="C1688" t="str">
        <f t="shared" si="78"/>
        <v>Small</v>
      </c>
      <c r="D1688">
        <v>2</v>
      </c>
      <c r="E1688">
        <v>2</v>
      </c>
      <c r="F1688">
        <v>2</v>
      </c>
      <c r="G1688">
        <v>1955</v>
      </c>
      <c r="H1688" t="str">
        <f t="shared" si="79"/>
        <v>1950-1975</v>
      </c>
      <c r="I1688" t="s">
        <v>17</v>
      </c>
      <c r="J1688" t="s">
        <v>11</v>
      </c>
      <c r="K1688" t="s">
        <v>16</v>
      </c>
      <c r="L1688" s="4">
        <v>87869</v>
      </c>
      <c r="M1688" t="str">
        <f t="shared" si="80"/>
        <v>Low</v>
      </c>
    </row>
    <row r="1689" spans="1:13" x14ac:dyDescent="0.35">
      <c r="A1689">
        <v>1688</v>
      </c>
      <c r="B1689">
        <v>1514</v>
      </c>
      <c r="C1689" t="str">
        <f t="shared" si="78"/>
        <v>Medium</v>
      </c>
      <c r="D1689">
        <v>1</v>
      </c>
      <c r="E1689">
        <v>2</v>
      </c>
      <c r="F1689">
        <v>2</v>
      </c>
      <c r="G1689">
        <v>1999</v>
      </c>
      <c r="H1689" t="str">
        <f t="shared" si="79"/>
        <v>1976-2000</v>
      </c>
      <c r="I1689" t="s">
        <v>19</v>
      </c>
      <c r="J1689" t="s">
        <v>18</v>
      </c>
      <c r="K1689" t="s">
        <v>12</v>
      </c>
      <c r="L1689" s="4">
        <v>247977</v>
      </c>
      <c r="M1689" t="str">
        <f t="shared" si="80"/>
        <v>Medium</v>
      </c>
    </row>
    <row r="1690" spans="1:13" x14ac:dyDescent="0.35">
      <c r="A1690">
        <v>1689</v>
      </c>
      <c r="B1690">
        <v>4931</v>
      </c>
      <c r="C1690" t="str">
        <f t="shared" si="78"/>
        <v>Extra Large</v>
      </c>
      <c r="D1690">
        <v>3</v>
      </c>
      <c r="E1690">
        <v>4</v>
      </c>
      <c r="F1690">
        <v>1</v>
      </c>
      <c r="G1690">
        <v>1980</v>
      </c>
      <c r="H1690" t="str">
        <f t="shared" si="79"/>
        <v>1976-2000</v>
      </c>
      <c r="I1690" t="s">
        <v>10</v>
      </c>
      <c r="J1690" t="s">
        <v>18</v>
      </c>
      <c r="K1690" t="s">
        <v>12</v>
      </c>
      <c r="L1690" s="4">
        <v>956617</v>
      </c>
      <c r="M1690" t="str">
        <f t="shared" si="80"/>
        <v>Premium</v>
      </c>
    </row>
    <row r="1691" spans="1:13" x14ac:dyDescent="0.35">
      <c r="A1691">
        <v>1690</v>
      </c>
      <c r="B1691">
        <v>2338</v>
      </c>
      <c r="C1691" t="str">
        <f t="shared" si="78"/>
        <v>Medium</v>
      </c>
      <c r="D1691">
        <v>3</v>
      </c>
      <c r="E1691">
        <v>3</v>
      </c>
      <c r="F1691">
        <v>3</v>
      </c>
      <c r="G1691">
        <v>1920</v>
      </c>
      <c r="H1691" t="str">
        <f t="shared" si="79"/>
        <v>Pre-1950</v>
      </c>
      <c r="I1691" t="s">
        <v>19</v>
      </c>
      <c r="J1691" t="s">
        <v>13</v>
      </c>
      <c r="K1691" t="s">
        <v>16</v>
      </c>
      <c r="L1691" s="4">
        <v>548185</v>
      </c>
      <c r="M1691" t="str">
        <f t="shared" si="80"/>
        <v>High</v>
      </c>
    </row>
    <row r="1692" spans="1:13" x14ac:dyDescent="0.35">
      <c r="A1692">
        <v>1691</v>
      </c>
      <c r="B1692">
        <v>3688</v>
      </c>
      <c r="C1692" t="str">
        <f t="shared" si="78"/>
        <v>Large</v>
      </c>
      <c r="D1692">
        <v>2</v>
      </c>
      <c r="E1692">
        <v>3</v>
      </c>
      <c r="F1692">
        <v>1</v>
      </c>
      <c r="G1692">
        <v>1945</v>
      </c>
      <c r="H1692" t="str">
        <f t="shared" si="79"/>
        <v>Pre-1950</v>
      </c>
      <c r="I1692" t="s">
        <v>17</v>
      </c>
      <c r="J1692" t="s">
        <v>13</v>
      </c>
      <c r="K1692" t="s">
        <v>12</v>
      </c>
      <c r="L1692" s="4">
        <v>133984</v>
      </c>
      <c r="M1692" t="str">
        <f t="shared" si="80"/>
        <v>Low</v>
      </c>
    </row>
    <row r="1693" spans="1:13" x14ac:dyDescent="0.35">
      <c r="A1693">
        <v>1692</v>
      </c>
      <c r="B1693">
        <v>1214</v>
      </c>
      <c r="C1693" t="str">
        <f t="shared" si="78"/>
        <v>Medium</v>
      </c>
      <c r="D1693">
        <v>1</v>
      </c>
      <c r="E1693">
        <v>1</v>
      </c>
      <c r="F1693">
        <v>2</v>
      </c>
      <c r="G1693">
        <v>1915</v>
      </c>
      <c r="H1693" t="str">
        <f t="shared" si="79"/>
        <v>Pre-1950</v>
      </c>
      <c r="I1693" t="s">
        <v>10</v>
      </c>
      <c r="J1693" t="s">
        <v>15</v>
      </c>
      <c r="K1693" t="s">
        <v>12</v>
      </c>
      <c r="L1693" s="4">
        <v>961604</v>
      </c>
      <c r="M1693" t="str">
        <f t="shared" si="80"/>
        <v>Premium</v>
      </c>
    </row>
    <row r="1694" spans="1:13" x14ac:dyDescent="0.35">
      <c r="A1694">
        <v>1693</v>
      </c>
      <c r="B1694">
        <v>4646</v>
      </c>
      <c r="C1694" t="str">
        <f t="shared" si="78"/>
        <v>Extra Large</v>
      </c>
      <c r="D1694">
        <v>1</v>
      </c>
      <c r="E1694">
        <v>1</v>
      </c>
      <c r="F1694">
        <v>2</v>
      </c>
      <c r="G1694">
        <v>2009</v>
      </c>
      <c r="H1694" t="str">
        <f t="shared" si="79"/>
        <v>Post-2000</v>
      </c>
      <c r="I1694" t="s">
        <v>14</v>
      </c>
      <c r="J1694" t="s">
        <v>15</v>
      </c>
      <c r="K1694" t="s">
        <v>16</v>
      </c>
      <c r="L1694" s="4">
        <v>151069</v>
      </c>
      <c r="M1694" t="str">
        <f t="shared" si="80"/>
        <v>Low</v>
      </c>
    </row>
    <row r="1695" spans="1:13" x14ac:dyDescent="0.35">
      <c r="A1695">
        <v>1694</v>
      </c>
      <c r="B1695">
        <v>4354</v>
      </c>
      <c r="C1695" t="str">
        <f t="shared" si="78"/>
        <v>Extra Large</v>
      </c>
      <c r="D1695">
        <v>5</v>
      </c>
      <c r="E1695">
        <v>2</v>
      </c>
      <c r="F1695">
        <v>1</v>
      </c>
      <c r="G1695">
        <v>1915</v>
      </c>
      <c r="H1695" t="str">
        <f t="shared" si="79"/>
        <v>Pre-1950</v>
      </c>
      <c r="I1695" t="s">
        <v>10</v>
      </c>
      <c r="J1695" t="s">
        <v>11</v>
      </c>
      <c r="K1695" t="s">
        <v>16</v>
      </c>
      <c r="L1695" s="4">
        <v>298577</v>
      </c>
      <c r="M1695" t="str">
        <f t="shared" si="80"/>
        <v>Medium</v>
      </c>
    </row>
    <row r="1696" spans="1:13" x14ac:dyDescent="0.35">
      <c r="A1696">
        <v>1695</v>
      </c>
      <c r="B1696">
        <v>4919</v>
      </c>
      <c r="C1696" t="str">
        <f t="shared" si="78"/>
        <v>Extra Large</v>
      </c>
      <c r="D1696">
        <v>3</v>
      </c>
      <c r="E1696">
        <v>1</v>
      </c>
      <c r="F1696">
        <v>3</v>
      </c>
      <c r="G1696">
        <v>2019</v>
      </c>
      <c r="H1696" t="str">
        <f t="shared" si="79"/>
        <v>Post-2000</v>
      </c>
      <c r="I1696" t="s">
        <v>10</v>
      </c>
      <c r="J1696" t="s">
        <v>18</v>
      </c>
      <c r="K1696" t="s">
        <v>16</v>
      </c>
      <c r="L1696" s="4">
        <v>926143</v>
      </c>
      <c r="M1696" t="str">
        <f t="shared" si="80"/>
        <v>Premium</v>
      </c>
    </row>
    <row r="1697" spans="1:13" x14ac:dyDescent="0.35">
      <c r="A1697">
        <v>1696</v>
      </c>
      <c r="B1697">
        <v>640</v>
      </c>
      <c r="C1697" t="str">
        <f t="shared" si="78"/>
        <v>Small</v>
      </c>
      <c r="D1697">
        <v>1</v>
      </c>
      <c r="E1697">
        <v>4</v>
      </c>
      <c r="F1697">
        <v>3</v>
      </c>
      <c r="G1697">
        <v>1983</v>
      </c>
      <c r="H1697" t="str">
        <f t="shared" si="79"/>
        <v>1976-2000</v>
      </c>
      <c r="I1697" t="s">
        <v>10</v>
      </c>
      <c r="J1697" t="s">
        <v>18</v>
      </c>
      <c r="K1697" t="s">
        <v>16</v>
      </c>
      <c r="L1697" s="4">
        <v>378396</v>
      </c>
      <c r="M1697" t="str">
        <f t="shared" si="80"/>
        <v>Medium</v>
      </c>
    </row>
    <row r="1698" spans="1:13" x14ac:dyDescent="0.35">
      <c r="A1698">
        <v>1697</v>
      </c>
      <c r="B1698">
        <v>1463</v>
      </c>
      <c r="C1698" t="str">
        <f t="shared" si="78"/>
        <v>Medium</v>
      </c>
      <c r="D1698">
        <v>1</v>
      </c>
      <c r="E1698">
        <v>4</v>
      </c>
      <c r="F1698">
        <v>1</v>
      </c>
      <c r="G1698">
        <v>1928</v>
      </c>
      <c r="H1698" t="str">
        <f t="shared" si="79"/>
        <v>Pre-1950</v>
      </c>
      <c r="I1698" t="s">
        <v>17</v>
      </c>
      <c r="J1698" t="s">
        <v>15</v>
      </c>
      <c r="K1698" t="s">
        <v>16</v>
      </c>
      <c r="L1698" s="4">
        <v>391530</v>
      </c>
      <c r="M1698" t="str">
        <f t="shared" si="80"/>
        <v>Medium</v>
      </c>
    </row>
    <row r="1699" spans="1:13" x14ac:dyDescent="0.35">
      <c r="A1699">
        <v>1698</v>
      </c>
      <c r="B1699">
        <v>872</v>
      </c>
      <c r="C1699" t="str">
        <f t="shared" si="78"/>
        <v>Small</v>
      </c>
      <c r="D1699">
        <v>4</v>
      </c>
      <c r="E1699">
        <v>1</v>
      </c>
      <c r="F1699">
        <v>1</v>
      </c>
      <c r="G1699">
        <v>1991</v>
      </c>
      <c r="H1699" t="str">
        <f t="shared" si="79"/>
        <v>1976-2000</v>
      </c>
      <c r="I1699" t="s">
        <v>10</v>
      </c>
      <c r="J1699" t="s">
        <v>11</v>
      </c>
      <c r="K1699" t="s">
        <v>12</v>
      </c>
      <c r="L1699" s="4">
        <v>168728</v>
      </c>
      <c r="M1699" t="str">
        <f t="shared" si="80"/>
        <v>Low</v>
      </c>
    </row>
    <row r="1700" spans="1:13" x14ac:dyDescent="0.35">
      <c r="A1700">
        <v>1699</v>
      </c>
      <c r="B1700">
        <v>4135</v>
      </c>
      <c r="C1700" t="str">
        <f t="shared" si="78"/>
        <v>Extra Large</v>
      </c>
      <c r="D1700">
        <v>4</v>
      </c>
      <c r="E1700">
        <v>1</v>
      </c>
      <c r="F1700">
        <v>3</v>
      </c>
      <c r="G1700">
        <v>1907</v>
      </c>
      <c r="H1700" t="str">
        <f t="shared" si="79"/>
        <v>Pre-1950</v>
      </c>
      <c r="I1700" t="s">
        <v>19</v>
      </c>
      <c r="J1700" t="s">
        <v>11</v>
      </c>
      <c r="K1700" t="s">
        <v>12</v>
      </c>
      <c r="L1700" s="4">
        <v>573846</v>
      </c>
      <c r="M1700" t="str">
        <f t="shared" si="80"/>
        <v>High</v>
      </c>
    </row>
    <row r="1701" spans="1:13" x14ac:dyDescent="0.35">
      <c r="A1701">
        <v>1700</v>
      </c>
      <c r="B1701">
        <v>3041</v>
      </c>
      <c r="C1701" t="str">
        <f t="shared" si="78"/>
        <v>Large</v>
      </c>
      <c r="D1701">
        <v>1</v>
      </c>
      <c r="E1701">
        <v>1</v>
      </c>
      <c r="F1701">
        <v>2</v>
      </c>
      <c r="G1701">
        <v>1987</v>
      </c>
      <c r="H1701" t="str">
        <f t="shared" si="79"/>
        <v>1976-2000</v>
      </c>
      <c r="I1701" t="s">
        <v>10</v>
      </c>
      <c r="J1701" t="s">
        <v>15</v>
      </c>
      <c r="K1701" t="s">
        <v>12</v>
      </c>
      <c r="L1701" s="4">
        <v>969215</v>
      </c>
      <c r="M1701" t="str">
        <f t="shared" si="80"/>
        <v>Premium</v>
      </c>
    </row>
    <row r="1702" spans="1:13" x14ac:dyDescent="0.35">
      <c r="A1702">
        <v>1701</v>
      </c>
      <c r="B1702">
        <v>4110</v>
      </c>
      <c r="C1702" t="str">
        <f t="shared" si="78"/>
        <v>Extra Large</v>
      </c>
      <c r="D1702">
        <v>5</v>
      </c>
      <c r="E1702">
        <v>1</v>
      </c>
      <c r="F1702">
        <v>1</v>
      </c>
      <c r="G1702">
        <v>1902</v>
      </c>
      <c r="H1702" t="str">
        <f t="shared" si="79"/>
        <v>Pre-1950</v>
      </c>
      <c r="I1702" t="s">
        <v>10</v>
      </c>
      <c r="J1702" t="s">
        <v>15</v>
      </c>
      <c r="K1702" t="s">
        <v>12</v>
      </c>
      <c r="L1702" s="4">
        <v>75801</v>
      </c>
      <c r="M1702" t="str">
        <f t="shared" si="80"/>
        <v>Low</v>
      </c>
    </row>
    <row r="1703" spans="1:13" x14ac:dyDescent="0.35">
      <c r="A1703">
        <v>1702</v>
      </c>
      <c r="B1703">
        <v>2192</v>
      </c>
      <c r="C1703" t="str">
        <f t="shared" si="78"/>
        <v>Medium</v>
      </c>
      <c r="D1703">
        <v>1</v>
      </c>
      <c r="E1703">
        <v>2</v>
      </c>
      <c r="F1703">
        <v>3</v>
      </c>
      <c r="G1703">
        <v>1988</v>
      </c>
      <c r="H1703" t="str">
        <f t="shared" si="79"/>
        <v>1976-2000</v>
      </c>
      <c r="I1703" t="s">
        <v>19</v>
      </c>
      <c r="J1703" t="s">
        <v>15</v>
      </c>
      <c r="K1703" t="s">
        <v>12</v>
      </c>
      <c r="L1703" s="4">
        <v>792647</v>
      </c>
      <c r="M1703" t="str">
        <f t="shared" si="80"/>
        <v>Premium</v>
      </c>
    </row>
    <row r="1704" spans="1:13" x14ac:dyDescent="0.35">
      <c r="A1704">
        <v>1703</v>
      </c>
      <c r="B1704">
        <v>605</v>
      </c>
      <c r="C1704" t="str">
        <f t="shared" si="78"/>
        <v>Small</v>
      </c>
      <c r="D1704">
        <v>2</v>
      </c>
      <c r="E1704">
        <v>2</v>
      </c>
      <c r="F1704">
        <v>3</v>
      </c>
      <c r="G1704">
        <v>1918</v>
      </c>
      <c r="H1704" t="str">
        <f t="shared" si="79"/>
        <v>Pre-1950</v>
      </c>
      <c r="I1704" t="s">
        <v>19</v>
      </c>
      <c r="J1704" t="s">
        <v>13</v>
      </c>
      <c r="K1704" t="s">
        <v>16</v>
      </c>
      <c r="L1704" s="4">
        <v>809925</v>
      </c>
      <c r="M1704" t="str">
        <f t="shared" si="80"/>
        <v>Premium</v>
      </c>
    </row>
    <row r="1705" spans="1:13" x14ac:dyDescent="0.35">
      <c r="A1705">
        <v>1704</v>
      </c>
      <c r="B1705">
        <v>2181</v>
      </c>
      <c r="C1705" t="str">
        <f t="shared" si="78"/>
        <v>Medium</v>
      </c>
      <c r="D1705">
        <v>3</v>
      </c>
      <c r="E1705">
        <v>1</v>
      </c>
      <c r="F1705">
        <v>2</v>
      </c>
      <c r="G1705">
        <v>1996</v>
      </c>
      <c r="H1705" t="str">
        <f t="shared" si="79"/>
        <v>1976-2000</v>
      </c>
      <c r="I1705" t="s">
        <v>14</v>
      </c>
      <c r="J1705" t="s">
        <v>11</v>
      </c>
      <c r="K1705" t="s">
        <v>12</v>
      </c>
      <c r="L1705" s="4">
        <v>664997</v>
      </c>
      <c r="M1705" t="str">
        <f t="shared" si="80"/>
        <v>Premium</v>
      </c>
    </row>
    <row r="1706" spans="1:13" x14ac:dyDescent="0.35">
      <c r="A1706">
        <v>1705</v>
      </c>
      <c r="B1706">
        <v>4597</v>
      </c>
      <c r="C1706" t="str">
        <f t="shared" si="78"/>
        <v>Extra Large</v>
      </c>
      <c r="D1706">
        <v>5</v>
      </c>
      <c r="E1706">
        <v>4</v>
      </c>
      <c r="F1706">
        <v>2</v>
      </c>
      <c r="G1706">
        <v>1965</v>
      </c>
      <c r="H1706" t="str">
        <f t="shared" si="79"/>
        <v>1950-1975</v>
      </c>
      <c r="I1706" t="s">
        <v>10</v>
      </c>
      <c r="J1706" t="s">
        <v>11</v>
      </c>
      <c r="K1706" t="s">
        <v>12</v>
      </c>
      <c r="L1706" s="4">
        <v>365414</v>
      </c>
      <c r="M1706" t="str">
        <f t="shared" si="80"/>
        <v>Medium</v>
      </c>
    </row>
    <row r="1707" spans="1:13" x14ac:dyDescent="0.35">
      <c r="A1707">
        <v>1706</v>
      </c>
      <c r="B1707">
        <v>4516</v>
      </c>
      <c r="C1707" t="str">
        <f t="shared" si="78"/>
        <v>Extra Large</v>
      </c>
      <c r="D1707">
        <v>2</v>
      </c>
      <c r="E1707">
        <v>2</v>
      </c>
      <c r="F1707">
        <v>2</v>
      </c>
      <c r="G1707">
        <v>1978</v>
      </c>
      <c r="H1707" t="str">
        <f t="shared" si="79"/>
        <v>1976-2000</v>
      </c>
      <c r="I1707" t="s">
        <v>17</v>
      </c>
      <c r="J1707" t="s">
        <v>11</v>
      </c>
      <c r="K1707" t="s">
        <v>12</v>
      </c>
      <c r="L1707" s="4">
        <v>514838</v>
      </c>
      <c r="M1707" t="str">
        <f t="shared" si="80"/>
        <v>High</v>
      </c>
    </row>
    <row r="1708" spans="1:13" x14ac:dyDescent="0.35">
      <c r="A1708">
        <v>1707</v>
      </c>
      <c r="B1708">
        <v>3136</v>
      </c>
      <c r="C1708" t="str">
        <f t="shared" si="78"/>
        <v>Large</v>
      </c>
      <c r="D1708">
        <v>5</v>
      </c>
      <c r="E1708">
        <v>4</v>
      </c>
      <c r="F1708">
        <v>2</v>
      </c>
      <c r="G1708">
        <v>1985</v>
      </c>
      <c r="H1708" t="str">
        <f t="shared" si="79"/>
        <v>1976-2000</v>
      </c>
      <c r="I1708" t="s">
        <v>10</v>
      </c>
      <c r="J1708" t="s">
        <v>15</v>
      </c>
      <c r="K1708" t="s">
        <v>12</v>
      </c>
      <c r="L1708" s="4">
        <v>891967</v>
      </c>
      <c r="M1708" t="str">
        <f t="shared" si="80"/>
        <v>Premium</v>
      </c>
    </row>
    <row r="1709" spans="1:13" x14ac:dyDescent="0.35">
      <c r="A1709">
        <v>1708</v>
      </c>
      <c r="B1709">
        <v>2637</v>
      </c>
      <c r="C1709" t="str">
        <f t="shared" si="78"/>
        <v>Large</v>
      </c>
      <c r="D1709">
        <v>2</v>
      </c>
      <c r="E1709">
        <v>3</v>
      </c>
      <c r="F1709">
        <v>2</v>
      </c>
      <c r="G1709">
        <v>2023</v>
      </c>
      <c r="H1709" t="str">
        <f t="shared" si="79"/>
        <v>Post-2000</v>
      </c>
      <c r="I1709" t="s">
        <v>10</v>
      </c>
      <c r="J1709" t="s">
        <v>15</v>
      </c>
      <c r="K1709" t="s">
        <v>12</v>
      </c>
      <c r="L1709" s="4">
        <v>305560</v>
      </c>
      <c r="M1709" t="str">
        <f t="shared" si="80"/>
        <v>Medium</v>
      </c>
    </row>
    <row r="1710" spans="1:13" x14ac:dyDescent="0.35">
      <c r="A1710">
        <v>1709</v>
      </c>
      <c r="B1710">
        <v>3916</v>
      </c>
      <c r="C1710" t="str">
        <f t="shared" si="78"/>
        <v>Large</v>
      </c>
      <c r="D1710">
        <v>3</v>
      </c>
      <c r="E1710">
        <v>4</v>
      </c>
      <c r="F1710">
        <v>1</v>
      </c>
      <c r="G1710">
        <v>1973</v>
      </c>
      <c r="H1710" t="str">
        <f t="shared" si="79"/>
        <v>1950-1975</v>
      </c>
      <c r="I1710" t="s">
        <v>19</v>
      </c>
      <c r="J1710" t="s">
        <v>15</v>
      </c>
      <c r="K1710" t="s">
        <v>16</v>
      </c>
      <c r="L1710" s="4">
        <v>818026</v>
      </c>
      <c r="M1710" t="str">
        <f t="shared" si="80"/>
        <v>Premium</v>
      </c>
    </row>
    <row r="1711" spans="1:13" x14ac:dyDescent="0.35">
      <c r="A1711">
        <v>1710</v>
      </c>
      <c r="B1711">
        <v>4945</v>
      </c>
      <c r="C1711" t="str">
        <f t="shared" si="78"/>
        <v>Extra Large</v>
      </c>
      <c r="D1711">
        <v>3</v>
      </c>
      <c r="E1711">
        <v>1</v>
      </c>
      <c r="F1711">
        <v>3</v>
      </c>
      <c r="G1711">
        <v>1981</v>
      </c>
      <c r="H1711" t="str">
        <f t="shared" si="79"/>
        <v>1976-2000</v>
      </c>
      <c r="I1711" t="s">
        <v>14</v>
      </c>
      <c r="J1711" t="s">
        <v>15</v>
      </c>
      <c r="K1711" t="s">
        <v>12</v>
      </c>
      <c r="L1711" s="4">
        <v>782119</v>
      </c>
      <c r="M1711" t="str">
        <f t="shared" si="80"/>
        <v>Premium</v>
      </c>
    </row>
    <row r="1712" spans="1:13" x14ac:dyDescent="0.35">
      <c r="A1712">
        <v>1711</v>
      </c>
      <c r="B1712">
        <v>4030</v>
      </c>
      <c r="C1712" t="str">
        <f t="shared" si="78"/>
        <v>Extra Large</v>
      </c>
      <c r="D1712">
        <v>4</v>
      </c>
      <c r="E1712">
        <v>3</v>
      </c>
      <c r="F1712">
        <v>1</v>
      </c>
      <c r="G1712">
        <v>1921</v>
      </c>
      <c r="H1712" t="str">
        <f t="shared" si="79"/>
        <v>Pre-1950</v>
      </c>
      <c r="I1712" t="s">
        <v>10</v>
      </c>
      <c r="J1712" t="s">
        <v>18</v>
      </c>
      <c r="K1712" t="s">
        <v>12</v>
      </c>
      <c r="L1712" s="4">
        <v>66220</v>
      </c>
      <c r="M1712" t="str">
        <f t="shared" si="80"/>
        <v>Low</v>
      </c>
    </row>
    <row r="1713" spans="1:13" x14ac:dyDescent="0.35">
      <c r="A1713">
        <v>1712</v>
      </c>
      <c r="B1713">
        <v>1786</v>
      </c>
      <c r="C1713" t="str">
        <f t="shared" si="78"/>
        <v>Medium</v>
      </c>
      <c r="D1713">
        <v>2</v>
      </c>
      <c r="E1713">
        <v>2</v>
      </c>
      <c r="F1713">
        <v>1</v>
      </c>
      <c r="G1713">
        <v>1945</v>
      </c>
      <c r="H1713" t="str">
        <f t="shared" si="79"/>
        <v>Pre-1950</v>
      </c>
      <c r="I1713" t="s">
        <v>17</v>
      </c>
      <c r="J1713" t="s">
        <v>15</v>
      </c>
      <c r="K1713" t="s">
        <v>12</v>
      </c>
      <c r="L1713" s="4">
        <v>325536</v>
      </c>
      <c r="M1713" t="str">
        <f t="shared" si="80"/>
        <v>Medium</v>
      </c>
    </row>
    <row r="1714" spans="1:13" x14ac:dyDescent="0.35">
      <c r="A1714">
        <v>1713</v>
      </c>
      <c r="B1714">
        <v>3679</v>
      </c>
      <c r="C1714" t="str">
        <f t="shared" si="78"/>
        <v>Large</v>
      </c>
      <c r="D1714">
        <v>4</v>
      </c>
      <c r="E1714">
        <v>2</v>
      </c>
      <c r="F1714">
        <v>1</v>
      </c>
      <c r="G1714">
        <v>2012</v>
      </c>
      <c r="H1714" t="str">
        <f t="shared" si="79"/>
        <v>Post-2000</v>
      </c>
      <c r="I1714" t="s">
        <v>10</v>
      </c>
      <c r="J1714" t="s">
        <v>13</v>
      </c>
      <c r="K1714" t="s">
        <v>12</v>
      </c>
      <c r="L1714" s="4">
        <v>528803</v>
      </c>
      <c r="M1714" t="str">
        <f t="shared" si="80"/>
        <v>High</v>
      </c>
    </row>
    <row r="1715" spans="1:13" x14ac:dyDescent="0.35">
      <c r="A1715">
        <v>1714</v>
      </c>
      <c r="B1715">
        <v>4154</v>
      </c>
      <c r="C1715" t="str">
        <f t="shared" si="78"/>
        <v>Extra Large</v>
      </c>
      <c r="D1715">
        <v>2</v>
      </c>
      <c r="E1715">
        <v>3</v>
      </c>
      <c r="F1715">
        <v>1</v>
      </c>
      <c r="G1715">
        <v>1990</v>
      </c>
      <c r="H1715" t="str">
        <f t="shared" si="79"/>
        <v>1976-2000</v>
      </c>
      <c r="I1715" t="s">
        <v>17</v>
      </c>
      <c r="J1715" t="s">
        <v>18</v>
      </c>
      <c r="K1715" t="s">
        <v>12</v>
      </c>
      <c r="L1715" s="4">
        <v>445462</v>
      </c>
      <c r="M1715" t="str">
        <f t="shared" si="80"/>
        <v>High</v>
      </c>
    </row>
    <row r="1716" spans="1:13" x14ac:dyDescent="0.35">
      <c r="A1716">
        <v>1715</v>
      </c>
      <c r="B1716">
        <v>2859</v>
      </c>
      <c r="C1716" t="str">
        <f t="shared" si="78"/>
        <v>Large</v>
      </c>
      <c r="D1716">
        <v>4</v>
      </c>
      <c r="E1716">
        <v>4</v>
      </c>
      <c r="F1716">
        <v>1</v>
      </c>
      <c r="G1716">
        <v>1912</v>
      </c>
      <c r="H1716" t="str">
        <f t="shared" si="79"/>
        <v>Pre-1950</v>
      </c>
      <c r="I1716" t="s">
        <v>19</v>
      </c>
      <c r="J1716" t="s">
        <v>18</v>
      </c>
      <c r="K1716" t="s">
        <v>12</v>
      </c>
      <c r="L1716" s="4">
        <v>332154</v>
      </c>
      <c r="M1716" t="str">
        <f t="shared" si="80"/>
        <v>Medium</v>
      </c>
    </row>
    <row r="1717" spans="1:13" x14ac:dyDescent="0.35">
      <c r="A1717">
        <v>1716</v>
      </c>
      <c r="B1717">
        <v>944</v>
      </c>
      <c r="C1717" t="str">
        <f t="shared" si="78"/>
        <v>Small</v>
      </c>
      <c r="D1717">
        <v>3</v>
      </c>
      <c r="E1717">
        <v>2</v>
      </c>
      <c r="F1717">
        <v>2</v>
      </c>
      <c r="G1717">
        <v>1932</v>
      </c>
      <c r="H1717" t="str">
        <f t="shared" si="79"/>
        <v>Pre-1950</v>
      </c>
      <c r="I1717" t="s">
        <v>14</v>
      </c>
      <c r="J1717" t="s">
        <v>15</v>
      </c>
      <c r="K1717" t="s">
        <v>16</v>
      </c>
      <c r="L1717" s="4">
        <v>176951</v>
      </c>
      <c r="M1717" t="str">
        <f t="shared" si="80"/>
        <v>Low</v>
      </c>
    </row>
    <row r="1718" spans="1:13" x14ac:dyDescent="0.35">
      <c r="A1718">
        <v>1717</v>
      </c>
      <c r="B1718">
        <v>535</v>
      </c>
      <c r="C1718" t="str">
        <f t="shared" si="78"/>
        <v>Small</v>
      </c>
      <c r="D1718">
        <v>5</v>
      </c>
      <c r="E1718">
        <v>1</v>
      </c>
      <c r="F1718">
        <v>2</v>
      </c>
      <c r="G1718">
        <v>1904</v>
      </c>
      <c r="H1718" t="str">
        <f t="shared" si="79"/>
        <v>Pre-1950</v>
      </c>
      <c r="I1718" t="s">
        <v>10</v>
      </c>
      <c r="J1718" t="s">
        <v>11</v>
      </c>
      <c r="K1718" t="s">
        <v>12</v>
      </c>
      <c r="L1718" s="4">
        <v>380502</v>
      </c>
      <c r="M1718" t="str">
        <f t="shared" si="80"/>
        <v>Medium</v>
      </c>
    </row>
    <row r="1719" spans="1:13" x14ac:dyDescent="0.35">
      <c r="A1719">
        <v>1718</v>
      </c>
      <c r="B1719">
        <v>1975</v>
      </c>
      <c r="C1719" t="str">
        <f t="shared" si="78"/>
        <v>Medium</v>
      </c>
      <c r="D1719">
        <v>4</v>
      </c>
      <c r="E1719">
        <v>3</v>
      </c>
      <c r="F1719">
        <v>3</v>
      </c>
      <c r="G1719">
        <v>1989</v>
      </c>
      <c r="H1719" t="str">
        <f t="shared" si="79"/>
        <v>1976-2000</v>
      </c>
      <c r="I1719" t="s">
        <v>14</v>
      </c>
      <c r="J1719" t="s">
        <v>15</v>
      </c>
      <c r="K1719" t="s">
        <v>16</v>
      </c>
      <c r="L1719" s="4">
        <v>533419</v>
      </c>
      <c r="M1719" t="str">
        <f t="shared" si="80"/>
        <v>High</v>
      </c>
    </row>
    <row r="1720" spans="1:13" x14ac:dyDescent="0.35">
      <c r="A1720">
        <v>1719</v>
      </c>
      <c r="B1720">
        <v>4457</v>
      </c>
      <c r="C1720" t="str">
        <f t="shared" si="78"/>
        <v>Extra Large</v>
      </c>
      <c r="D1720">
        <v>2</v>
      </c>
      <c r="E1720">
        <v>1</v>
      </c>
      <c r="F1720">
        <v>1</v>
      </c>
      <c r="G1720">
        <v>1976</v>
      </c>
      <c r="H1720" t="str">
        <f t="shared" si="79"/>
        <v>1976-2000</v>
      </c>
      <c r="I1720" t="s">
        <v>10</v>
      </c>
      <c r="J1720" t="s">
        <v>11</v>
      </c>
      <c r="K1720" t="s">
        <v>16</v>
      </c>
      <c r="L1720" s="4">
        <v>198306</v>
      </c>
      <c r="M1720" t="str">
        <f t="shared" si="80"/>
        <v>Low</v>
      </c>
    </row>
    <row r="1721" spans="1:13" x14ac:dyDescent="0.35">
      <c r="A1721">
        <v>1720</v>
      </c>
      <c r="B1721">
        <v>2298</v>
      </c>
      <c r="C1721" t="str">
        <f t="shared" si="78"/>
        <v>Medium</v>
      </c>
      <c r="D1721">
        <v>2</v>
      </c>
      <c r="E1721">
        <v>3</v>
      </c>
      <c r="F1721">
        <v>3</v>
      </c>
      <c r="G1721">
        <v>1926</v>
      </c>
      <c r="H1721" t="str">
        <f t="shared" si="79"/>
        <v>Pre-1950</v>
      </c>
      <c r="I1721" t="s">
        <v>17</v>
      </c>
      <c r="J1721" t="s">
        <v>15</v>
      </c>
      <c r="K1721" t="s">
        <v>12</v>
      </c>
      <c r="L1721" s="4">
        <v>932622</v>
      </c>
      <c r="M1721" t="str">
        <f t="shared" si="80"/>
        <v>Premium</v>
      </c>
    </row>
    <row r="1722" spans="1:13" x14ac:dyDescent="0.35">
      <c r="A1722">
        <v>1721</v>
      </c>
      <c r="B1722">
        <v>2345</v>
      </c>
      <c r="C1722" t="str">
        <f t="shared" si="78"/>
        <v>Medium</v>
      </c>
      <c r="D1722">
        <v>3</v>
      </c>
      <c r="E1722">
        <v>2</v>
      </c>
      <c r="F1722">
        <v>2</v>
      </c>
      <c r="G1722">
        <v>2020</v>
      </c>
      <c r="H1722" t="str">
        <f t="shared" si="79"/>
        <v>Post-2000</v>
      </c>
      <c r="I1722" t="s">
        <v>14</v>
      </c>
      <c r="J1722" t="s">
        <v>15</v>
      </c>
      <c r="K1722" t="s">
        <v>12</v>
      </c>
      <c r="L1722" s="4">
        <v>690083</v>
      </c>
      <c r="M1722" t="str">
        <f t="shared" si="80"/>
        <v>Premium</v>
      </c>
    </row>
    <row r="1723" spans="1:13" x14ac:dyDescent="0.35">
      <c r="A1723">
        <v>1722</v>
      </c>
      <c r="B1723">
        <v>1908</v>
      </c>
      <c r="C1723" t="str">
        <f t="shared" si="78"/>
        <v>Medium</v>
      </c>
      <c r="D1723">
        <v>2</v>
      </c>
      <c r="E1723">
        <v>4</v>
      </c>
      <c r="F1723">
        <v>2</v>
      </c>
      <c r="G1723">
        <v>1977</v>
      </c>
      <c r="H1723" t="str">
        <f t="shared" si="79"/>
        <v>1976-2000</v>
      </c>
      <c r="I1723" t="s">
        <v>10</v>
      </c>
      <c r="J1723" t="s">
        <v>11</v>
      </c>
      <c r="K1723" t="s">
        <v>12</v>
      </c>
      <c r="L1723" s="4">
        <v>492667</v>
      </c>
      <c r="M1723" t="str">
        <f t="shared" si="80"/>
        <v>High</v>
      </c>
    </row>
    <row r="1724" spans="1:13" x14ac:dyDescent="0.35">
      <c r="A1724">
        <v>1723</v>
      </c>
      <c r="B1724">
        <v>2208</v>
      </c>
      <c r="C1724" t="str">
        <f t="shared" si="78"/>
        <v>Medium</v>
      </c>
      <c r="D1724">
        <v>1</v>
      </c>
      <c r="E1724">
        <v>3</v>
      </c>
      <c r="F1724">
        <v>2</v>
      </c>
      <c r="G1724">
        <v>1923</v>
      </c>
      <c r="H1724" t="str">
        <f t="shared" si="79"/>
        <v>Pre-1950</v>
      </c>
      <c r="I1724" t="s">
        <v>19</v>
      </c>
      <c r="J1724" t="s">
        <v>11</v>
      </c>
      <c r="K1724" t="s">
        <v>16</v>
      </c>
      <c r="L1724" s="4">
        <v>959222</v>
      </c>
      <c r="M1724" t="str">
        <f t="shared" si="80"/>
        <v>Premium</v>
      </c>
    </row>
    <row r="1725" spans="1:13" x14ac:dyDescent="0.35">
      <c r="A1725">
        <v>1724</v>
      </c>
      <c r="B1725">
        <v>3438</v>
      </c>
      <c r="C1725" t="str">
        <f t="shared" si="78"/>
        <v>Large</v>
      </c>
      <c r="D1725">
        <v>5</v>
      </c>
      <c r="E1725">
        <v>3</v>
      </c>
      <c r="F1725">
        <v>1</v>
      </c>
      <c r="G1725">
        <v>1966</v>
      </c>
      <c r="H1725" t="str">
        <f t="shared" si="79"/>
        <v>1950-1975</v>
      </c>
      <c r="I1725" t="s">
        <v>17</v>
      </c>
      <c r="J1725" t="s">
        <v>11</v>
      </c>
      <c r="K1725" t="s">
        <v>12</v>
      </c>
      <c r="L1725" s="4">
        <v>175223</v>
      </c>
      <c r="M1725" t="str">
        <f t="shared" si="80"/>
        <v>Low</v>
      </c>
    </row>
    <row r="1726" spans="1:13" x14ac:dyDescent="0.35">
      <c r="A1726">
        <v>1725</v>
      </c>
      <c r="B1726">
        <v>1800</v>
      </c>
      <c r="C1726" t="str">
        <f t="shared" si="78"/>
        <v>Medium</v>
      </c>
      <c r="D1726">
        <v>4</v>
      </c>
      <c r="E1726">
        <v>1</v>
      </c>
      <c r="F1726">
        <v>1</v>
      </c>
      <c r="G1726">
        <v>2010</v>
      </c>
      <c r="H1726" t="str">
        <f t="shared" si="79"/>
        <v>Post-2000</v>
      </c>
      <c r="I1726" t="s">
        <v>14</v>
      </c>
      <c r="J1726" t="s">
        <v>11</v>
      </c>
      <c r="K1726" t="s">
        <v>12</v>
      </c>
      <c r="L1726" s="4">
        <v>572886</v>
      </c>
      <c r="M1726" t="str">
        <f t="shared" si="80"/>
        <v>High</v>
      </c>
    </row>
    <row r="1727" spans="1:13" x14ac:dyDescent="0.35">
      <c r="A1727">
        <v>1726</v>
      </c>
      <c r="B1727">
        <v>1743</v>
      </c>
      <c r="C1727" t="str">
        <f t="shared" si="78"/>
        <v>Medium</v>
      </c>
      <c r="D1727">
        <v>5</v>
      </c>
      <c r="E1727">
        <v>2</v>
      </c>
      <c r="F1727">
        <v>2</v>
      </c>
      <c r="G1727">
        <v>2014</v>
      </c>
      <c r="H1727" t="str">
        <f t="shared" si="79"/>
        <v>Post-2000</v>
      </c>
      <c r="I1727" t="s">
        <v>10</v>
      </c>
      <c r="J1727" t="s">
        <v>13</v>
      </c>
      <c r="K1727" t="s">
        <v>12</v>
      </c>
      <c r="L1727" s="4">
        <v>649493</v>
      </c>
      <c r="M1727" t="str">
        <f t="shared" si="80"/>
        <v>Premium</v>
      </c>
    </row>
    <row r="1728" spans="1:13" x14ac:dyDescent="0.35">
      <c r="A1728">
        <v>1727</v>
      </c>
      <c r="B1728">
        <v>4476</v>
      </c>
      <c r="C1728" t="str">
        <f t="shared" si="78"/>
        <v>Extra Large</v>
      </c>
      <c r="D1728">
        <v>3</v>
      </c>
      <c r="E1728">
        <v>1</v>
      </c>
      <c r="F1728">
        <v>3</v>
      </c>
      <c r="G1728">
        <v>1962</v>
      </c>
      <c r="H1728" t="str">
        <f t="shared" si="79"/>
        <v>1950-1975</v>
      </c>
      <c r="I1728" t="s">
        <v>14</v>
      </c>
      <c r="J1728" t="s">
        <v>11</v>
      </c>
      <c r="K1728" t="s">
        <v>16</v>
      </c>
      <c r="L1728" s="4">
        <v>465000</v>
      </c>
      <c r="M1728" t="str">
        <f t="shared" si="80"/>
        <v>High</v>
      </c>
    </row>
    <row r="1729" spans="1:13" x14ac:dyDescent="0.35">
      <c r="A1729">
        <v>1728</v>
      </c>
      <c r="B1729">
        <v>3597</v>
      </c>
      <c r="C1729" t="str">
        <f t="shared" si="78"/>
        <v>Large</v>
      </c>
      <c r="D1729">
        <v>4</v>
      </c>
      <c r="E1729">
        <v>2</v>
      </c>
      <c r="F1729">
        <v>3</v>
      </c>
      <c r="G1729">
        <v>2012</v>
      </c>
      <c r="H1729" t="str">
        <f t="shared" si="79"/>
        <v>Post-2000</v>
      </c>
      <c r="I1729" t="s">
        <v>10</v>
      </c>
      <c r="J1729" t="s">
        <v>15</v>
      </c>
      <c r="K1729" t="s">
        <v>16</v>
      </c>
      <c r="L1729" s="4">
        <v>997176</v>
      </c>
      <c r="M1729" t="str">
        <f t="shared" si="80"/>
        <v>Premium</v>
      </c>
    </row>
    <row r="1730" spans="1:13" x14ac:dyDescent="0.35">
      <c r="A1730">
        <v>1729</v>
      </c>
      <c r="B1730">
        <v>509</v>
      </c>
      <c r="C1730" t="str">
        <f t="shared" si="78"/>
        <v>Small</v>
      </c>
      <c r="D1730">
        <v>4</v>
      </c>
      <c r="E1730">
        <v>1</v>
      </c>
      <c r="F1730">
        <v>2</v>
      </c>
      <c r="G1730">
        <v>1993</v>
      </c>
      <c r="H1730" t="str">
        <f t="shared" si="79"/>
        <v>1976-2000</v>
      </c>
      <c r="I1730" t="s">
        <v>17</v>
      </c>
      <c r="J1730" t="s">
        <v>15</v>
      </c>
      <c r="K1730" t="s">
        <v>12</v>
      </c>
      <c r="L1730" s="4">
        <v>51082</v>
      </c>
      <c r="M1730" t="str">
        <f t="shared" si="80"/>
        <v>Low</v>
      </c>
    </row>
    <row r="1731" spans="1:13" x14ac:dyDescent="0.35">
      <c r="A1731">
        <v>1730</v>
      </c>
      <c r="B1731">
        <v>2925</v>
      </c>
      <c r="C1731" t="str">
        <f t="shared" ref="C1731:C1794" si="81">IF(B1731&lt;=1000,"Small",IF(B1731&lt;=2500,"Medium",IF(B1731&lt;=4000,"Large",IF(B1731&gt;=4000,"Extra Large"))))</f>
        <v>Large</v>
      </c>
      <c r="D1731">
        <v>1</v>
      </c>
      <c r="E1731">
        <v>3</v>
      </c>
      <c r="F1731">
        <v>3</v>
      </c>
      <c r="G1731">
        <v>1998</v>
      </c>
      <c r="H1731" t="str">
        <f t="shared" ref="H1731:H1794" si="82">IF(G1731&lt;=1950,"Pre-1950",IF(G1731&lt;=1975,"1950-1975",IF(G1731&lt;=2000,"1976-2000",IF(G1731&gt;=2000,"Post-2000"))))</f>
        <v>1976-2000</v>
      </c>
      <c r="I1731" t="s">
        <v>19</v>
      </c>
      <c r="J1731" t="s">
        <v>13</v>
      </c>
      <c r="K1731" t="s">
        <v>16</v>
      </c>
      <c r="L1731" s="4">
        <v>454364</v>
      </c>
      <c r="M1731" t="str">
        <f t="shared" ref="M1731:M1794" si="83">IF(L1731&lt;=200000,"Low",IF(L1731&lt;=400000,"Medium",IF(L1731&lt;=600000,"High",IF(L1731&gt;=600000,"Premium",""))))</f>
        <v>High</v>
      </c>
    </row>
    <row r="1732" spans="1:13" x14ac:dyDescent="0.35">
      <c r="A1732">
        <v>1731</v>
      </c>
      <c r="B1732">
        <v>2160</v>
      </c>
      <c r="C1732" t="str">
        <f t="shared" si="81"/>
        <v>Medium</v>
      </c>
      <c r="D1732">
        <v>3</v>
      </c>
      <c r="E1732">
        <v>1</v>
      </c>
      <c r="F1732">
        <v>2</v>
      </c>
      <c r="G1732">
        <v>1947</v>
      </c>
      <c r="H1732" t="str">
        <f t="shared" si="82"/>
        <v>Pre-1950</v>
      </c>
      <c r="I1732" t="s">
        <v>17</v>
      </c>
      <c r="J1732" t="s">
        <v>11</v>
      </c>
      <c r="K1732" t="s">
        <v>12</v>
      </c>
      <c r="L1732" s="4">
        <v>208566</v>
      </c>
      <c r="M1732" t="str">
        <f t="shared" si="83"/>
        <v>Medium</v>
      </c>
    </row>
    <row r="1733" spans="1:13" x14ac:dyDescent="0.35">
      <c r="A1733">
        <v>1732</v>
      </c>
      <c r="B1733">
        <v>3131</v>
      </c>
      <c r="C1733" t="str">
        <f t="shared" si="81"/>
        <v>Large</v>
      </c>
      <c r="D1733">
        <v>2</v>
      </c>
      <c r="E1733">
        <v>4</v>
      </c>
      <c r="F1733">
        <v>3</v>
      </c>
      <c r="G1733">
        <v>1962</v>
      </c>
      <c r="H1733" t="str">
        <f t="shared" si="82"/>
        <v>1950-1975</v>
      </c>
      <c r="I1733" t="s">
        <v>14</v>
      </c>
      <c r="J1733" t="s">
        <v>15</v>
      </c>
      <c r="K1733" t="s">
        <v>16</v>
      </c>
      <c r="L1733" s="4">
        <v>911525</v>
      </c>
      <c r="M1733" t="str">
        <f t="shared" si="83"/>
        <v>Premium</v>
      </c>
    </row>
    <row r="1734" spans="1:13" x14ac:dyDescent="0.35">
      <c r="A1734">
        <v>1733</v>
      </c>
      <c r="B1734">
        <v>1572</v>
      </c>
      <c r="C1734" t="str">
        <f t="shared" si="81"/>
        <v>Medium</v>
      </c>
      <c r="D1734">
        <v>1</v>
      </c>
      <c r="E1734">
        <v>2</v>
      </c>
      <c r="F1734">
        <v>2</v>
      </c>
      <c r="G1734">
        <v>1977</v>
      </c>
      <c r="H1734" t="str">
        <f t="shared" si="82"/>
        <v>1976-2000</v>
      </c>
      <c r="I1734" t="s">
        <v>14</v>
      </c>
      <c r="J1734" t="s">
        <v>13</v>
      </c>
      <c r="K1734" t="s">
        <v>12</v>
      </c>
      <c r="L1734" s="4">
        <v>364096</v>
      </c>
      <c r="M1734" t="str">
        <f t="shared" si="83"/>
        <v>Medium</v>
      </c>
    </row>
    <row r="1735" spans="1:13" x14ac:dyDescent="0.35">
      <c r="A1735">
        <v>1734</v>
      </c>
      <c r="B1735">
        <v>3725</v>
      </c>
      <c r="C1735" t="str">
        <f t="shared" si="81"/>
        <v>Large</v>
      </c>
      <c r="D1735">
        <v>1</v>
      </c>
      <c r="E1735">
        <v>2</v>
      </c>
      <c r="F1735">
        <v>3</v>
      </c>
      <c r="G1735">
        <v>1911</v>
      </c>
      <c r="H1735" t="str">
        <f t="shared" si="82"/>
        <v>Pre-1950</v>
      </c>
      <c r="I1735" t="s">
        <v>10</v>
      </c>
      <c r="J1735" t="s">
        <v>15</v>
      </c>
      <c r="K1735" t="s">
        <v>16</v>
      </c>
      <c r="L1735" s="4">
        <v>86719</v>
      </c>
      <c r="M1735" t="str">
        <f t="shared" si="83"/>
        <v>Low</v>
      </c>
    </row>
    <row r="1736" spans="1:13" x14ac:dyDescent="0.35">
      <c r="A1736">
        <v>1735</v>
      </c>
      <c r="B1736">
        <v>1816</v>
      </c>
      <c r="C1736" t="str">
        <f t="shared" si="81"/>
        <v>Medium</v>
      </c>
      <c r="D1736">
        <v>5</v>
      </c>
      <c r="E1736">
        <v>3</v>
      </c>
      <c r="F1736">
        <v>1</v>
      </c>
      <c r="G1736">
        <v>1927</v>
      </c>
      <c r="H1736" t="str">
        <f t="shared" si="82"/>
        <v>Pre-1950</v>
      </c>
      <c r="I1736" t="s">
        <v>17</v>
      </c>
      <c r="J1736" t="s">
        <v>13</v>
      </c>
      <c r="K1736" t="s">
        <v>12</v>
      </c>
      <c r="L1736" s="4">
        <v>98737</v>
      </c>
      <c r="M1736" t="str">
        <f t="shared" si="83"/>
        <v>Low</v>
      </c>
    </row>
    <row r="1737" spans="1:13" x14ac:dyDescent="0.35">
      <c r="A1737">
        <v>1736</v>
      </c>
      <c r="B1737">
        <v>4645</v>
      </c>
      <c r="C1737" t="str">
        <f t="shared" si="81"/>
        <v>Extra Large</v>
      </c>
      <c r="D1737">
        <v>5</v>
      </c>
      <c r="E1737">
        <v>2</v>
      </c>
      <c r="F1737">
        <v>2</v>
      </c>
      <c r="G1737">
        <v>1943</v>
      </c>
      <c r="H1737" t="str">
        <f t="shared" si="82"/>
        <v>Pre-1950</v>
      </c>
      <c r="I1737" t="s">
        <v>10</v>
      </c>
      <c r="J1737" t="s">
        <v>13</v>
      </c>
      <c r="K1737" t="s">
        <v>12</v>
      </c>
      <c r="L1737" s="4">
        <v>502669</v>
      </c>
      <c r="M1737" t="str">
        <f t="shared" si="83"/>
        <v>High</v>
      </c>
    </row>
    <row r="1738" spans="1:13" x14ac:dyDescent="0.35">
      <c r="A1738">
        <v>1737</v>
      </c>
      <c r="B1738">
        <v>4183</v>
      </c>
      <c r="C1738" t="str">
        <f t="shared" si="81"/>
        <v>Extra Large</v>
      </c>
      <c r="D1738">
        <v>5</v>
      </c>
      <c r="E1738">
        <v>4</v>
      </c>
      <c r="F1738">
        <v>2</v>
      </c>
      <c r="G1738">
        <v>1992</v>
      </c>
      <c r="H1738" t="str">
        <f t="shared" si="82"/>
        <v>1976-2000</v>
      </c>
      <c r="I1738" t="s">
        <v>17</v>
      </c>
      <c r="J1738" t="s">
        <v>18</v>
      </c>
      <c r="K1738" t="s">
        <v>16</v>
      </c>
      <c r="L1738" s="4">
        <v>157271</v>
      </c>
      <c r="M1738" t="str">
        <f t="shared" si="83"/>
        <v>Low</v>
      </c>
    </row>
    <row r="1739" spans="1:13" x14ac:dyDescent="0.35">
      <c r="A1739">
        <v>1738</v>
      </c>
      <c r="B1739">
        <v>3773</v>
      </c>
      <c r="C1739" t="str">
        <f t="shared" si="81"/>
        <v>Large</v>
      </c>
      <c r="D1739">
        <v>1</v>
      </c>
      <c r="E1739">
        <v>1</v>
      </c>
      <c r="F1739">
        <v>3</v>
      </c>
      <c r="G1739">
        <v>1942</v>
      </c>
      <c r="H1739" t="str">
        <f t="shared" si="82"/>
        <v>Pre-1950</v>
      </c>
      <c r="I1739" t="s">
        <v>14</v>
      </c>
      <c r="J1739" t="s">
        <v>18</v>
      </c>
      <c r="K1739" t="s">
        <v>16</v>
      </c>
      <c r="L1739" s="4">
        <v>744896</v>
      </c>
      <c r="M1739" t="str">
        <f t="shared" si="83"/>
        <v>Premium</v>
      </c>
    </row>
    <row r="1740" spans="1:13" x14ac:dyDescent="0.35">
      <c r="A1740">
        <v>1739</v>
      </c>
      <c r="B1740">
        <v>645</v>
      </c>
      <c r="C1740" t="str">
        <f t="shared" si="81"/>
        <v>Small</v>
      </c>
      <c r="D1740">
        <v>2</v>
      </c>
      <c r="E1740">
        <v>3</v>
      </c>
      <c r="F1740">
        <v>2</v>
      </c>
      <c r="G1740">
        <v>1916</v>
      </c>
      <c r="H1740" t="str">
        <f t="shared" si="82"/>
        <v>Pre-1950</v>
      </c>
      <c r="I1740" t="s">
        <v>10</v>
      </c>
      <c r="J1740" t="s">
        <v>11</v>
      </c>
      <c r="K1740" t="s">
        <v>16</v>
      </c>
      <c r="L1740" s="4">
        <v>231676</v>
      </c>
      <c r="M1740" t="str">
        <f t="shared" si="83"/>
        <v>Medium</v>
      </c>
    </row>
    <row r="1741" spans="1:13" x14ac:dyDescent="0.35">
      <c r="A1741">
        <v>1740</v>
      </c>
      <c r="B1741">
        <v>3540</v>
      </c>
      <c r="C1741" t="str">
        <f t="shared" si="81"/>
        <v>Large</v>
      </c>
      <c r="D1741">
        <v>4</v>
      </c>
      <c r="E1741">
        <v>4</v>
      </c>
      <c r="F1741">
        <v>2</v>
      </c>
      <c r="G1741">
        <v>1939</v>
      </c>
      <c r="H1741" t="str">
        <f t="shared" si="82"/>
        <v>Pre-1950</v>
      </c>
      <c r="I1741" t="s">
        <v>10</v>
      </c>
      <c r="J1741" t="s">
        <v>18</v>
      </c>
      <c r="K1741" t="s">
        <v>16</v>
      </c>
      <c r="L1741" s="4">
        <v>494049</v>
      </c>
      <c r="M1741" t="str">
        <f t="shared" si="83"/>
        <v>High</v>
      </c>
    </row>
    <row r="1742" spans="1:13" x14ac:dyDescent="0.35">
      <c r="A1742">
        <v>1741</v>
      </c>
      <c r="B1742">
        <v>1962</v>
      </c>
      <c r="C1742" t="str">
        <f t="shared" si="81"/>
        <v>Medium</v>
      </c>
      <c r="D1742">
        <v>5</v>
      </c>
      <c r="E1742">
        <v>2</v>
      </c>
      <c r="F1742">
        <v>2</v>
      </c>
      <c r="G1742">
        <v>1948</v>
      </c>
      <c r="H1742" t="str">
        <f t="shared" si="82"/>
        <v>Pre-1950</v>
      </c>
      <c r="I1742" t="s">
        <v>17</v>
      </c>
      <c r="J1742" t="s">
        <v>13</v>
      </c>
      <c r="K1742" t="s">
        <v>16</v>
      </c>
      <c r="L1742" s="4">
        <v>981543</v>
      </c>
      <c r="M1742" t="str">
        <f t="shared" si="83"/>
        <v>Premium</v>
      </c>
    </row>
    <row r="1743" spans="1:13" x14ac:dyDescent="0.35">
      <c r="A1743">
        <v>1742</v>
      </c>
      <c r="B1743">
        <v>2084</v>
      </c>
      <c r="C1743" t="str">
        <f t="shared" si="81"/>
        <v>Medium</v>
      </c>
      <c r="D1743">
        <v>2</v>
      </c>
      <c r="E1743">
        <v>2</v>
      </c>
      <c r="F1743">
        <v>1</v>
      </c>
      <c r="G1743">
        <v>1984</v>
      </c>
      <c r="H1743" t="str">
        <f t="shared" si="82"/>
        <v>1976-2000</v>
      </c>
      <c r="I1743" t="s">
        <v>19</v>
      </c>
      <c r="J1743" t="s">
        <v>15</v>
      </c>
      <c r="K1743" t="s">
        <v>12</v>
      </c>
      <c r="L1743" s="4">
        <v>642127</v>
      </c>
      <c r="M1743" t="str">
        <f t="shared" si="83"/>
        <v>Premium</v>
      </c>
    </row>
    <row r="1744" spans="1:13" x14ac:dyDescent="0.35">
      <c r="A1744">
        <v>1743</v>
      </c>
      <c r="B1744">
        <v>982</v>
      </c>
      <c r="C1744" t="str">
        <f t="shared" si="81"/>
        <v>Small</v>
      </c>
      <c r="D1744">
        <v>3</v>
      </c>
      <c r="E1744">
        <v>4</v>
      </c>
      <c r="F1744">
        <v>1</v>
      </c>
      <c r="G1744">
        <v>1956</v>
      </c>
      <c r="H1744" t="str">
        <f t="shared" si="82"/>
        <v>1950-1975</v>
      </c>
      <c r="I1744" t="s">
        <v>17</v>
      </c>
      <c r="J1744" t="s">
        <v>15</v>
      </c>
      <c r="K1744" t="s">
        <v>12</v>
      </c>
      <c r="L1744" s="4">
        <v>884363</v>
      </c>
      <c r="M1744" t="str">
        <f t="shared" si="83"/>
        <v>Premium</v>
      </c>
    </row>
    <row r="1745" spans="1:13" x14ac:dyDescent="0.35">
      <c r="A1745">
        <v>1744</v>
      </c>
      <c r="B1745">
        <v>3679</v>
      </c>
      <c r="C1745" t="str">
        <f t="shared" si="81"/>
        <v>Large</v>
      </c>
      <c r="D1745">
        <v>5</v>
      </c>
      <c r="E1745">
        <v>1</v>
      </c>
      <c r="F1745">
        <v>3</v>
      </c>
      <c r="G1745">
        <v>1986</v>
      </c>
      <c r="H1745" t="str">
        <f t="shared" si="82"/>
        <v>1976-2000</v>
      </c>
      <c r="I1745" t="s">
        <v>19</v>
      </c>
      <c r="J1745" t="s">
        <v>11</v>
      </c>
      <c r="K1745" t="s">
        <v>16</v>
      </c>
      <c r="L1745" s="4">
        <v>352069</v>
      </c>
      <c r="M1745" t="str">
        <f t="shared" si="83"/>
        <v>Medium</v>
      </c>
    </row>
    <row r="1746" spans="1:13" x14ac:dyDescent="0.35">
      <c r="A1746">
        <v>1745</v>
      </c>
      <c r="B1746">
        <v>1749</v>
      </c>
      <c r="C1746" t="str">
        <f t="shared" si="81"/>
        <v>Medium</v>
      </c>
      <c r="D1746">
        <v>4</v>
      </c>
      <c r="E1746">
        <v>1</v>
      </c>
      <c r="F1746">
        <v>1</v>
      </c>
      <c r="G1746">
        <v>1983</v>
      </c>
      <c r="H1746" t="str">
        <f t="shared" si="82"/>
        <v>1976-2000</v>
      </c>
      <c r="I1746" t="s">
        <v>17</v>
      </c>
      <c r="J1746" t="s">
        <v>18</v>
      </c>
      <c r="K1746" t="s">
        <v>12</v>
      </c>
      <c r="L1746" s="4">
        <v>232075</v>
      </c>
      <c r="M1746" t="str">
        <f t="shared" si="83"/>
        <v>Medium</v>
      </c>
    </row>
    <row r="1747" spans="1:13" x14ac:dyDescent="0.35">
      <c r="A1747">
        <v>1746</v>
      </c>
      <c r="B1747">
        <v>1130</v>
      </c>
      <c r="C1747" t="str">
        <f t="shared" si="81"/>
        <v>Medium</v>
      </c>
      <c r="D1747">
        <v>3</v>
      </c>
      <c r="E1747">
        <v>3</v>
      </c>
      <c r="F1747">
        <v>3</v>
      </c>
      <c r="G1747">
        <v>1963</v>
      </c>
      <c r="H1747" t="str">
        <f t="shared" si="82"/>
        <v>1950-1975</v>
      </c>
      <c r="I1747" t="s">
        <v>14</v>
      </c>
      <c r="J1747" t="s">
        <v>11</v>
      </c>
      <c r="K1747" t="s">
        <v>12</v>
      </c>
      <c r="L1747" s="4">
        <v>492113</v>
      </c>
      <c r="M1747" t="str">
        <f t="shared" si="83"/>
        <v>High</v>
      </c>
    </row>
    <row r="1748" spans="1:13" x14ac:dyDescent="0.35">
      <c r="A1748">
        <v>1747</v>
      </c>
      <c r="B1748">
        <v>1161</v>
      </c>
      <c r="C1748" t="str">
        <f t="shared" si="81"/>
        <v>Medium</v>
      </c>
      <c r="D1748">
        <v>3</v>
      </c>
      <c r="E1748">
        <v>2</v>
      </c>
      <c r="F1748">
        <v>1</v>
      </c>
      <c r="G1748">
        <v>1974</v>
      </c>
      <c r="H1748" t="str">
        <f t="shared" si="82"/>
        <v>1950-1975</v>
      </c>
      <c r="I1748" t="s">
        <v>10</v>
      </c>
      <c r="J1748" t="s">
        <v>13</v>
      </c>
      <c r="K1748" t="s">
        <v>16</v>
      </c>
      <c r="L1748" s="4">
        <v>137745</v>
      </c>
      <c r="M1748" t="str">
        <f t="shared" si="83"/>
        <v>Low</v>
      </c>
    </row>
    <row r="1749" spans="1:13" x14ac:dyDescent="0.35">
      <c r="A1749">
        <v>1748</v>
      </c>
      <c r="B1749">
        <v>4003</v>
      </c>
      <c r="C1749" t="str">
        <f t="shared" si="81"/>
        <v>Extra Large</v>
      </c>
      <c r="D1749">
        <v>4</v>
      </c>
      <c r="E1749">
        <v>4</v>
      </c>
      <c r="F1749">
        <v>3</v>
      </c>
      <c r="G1749">
        <v>1956</v>
      </c>
      <c r="H1749" t="str">
        <f t="shared" si="82"/>
        <v>1950-1975</v>
      </c>
      <c r="I1749" t="s">
        <v>17</v>
      </c>
      <c r="J1749" t="s">
        <v>18</v>
      </c>
      <c r="K1749" t="s">
        <v>12</v>
      </c>
      <c r="L1749" s="4">
        <v>176298</v>
      </c>
      <c r="M1749" t="str">
        <f t="shared" si="83"/>
        <v>Low</v>
      </c>
    </row>
    <row r="1750" spans="1:13" x14ac:dyDescent="0.35">
      <c r="A1750">
        <v>1749</v>
      </c>
      <c r="B1750">
        <v>3352</v>
      </c>
      <c r="C1750" t="str">
        <f t="shared" si="81"/>
        <v>Large</v>
      </c>
      <c r="D1750">
        <v>5</v>
      </c>
      <c r="E1750">
        <v>1</v>
      </c>
      <c r="F1750">
        <v>1</v>
      </c>
      <c r="G1750">
        <v>2020</v>
      </c>
      <c r="H1750" t="str">
        <f t="shared" si="82"/>
        <v>Post-2000</v>
      </c>
      <c r="I1750" t="s">
        <v>14</v>
      </c>
      <c r="J1750" t="s">
        <v>11</v>
      </c>
      <c r="K1750" t="s">
        <v>12</v>
      </c>
      <c r="L1750" s="4">
        <v>667997</v>
      </c>
      <c r="M1750" t="str">
        <f t="shared" si="83"/>
        <v>Premium</v>
      </c>
    </row>
    <row r="1751" spans="1:13" x14ac:dyDescent="0.35">
      <c r="A1751">
        <v>1750</v>
      </c>
      <c r="B1751">
        <v>2966</v>
      </c>
      <c r="C1751" t="str">
        <f t="shared" si="81"/>
        <v>Large</v>
      </c>
      <c r="D1751">
        <v>1</v>
      </c>
      <c r="E1751">
        <v>3</v>
      </c>
      <c r="F1751">
        <v>1</v>
      </c>
      <c r="G1751">
        <v>1997</v>
      </c>
      <c r="H1751" t="str">
        <f t="shared" si="82"/>
        <v>1976-2000</v>
      </c>
      <c r="I1751" t="s">
        <v>17</v>
      </c>
      <c r="J1751" t="s">
        <v>15</v>
      </c>
      <c r="K1751" t="s">
        <v>16</v>
      </c>
      <c r="L1751" s="4">
        <v>354431</v>
      </c>
      <c r="M1751" t="str">
        <f t="shared" si="83"/>
        <v>Medium</v>
      </c>
    </row>
    <row r="1752" spans="1:13" x14ac:dyDescent="0.35">
      <c r="A1752">
        <v>1751</v>
      </c>
      <c r="B1752">
        <v>1487</v>
      </c>
      <c r="C1752" t="str">
        <f t="shared" si="81"/>
        <v>Medium</v>
      </c>
      <c r="D1752">
        <v>4</v>
      </c>
      <c r="E1752">
        <v>2</v>
      </c>
      <c r="F1752">
        <v>3</v>
      </c>
      <c r="G1752">
        <v>1973</v>
      </c>
      <c r="H1752" t="str">
        <f t="shared" si="82"/>
        <v>1950-1975</v>
      </c>
      <c r="I1752" t="s">
        <v>10</v>
      </c>
      <c r="J1752" t="s">
        <v>15</v>
      </c>
      <c r="K1752" t="s">
        <v>16</v>
      </c>
      <c r="L1752" s="4">
        <v>796086</v>
      </c>
      <c r="M1752" t="str">
        <f t="shared" si="83"/>
        <v>Premium</v>
      </c>
    </row>
    <row r="1753" spans="1:13" x14ac:dyDescent="0.35">
      <c r="A1753">
        <v>1752</v>
      </c>
      <c r="B1753">
        <v>2046</v>
      </c>
      <c r="C1753" t="str">
        <f t="shared" si="81"/>
        <v>Medium</v>
      </c>
      <c r="D1753">
        <v>4</v>
      </c>
      <c r="E1753">
        <v>2</v>
      </c>
      <c r="F1753">
        <v>2</v>
      </c>
      <c r="G1753">
        <v>1973</v>
      </c>
      <c r="H1753" t="str">
        <f t="shared" si="82"/>
        <v>1950-1975</v>
      </c>
      <c r="I1753" t="s">
        <v>17</v>
      </c>
      <c r="J1753" t="s">
        <v>11</v>
      </c>
      <c r="K1753" t="s">
        <v>12</v>
      </c>
      <c r="L1753" s="4">
        <v>476228</v>
      </c>
      <c r="M1753" t="str">
        <f t="shared" si="83"/>
        <v>High</v>
      </c>
    </row>
    <row r="1754" spans="1:13" x14ac:dyDescent="0.35">
      <c r="A1754">
        <v>1753</v>
      </c>
      <c r="B1754">
        <v>1149</v>
      </c>
      <c r="C1754" t="str">
        <f t="shared" si="81"/>
        <v>Medium</v>
      </c>
      <c r="D1754">
        <v>4</v>
      </c>
      <c r="E1754">
        <v>3</v>
      </c>
      <c r="F1754">
        <v>2</v>
      </c>
      <c r="G1754">
        <v>2006</v>
      </c>
      <c r="H1754" t="str">
        <f t="shared" si="82"/>
        <v>Post-2000</v>
      </c>
      <c r="I1754" t="s">
        <v>19</v>
      </c>
      <c r="J1754" t="s">
        <v>11</v>
      </c>
      <c r="K1754" t="s">
        <v>16</v>
      </c>
      <c r="L1754" s="4">
        <v>681540</v>
      </c>
      <c r="M1754" t="str">
        <f t="shared" si="83"/>
        <v>Premium</v>
      </c>
    </row>
    <row r="1755" spans="1:13" x14ac:dyDescent="0.35">
      <c r="A1755">
        <v>1754</v>
      </c>
      <c r="B1755">
        <v>1468</v>
      </c>
      <c r="C1755" t="str">
        <f t="shared" si="81"/>
        <v>Medium</v>
      </c>
      <c r="D1755">
        <v>3</v>
      </c>
      <c r="E1755">
        <v>3</v>
      </c>
      <c r="F1755">
        <v>1</v>
      </c>
      <c r="G1755">
        <v>2023</v>
      </c>
      <c r="H1755" t="str">
        <f t="shared" si="82"/>
        <v>Post-2000</v>
      </c>
      <c r="I1755" t="s">
        <v>10</v>
      </c>
      <c r="J1755" t="s">
        <v>11</v>
      </c>
      <c r="K1755" t="s">
        <v>12</v>
      </c>
      <c r="L1755" s="4">
        <v>747143</v>
      </c>
      <c r="M1755" t="str">
        <f t="shared" si="83"/>
        <v>Premium</v>
      </c>
    </row>
    <row r="1756" spans="1:13" x14ac:dyDescent="0.35">
      <c r="A1756">
        <v>1755</v>
      </c>
      <c r="B1756">
        <v>3137</v>
      </c>
      <c r="C1756" t="str">
        <f t="shared" si="81"/>
        <v>Large</v>
      </c>
      <c r="D1756">
        <v>2</v>
      </c>
      <c r="E1756">
        <v>1</v>
      </c>
      <c r="F1756">
        <v>3</v>
      </c>
      <c r="G1756">
        <v>1969</v>
      </c>
      <c r="H1756" t="str">
        <f t="shared" si="82"/>
        <v>1950-1975</v>
      </c>
      <c r="I1756" t="s">
        <v>19</v>
      </c>
      <c r="J1756" t="s">
        <v>13</v>
      </c>
      <c r="K1756" t="s">
        <v>16</v>
      </c>
      <c r="L1756" s="4">
        <v>421467</v>
      </c>
      <c r="M1756" t="str">
        <f t="shared" si="83"/>
        <v>High</v>
      </c>
    </row>
    <row r="1757" spans="1:13" x14ac:dyDescent="0.35">
      <c r="A1757">
        <v>1756</v>
      </c>
      <c r="B1757">
        <v>1600</v>
      </c>
      <c r="C1757" t="str">
        <f t="shared" si="81"/>
        <v>Medium</v>
      </c>
      <c r="D1757">
        <v>1</v>
      </c>
      <c r="E1757">
        <v>4</v>
      </c>
      <c r="F1757">
        <v>2</v>
      </c>
      <c r="G1757">
        <v>1999</v>
      </c>
      <c r="H1757" t="str">
        <f t="shared" si="82"/>
        <v>1976-2000</v>
      </c>
      <c r="I1757" t="s">
        <v>14</v>
      </c>
      <c r="J1757" t="s">
        <v>13</v>
      </c>
      <c r="K1757" t="s">
        <v>16</v>
      </c>
      <c r="L1757" s="4">
        <v>511531</v>
      </c>
      <c r="M1757" t="str">
        <f t="shared" si="83"/>
        <v>High</v>
      </c>
    </row>
    <row r="1758" spans="1:13" x14ac:dyDescent="0.35">
      <c r="A1758">
        <v>1757</v>
      </c>
      <c r="B1758">
        <v>940</v>
      </c>
      <c r="C1758" t="str">
        <f t="shared" si="81"/>
        <v>Small</v>
      </c>
      <c r="D1758">
        <v>5</v>
      </c>
      <c r="E1758">
        <v>2</v>
      </c>
      <c r="F1758">
        <v>3</v>
      </c>
      <c r="G1758">
        <v>1987</v>
      </c>
      <c r="H1758" t="str">
        <f t="shared" si="82"/>
        <v>1976-2000</v>
      </c>
      <c r="I1758" t="s">
        <v>14</v>
      </c>
      <c r="J1758" t="s">
        <v>15</v>
      </c>
      <c r="K1758" t="s">
        <v>16</v>
      </c>
      <c r="L1758" s="4">
        <v>789126</v>
      </c>
      <c r="M1758" t="str">
        <f t="shared" si="83"/>
        <v>Premium</v>
      </c>
    </row>
    <row r="1759" spans="1:13" x14ac:dyDescent="0.35">
      <c r="A1759">
        <v>1758</v>
      </c>
      <c r="B1759">
        <v>1269</v>
      </c>
      <c r="C1759" t="str">
        <f t="shared" si="81"/>
        <v>Medium</v>
      </c>
      <c r="D1759">
        <v>5</v>
      </c>
      <c r="E1759">
        <v>4</v>
      </c>
      <c r="F1759">
        <v>2</v>
      </c>
      <c r="G1759">
        <v>1975</v>
      </c>
      <c r="H1759" t="str">
        <f t="shared" si="82"/>
        <v>1950-1975</v>
      </c>
      <c r="I1759" t="s">
        <v>17</v>
      </c>
      <c r="J1759" t="s">
        <v>13</v>
      </c>
      <c r="K1759" t="s">
        <v>16</v>
      </c>
      <c r="L1759" s="4">
        <v>489707</v>
      </c>
      <c r="M1759" t="str">
        <f t="shared" si="83"/>
        <v>High</v>
      </c>
    </row>
    <row r="1760" spans="1:13" x14ac:dyDescent="0.35">
      <c r="A1760">
        <v>1759</v>
      </c>
      <c r="B1760">
        <v>1843</v>
      </c>
      <c r="C1760" t="str">
        <f t="shared" si="81"/>
        <v>Medium</v>
      </c>
      <c r="D1760">
        <v>2</v>
      </c>
      <c r="E1760">
        <v>2</v>
      </c>
      <c r="F1760">
        <v>3</v>
      </c>
      <c r="G1760">
        <v>1942</v>
      </c>
      <c r="H1760" t="str">
        <f t="shared" si="82"/>
        <v>Pre-1950</v>
      </c>
      <c r="I1760" t="s">
        <v>19</v>
      </c>
      <c r="J1760" t="s">
        <v>13</v>
      </c>
      <c r="K1760" t="s">
        <v>12</v>
      </c>
      <c r="L1760" s="4">
        <v>270013</v>
      </c>
      <c r="M1760" t="str">
        <f t="shared" si="83"/>
        <v>Medium</v>
      </c>
    </row>
    <row r="1761" spans="1:13" x14ac:dyDescent="0.35">
      <c r="A1761">
        <v>1760</v>
      </c>
      <c r="B1761">
        <v>4858</v>
      </c>
      <c r="C1761" t="str">
        <f t="shared" si="81"/>
        <v>Extra Large</v>
      </c>
      <c r="D1761">
        <v>4</v>
      </c>
      <c r="E1761">
        <v>2</v>
      </c>
      <c r="F1761">
        <v>1</v>
      </c>
      <c r="G1761">
        <v>2018</v>
      </c>
      <c r="H1761" t="str">
        <f t="shared" si="82"/>
        <v>Post-2000</v>
      </c>
      <c r="I1761" t="s">
        <v>19</v>
      </c>
      <c r="J1761" t="s">
        <v>18</v>
      </c>
      <c r="K1761" t="s">
        <v>16</v>
      </c>
      <c r="L1761" s="4">
        <v>501800</v>
      </c>
      <c r="M1761" t="str">
        <f t="shared" si="83"/>
        <v>High</v>
      </c>
    </row>
    <row r="1762" spans="1:13" x14ac:dyDescent="0.35">
      <c r="A1762">
        <v>1761</v>
      </c>
      <c r="B1762">
        <v>4229</v>
      </c>
      <c r="C1762" t="str">
        <f t="shared" si="81"/>
        <v>Extra Large</v>
      </c>
      <c r="D1762">
        <v>1</v>
      </c>
      <c r="E1762">
        <v>4</v>
      </c>
      <c r="F1762">
        <v>3</v>
      </c>
      <c r="G1762">
        <v>1922</v>
      </c>
      <c r="H1762" t="str">
        <f t="shared" si="82"/>
        <v>Pre-1950</v>
      </c>
      <c r="I1762" t="s">
        <v>10</v>
      </c>
      <c r="J1762" t="s">
        <v>13</v>
      </c>
      <c r="K1762" t="s">
        <v>16</v>
      </c>
      <c r="L1762" s="4">
        <v>849235</v>
      </c>
      <c r="M1762" t="str">
        <f t="shared" si="83"/>
        <v>Premium</v>
      </c>
    </row>
    <row r="1763" spans="1:13" x14ac:dyDescent="0.35">
      <c r="A1763">
        <v>1762</v>
      </c>
      <c r="B1763">
        <v>4406</v>
      </c>
      <c r="C1763" t="str">
        <f t="shared" si="81"/>
        <v>Extra Large</v>
      </c>
      <c r="D1763">
        <v>5</v>
      </c>
      <c r="E1763">
        <v>3</v>
      </c>
      <c r="F1763">
        <v>2</v>
      </c>
      <c r="G1763">
        <v>1926</v>
      </c>
      <c r="H1763" t="str">
        <f t="shared" si="82"/>
        <v>Pre-1950</v>
      </c>
      <c r="I1763" t="s">
        <v>19</v>
      </c>
      <c r="J1763" t="s">
        <v>18</v>
      </c>
      <c r="K1763" t="s">
        <v>12</v>
      </c>
      <c r="L1763" s="4">
        <v>230697</v>
      </c>
      <c r="M1763" t="str">
        <f t="shared" si="83"/>
        <v>Medium</v>
      </c>
    </row>
    <row r="1764" spans="1:13" x14ac:dyDescent="0.35">
      <c r="A1764">
        <v>1763</v>
      </c>
      <c r="B1764">
        <v>2077</v>
      </c>
      <c r="C1764" t="str">
        <f t="shared" si="81"/>
        <v>Medium</v>
      </c>
      <c r="D1764">
        <v>5</v>
      </c>
      <c r="E1764">
        <v>1</v>
      </c>
      <c r="F1764">
        <v>1</v>
      </c>
      <c r="G1764">
        <v>1957</v>
      </c>
      <c r="H1764" t="str">
        <f t="shared" si="82"/>
        <v>1950-1975</v>
      </c>
      <c r="I1764" t="s">
        <v>19</v>
      </c>
      <c r="J1764" t="s">
        <v>13</v>
      </c>
      <c r="K1764" t="s">
        <v>12</v>
      </c>
      <c r="L1764" s="4">
        <v>693107</v>
      </c>
      <c r="M1764" t="str">
        <f t="shared" si="83"/>
        <v>Premium</v>
      </c>
    </row>
    <row r="1765" spans="1:13" x14ac:dyDescent="0.35">
      <c r="A1765">
        <v>1764</v>
      </c>
      <c r="B1765">
        <v>4508</v>
      </c>
      <c r="C1765" t="str">
        <f t="shared" si="81"/>
        <v>Extra Large</v>
      </c>
      <c r="D1765">
        <v>4</v>
      </c>
      <c r="E1765">
        <v>2</v>
      </c>
      <c r="F1765">
        <v>3</v>
      </c>
      <c r="G1765">
        <v>2020</v>
      </c>
      <c r="H1765" t="str">
        <f t="shared" si="82"/>
        <v>Post-2000</v>
      </c>
      <c r="I1765" t="s">
        <v>10</v>
      </c>
      <c r="J1765" t="s">
        <v>15</v>
      </c>
      <c r="K1765" t="s">
        <v>12</v>
      </c>
      <c r="L1765" s="4">
        <v>929793</v>
      </c>
      <c r="M1765" t="str">
        <f t="shared" si="83"/>
        <v>Premium</v>
      </c>
    </row>
    <row r="1766" spans="1:13" x14ac:dyDescent="0.35">
      <c r="A1766">
        <v>1765</v>
      </c>
      <c r="B1766">
        <v>3851</v>
      </c>
      <c r="C1766" t="str">
        <f t="shared" si="81"/>
        <v>Large</v>
      </c>
      <c r="D1766">
        <v>2</v>
      </c>
      <c r="E1766">
        <v>3</v>
      </c>
      <c r="F1766">
        <v>2</v>
      </c>
      <c r="G1766">
        <v>2008</v>
      </c>
      <c r="H1766" t="str">
        <f t="shared" si="82"/>
        <v>Post-2000</v>
      </c>
      <c r="I1766" t="s">
        <v>10</v>
      </c>
      <c r="J1766" t="s">
        <v>11</v>
      </c>
      <c r="K1766" t="s">
        <v>12</v>
      </c>
      <c r="L1766" s="4">
        <v>63698</v>
      </c>
      <c r="M1766" t="str">
        <f t="shared" si="83"/>
        <v>Low</v>
      </c>
    </row>
    <row r="1767" spans="1:13" x14ac:dyDescent="0.35">
      <c r="A1767">
        <v>1766</v>
      </c>
      <c r="B1767">
        <v>2849</v>
      </c>
      <c r="C1767" t="str">
        <f t="shared" si="81"/>
        <v>Large</v>
      </c>
      <c r="D1767">
        <v>1</v>
      </c>
      <c r="E1767">
        <v>2</v>
      </c>
      <c r="F1767">
        <v>1</v>
      </c>
      <c r="G1767">
        <v>1936</v>
      </c>
      <c r="H1767" t="str">
        <f t="shared" si="82"/>
        <v>Pre-1950</v>
      </c>
      <c r="I1767" t="s">
        <v>19</v>
      </c>
      <c r="J1767" t="s">
        <v>15</v>
      </c>
      <c r="K1767" t="s">
        <v>16</v>
      </c>
      <c r="L1767" s="4">
        <v>65376</v>
      </c>
      <c r="M1767" t="str">
        <f t="shared" si="83"/>
        <v>Low</v>
      </c>
    </row>
    <row r="1768" spans="1:13" x14ac:dyDescent="0.35">
      <c r="A1768">
        <v>1767</v>
      </c>
      <c r="B1768">
        <v>4102</v>
      </c>
      <c r="C1768" t="str">
        <f t="shared" si="81"/>
        <v>Extra Large</v>
      </c>
      <c r="D1768">
        <v>2</v>
      </c>
      <c r="E1768">
        <v>1</v>
      </c>
      <c r="F1768">
        <v>3</v>
      </c>
      <c r="G1768">
        <v>1905</v>
      </c>
      <c r="H1768" t="str">
        <f t="shared" si="82"/>
        <v>Pre-1950</v>
      </c>
      <c r="I1768" t="s">
        <v>17</v>
      </c>
      <c r="J1768" t="s">
        <v>13</v>
      </c>
      <c r="K1768" t="s">
        <v>12</v>
      </c>
      <c r="L1768" s="4">
        <v>526870</v>
      </c>
      <c r="M1768" t="str">
        <f t="shared" si="83"/>
        <v>High</v>
      </c>
    </row>
    <row r="1769" spans="1:13" x14ac:dyDescent="0.35">
      <c r="A1769">
        <v>1768</v>
      </c>
      <c r="B1769">
        <v>1741</v>
      </c>
      <c r="C1769" t="str">
        <f t="shared" si="81"/>
        <v>Medium</v>
      </c>
      <c r="D1769">
        <v>2</v>
      </c>
      <c r="E1769">
        <v>2</v>
      </c>
      <c r="F1769">
        <v>2</v>
      </c>
      <c r="G1769">
        <v>1964</v>
      </c>
      <c r="H1769" t="str">
        <f t="shared" si="82"/>
        <v>1950-1975</v>
      </c>
      <c r="I1769" t="s">
        <v>10</v>
      </c>
      <c r="J1769" t="s">
        <v>11</v>
      </c>
      <c r="K1769" t="s">
        <v>16</v>
      </c>
      <c r="L1769" s="4">
        <v>325261</v>
      </c>
      <c r="M1769" t="str">
        <f t="shared" si="83"/>
        <v>Medium</v>
      </c>
    </row>
    <row r="1770" spans="1:13" x14ac:dyDescent="0.35">
      <c r="A1770">
        <v>1769</v>
      </c>
      <c r="B1770">
        <v>1625</v>
      </c>
      <c r="C1770" t="str">
        <f t="shared" si="81"/>
        <v>Medium</v>
      </c>
      <c r="D1770">
        <v>1</v>
      </c>
      <c r="E1770">
        <v>1</v>
      </c>
      <c r="F1770">
        <v>3</v>
      </c>
      <c r="G1770">
        <v>1905</v>
      </c>
      <c r="H1770" t="str">
        <f t="shared" si="82"/>
        <v>Pre-1950</v>
      </c>
      <c r="I1770" t="s">
        <v>10</v>
      </c>
      <c r="J1770" t="s">
        <v>11</v>
      </c>
      <c r="K1770" t="s">
        <v>12</v>
      </c>
      <c r="L1770" s="4">
        <v>286591</v>
      </c>
      <c r="M1770" t="str">
        <f t="shared" si="83"/>
        <v>Medium</v>
      </c>
    </row>
    <row r="1771" spans="1:13" x14ac:dyDescent="0.35">
      <c r="A1771">
        <v>1770</v>
      </c>
      <c r="B1771">
        <v>3101</v>
      </c>
      <c r="C1771" t="str">
        <f t="shared" si="81"/>
        <v>Large</v>
      </c>
      <c r="D1771">
        <v>1</v>
      </c>
      <c r="E1771">
        <v>1</v>
      </c>
      <c r="F1771">
        <v>3</v>
      </c>
      <c r="G1771">
        <v>1949</v>
      </c>
      <c r="H1771" t="str">
        <f t="shared" si="82"/>
        <v>Pre-1950</v>
      </c>
      <c r="I1771" t="s">
        <v>19</v>
      </c>
      <c r="J1771" t="s">
        <v>11</v>
      </c>
      <c r="K1771" t="s">
        <v>16</v>
      </c>
      <c r="L1771" s="4">
        <v>481172</v>
      </c>
      <c r="M1771" t="str">
        <f t="shared" si="83"/>
        <v>High</v>
      </c>
    </row>
    <row r="1772" spans="1:13" x14ac:dyDescent="0.35">
      <c r="A1772">
        <v>1771</v>
      </c>
      <c r="B1772">
        <v>1690</v>
      </c>
      <c r="C1772" t="str">
        <f t="shared" si="81"/>
        <v>Medium</v>
      </c>
      <c r="D1772">
        <v>5</v>
      </c>
      <c r="E1772">
        <v>2</v>
      </c>
      <c r="F1772">
        <v>1</v>
      </c>
      <c r="G1772">
        <v>1921</v>
      </c>
      <c r="H1772" t="str">
        <f t="shared" si="82"/>
        <v>Pre-1950</v>
      </c>
      <c r="I1772" t="s">
        <v>19</v>
      </c>
      <c r="J1772" t="s">
        <v>18</v>
      </c>
      <c r="K1772" t="s">
        <v>12</v>
      </c>
      <c r="L1772" s="4">
        <v>98786</v>
      </c>
      <c r="M1772" t="str">
        <f t="shared" si="83"/>
        <v>Low</v>
      </c>
    </row>
    <row r="1773" spans="1:13" x14ac:dyDescent="0.35">
      <c r="A1773">
        <v>1772</v>
      </c>
      <c r="B1773">
        <v>4631</v>
      </c>
      <c r="C1773" t="str">
        <f t="shared" si="81"/>
        <v>Extra Large</v>
      </c>
      <c r="D1773">
        <v>5</v>
      </c>
      <c r="E1773">
        <v>2</v>
      </c>
      <c r="F1773">
        <v>1</v>
      </c>
      <c r="G1773">
        <v>2004</v>
      </c>
      <c r="H1773" t="str">
        <f t="shared" si="82"/>
        <v>Post-2000</v>
      </c>
      <c r="I1773" t="s">
        <v>10</v>
      </c>
      <c r="J1773" t="s">
        <v>15</v>
      </c>
      <c r="K1773" t="s">
        <v>16</v>
      </c>
      <c r="L1773" s="4">
        <v>687293</v>
      </c>
      <c r="M1773" t="str">
        <f t="shared" si="83"/>
        <v>Premium</v>
      </c>
    </row>
    <row r="1774" spans="1:13" x14ac:dyDescent="0.35">
      <c r="A1774">
        <v>1773</v>
      </c>
      <c r="B1774">
        <v>4948</v>
      </c>
      <c r="C1774" t="str">
        <f t="shared" si="81"/>
        <v>Extra Large</v>
      </c>
      <c r="D1774">
        <v>1</v>
      </c>
      <c r="E1774">
        <v>1</v>
      </c>
      <c r="F1774">
        <v>2</v>
      </c>
      <c r="G1774">
        <v>1987</v>
      </c>
      <c r="H1774" t="str">
        <f t="shared" si="82"/>
        <v>1976-2000</v>
      </c>
      <c r="I1774" t="s">
        <v>19</v>
      </c>
      <c r="J1774" t="s">
        <v>18</v>
      </c>
      <c r="K1774" t="s">
        <v>16</v>
      </c>
      <c r="L1774" s="4">
        <v>268850</v>
      </c>
      <c r="M1774" t="str">
        <f t="shared" si="83"/>
        <v>Medium</v>
      </c>
    </row>
    <row r="1775" spans="1:13" x14ac:dyDescent="0.35">
      <c r="A1775">
        <v>1774</v>
      </c>
      <c r="B1775">
        <v>572</v>
      </c>
      <c r="C1775" t="str">
        <f t="shared" si="81"/>
        <v>Small</v>
      </c>
      <c r="D1775">
        <v>3</v>
      </c>
      <c r="E1775">
        <v>3</v>
      </c>
      <c r="F1775">
        <v>1</v>
      </c>
      <c r="G1775">
        <v>1924</v>
      </c>
      <c r="H1775" t="str">
        <f t="shared" si="82"/>
        <v>Pre-1950</v>
      </c>
      <c r="I1775" t="s">
        <v>10</v>
      </c>
      <c r="J1775" t="s">
        <v>11</v>
      </c>
      <c r="K1775" t="s">
        <v>12</v>
      </c>
      <c r="L1775" s="4">
        <v>378624</v>
      </c>
      <c r="M1775" t="str">
        <f t="shared" si="83"/>
        <v>Medium</v>
      </c>
    </row>
    <row r="1776" spans="1:13" x14ac:dyDescent="0.35">
      <c r="A1776">
        <v>1775</v>
      </c>
      <c r="B1776">
        <v>2414</v>
      </c>
      <c r="C1776" t="str">
        <f t="shared" si="81"/>
        <v>Medium</v>
      </c>
      <c r="D1776">
        <v>5</v>
      </c>
      <c r="E1776">
        <v>4</v>
      </c>
      <c r="F1776">
        <v>2</v>
      </c>
      <c r="G1776">
        <v>1978</v>
      </c>
      <c r="H1776" t="str">
        <f t="shared" si="82"/>
        <v>1976-2000</v>
      </c>
      <c r="I1776" t="s">
        <v>17</v>
      </c>
      <c r="J1776" t="s">
        <v>15</v>
      </c>
      <c r="K1776" t="s">
        <v>16</v>
      </c>
      <c r="L1776" s="4">
        <v>737055</v>
      </c>
      <c r="M1776" t="str">
        <f t="shared" si="83"/>
        <v>Premium</v>
      </c>
    </row>
    <row r="1777" spans="1:13" x14ac:dyDescent="0.35">
      <c r="A1777">
        <v>1776</v>
      </c>
      <c r="B1777">
        <v>2972</v>
      </c>
      <c r="C1777" t="str">
        <f t="shared" si="81"/>
        <v>Large</v>
      </c>
      <c r="D1777">
        <v>3</v>
      </c>
      <c r="E1777">
        <v>1</v>
      </c>
      <c r="F1777">
        <v>3</v>
      </c>
      <c r="G1777">
        <v>1989</v>
      </c>
      <c r="H1777" t="str">
        <f t="shared" si="82"/>
        <v>1976-2000</v>
      </c>
      <c r="I1777" t="s">
        <v>17</v>
      </c>
      <c r="J1777" t="s">
        <v>15</v>
      </c>
      <c r="K1777" t="s">
        <v>16</v>
      </c>
      <c r="L1777" s="4">
        <v>969015</v>
      </c>
      <c r="M1777" t="str">
        <f t="shared" si="83"/>
        <v>Premium</v>
      </c>
    </row>
    <row r="1778" spans="1:13" x14ac:dyDescent="0.35">
      <c r="A1778">
        <v>1777</v>
      </c>
      <c r="B1778">
        <v>3546</v>
      </c>
      <c r="C1778" t="str">
        <f t="shared" si="81"/>
        <v>Large</v>
      </c>
      <c r="D1778">
        <v>1</v>
      </c>
      <c r="E1778">
        <v>2</v>
      </c>
      <c r="F1778">
        <v>3</v>
      </c>
      <c r="G1778">
        <v>1971</v>
      </c>
      <c r="H1778" t="str">
        <f t="shared" si="82"/>
        <v>1950-1975</v>
      </c>
      <c r="I1778" t="s">
        <v>10</v>
      </c>
      <c r="J1778" t="s">
        <v>13</v>
      </c>
      <c r="K1778" t="s">
        <v>16</v>
      </c>
      <c r="L1778" s="4">
        <v>889665</v>
      </c>
      <c r="M1778" t="str">
        <f t="shared" si="83"/>
        <v>Premium</v>
      </c>
    </row>
    <row r="1779" spans="1:13" x14ac:dyDescent="0.35">
      <c r="A1779">
        <v>1778</v>
      </c>
      <c r="B1779">
        <v>1207</v>
      </c>
      <c r="C1779" t="str">
        <f t="shared" si="81"/>
        <v>Medium</v>
      </c>
      <c r="D1779">
        <v>5</v>
      </c>
      <c r="E1779">
        <v>2</v>
      </c>
      <c r="F1779">
        <v>2</v>
      </c>
      <c r="G1779">
        <v>1950</v>
      </c>
      <c r="H1779" t="str">
        <f t="shared" si="82"/>
        <v>Pre-1950</v>
      </c>
      <c r="I1779" t="s">
        <v>10</v>
      </c>
      <c r="J1779" t="s">
        <v>18</v>
      </c>
      <c r="K1779" t="s">
        <v>16</v>
      </c>
      <c r="L1779" s="4">
        <v>423166</v>
      </c>
      <c r="M1779" t="str">
        <f t="shared" si="83"/>
        <v>High</v>
      </c>
    </row>
    <row r="1780" spans="1:13" x14ac:dyDescent="0.35">
      <c r="A1780">
        <v>1779</v>
      </c>
      <c r="B1780">
        <v>2304</v>
      </c>
      <c r="C1780" t="str">
        <f t="shared" si="81"/>
        <v>Medium</v>
      </c>
      <c r="D1780">
        <v>2</v>
      </c>
      <c r="E1780">
        <v>3</v>
      </c>
      <c r="F1780">
        <v>3</v>
      </c>
      <c r="G1780">
        <v>1987</v>
      </c>
      <c r="H1780" t="str">
        <f t="shared" si="82"/>
        <v>1976-2000</v>
      </c>
      <c r="I1780" t="s">
        <v>14</v>
      </c>
      <c r="J1780" t="s">
        <v>18</v>
      </c>
      <c r="K1780" t="s">
        <v>12</v>
      </c>
      <c r="L1780" s="4">
        <v>465718</v>
      </c>
      <c r="M1780" t="str">
        <f t="shared" si="83"/>
        <v>High</v>
      </c>
    </row>
    <row r="1781" spans="1:13" x14ac:dyDescent="0.35">
      <c r="A1781">
        <v>1780</v>
      </c>
      <c r="B1781">
        <v>4213</v>
      </c>
      <c r="C1781" t="str">
        <f t="shared" si="81"/>
        <v>Extra Large</v>
      </c>
      <c r="D1781">
        <v>1</v>
      </c>
      <c r="E1781">
        <v>4</v>
      </c>
      <c r="F1781">
        <v>1</v>
      </c>
      <c r="G1781">
        <v>1947</v>
      </c>
      <c r="H1781" t="str">
        <f t="shared" si="82"/>
        <v>Pre-1950</v>
      </c>
      <c r="I1781" t="s">
        <v>14</v>
      </c>
      <c r="J1781" t="s">
        <v>13</v>
      </c>
      <c r="K1781" t="s">
        <v>16</v>
      </c>
      <c r="L1781" s="4">
        <v>493226</v>
      </c>
      <c r="M1781" t="str">
        <f t="shared" si="83"/>
        <v>High</v>
      </c>
    </row>
    <row r="1782" spans="1:13" x14ac:dyDescent="0.35">
      <c r="A1782">
        <v>1781</v>
      </c>
      <c r="B1782">
        <v>3064</v>
      </c>
      <c r="C1782" t="str">
        <f t="shared" si="81"/>
        <v>Large</v>
      </c>
      <c r="D1782">
        <v>4</v>
      </c>
      <c r="E1782">
        <v>1</v>
      </c>
      <c r="F1782">
        <v>3</v>
      </c>
      <c r="G1782">
        <v>2001</v>
      </c>
      <c r="H1782" t="str">
        <f t="shared" si="82"/>
        <v>Post-2000</v>
      </c>
      <c r="I1782" t="s">
        <v>19</v>
      </c>
      <c r="J1782" t="s">
        <v>18</v>
      </c>
      <c r="K1782" t="s">
        <v>16</v>
      </c>
      <c r="L1782" s="4">
        <v>142529</v>
      </c>
      <c r="M1782" t="str">
        <f t="shared" si="83"/>
        <v>Low</v>
      </c>
    </row>
    <row r="1783" spans="1:13" x14ac:dyDescent="0.35">
      <c r="A1783">
        <v>1782</v>
      </c>
      <c r="B1783">
        <v>2975</v>
      </c>
      <c r="C1783" t="str">
        <f t="shared" si="81"/>
        <v>Large</v>
      </c>
      <c r="D1783">
        <v>3</v>
      </c>
      <c r="E1783">
        <v>1</v>
      </c>
      <c r="F1783">
        <v>1</v>
      </c>
      <c r="G1783">
        <v>1969</v>
      </c>
      <c r="H1783" t="str">
        <f t="shared" si="82"/>
        <v>1950-1975</v>
      </c>
      <c r="I1783" t="s">
        <v>19</v>
      </c>
      <c r="J1783" t="s">
        <v>11</v>
      </c>
      <c r="K1783" t="s">
        <v>12</v>
      </c>
      <c r="L1783" s="4">
        <v>517121</v>
      </c>
      <c r="M1783" t="str">
        <f t="shared" si="83"/>
        <v>High</v>
      </c>
    </row>
    <row r="1784" spans="1:13" x14ac:dyDescent="0.35">
      <c r="A1784">
        <v>1783</v>
      </c>
      <c r="B1784">
        <v>4110</v>
      </c>
      <c r="C1784" t="str">
        <f t="shared" si="81"/>
        <v>Extra Large</v>
      </c>
      <c r="D1784">
        <v>1</v>
      </c>
      <c r="E1784">
        <v>4</v>
      </c>
      <c r="F1784">
        <v>2</v>
      </c>
      <c r="G1784">
        <v>2017</v>
      </c>
      <c r="H1784" t="str">
        <f t="shared" si="82"/>
        <v>Post-2000</v>
      </c>
      <c r="I1784" t="s">
        <v>10</v>
      </c>
      <c r="J1784" t="s">
        <v>11</v>
      </c>
      <c r="K1784" t="s">
        <v>12</v>
      </c>
      <c r="L1784" s="4">
        <v>815784</v>
      </c>
      <c r="M1784" t="str">
        <f t="shared" si="83"/>
        <v>Premium</v>
      </c>
    </row>
    <row r="1785" spans="1:13" x14ac:dyDescent="0.35">
      <c r="A1785">
        <v>1784</v>
      </c>
      <c r="B1785">
        <v>4755</v>
      </c>
      <c r="C1785" t="str">
        <f t="shared" si="81"/>
        <v>Extra Large</v>
      </c>
      <c r="D1785">
        <v>1</v>
      </c>
      <c r="E1785">
        <v>1</v>
      </c>
      <c r="F1785">
        <v>2</v>
      </c>
      <c r="G1785">
        <v>1998</v>
      </c>
      <c r="H1785" t="str">
        <f t="shared" si="82"/>
        <v>1976-2000</v>
      </c>
      <c r="I1785" t="s">
        <v>10</v>
      </c>
      <c r="J1785" t="s">
        <v>18</v>
      </c>
      <c r="K1785" t="s">
        <v>12</v>
      </c>
      <c r="L1785" s="4">
        <v>489705</v>
      </c>
      <c r="M1785" t="str">
        <f t="shared" si="83"/>
        <v>High</v>
      </c>
    </row>
    <row r="1786" spans="1:13" x14ac:dyDescent="0.35">
      <c r="A1786">
        <v>1785</v>
      </c>
      <c r="B1786">
        <v>3323</v>
      </c>
      <c r="C1786" t="str">
        <f t="shared" si="81"/>
        <v>Large</v>
      </c>
      <c r="D1786">
        <v>5</v>
      </c>
      <c r="E1786">
        <v>4</v>
      </c>
      <c r="F1786">
        <v>3</v>
      </c>
      <c r="G1786">
        <v>2005</v>
      </c>
      <c r="H1786" t="str">
        <f t="shared" si="82"/>
        <v>Post-2000</v>
      </c>
      <c r="I1786" t="s">
        <v>14</v>
      </c>
      <c r="J1786" t="s">
        <v>13</v>
      </c>
      <c r="K1786" t="s">
        <v>16</v>
      </c>
      <c r="L1786" s="4">
        <v>675207</v>
      </c>
      <c r="M1786" t="str">
        <f t="shared" si="83"/>
        <v>Premium</v>
      </c>
    </row>
    <row r="1787" spans="1:13" x14ac:dyDescent="0.35">
      <c r="A1787">
        <v>1786</v>
      </c>
      <c r="B1787">
        <v>2235</v>
      </c>
      <c r="C1787" t="str">
        <f t="shared" si="81"/>
        <v>Medium</v>
      </c>
      <c r="D1787">
        <v>5</v>
      </c>
      <c r="E1787">
        <v>2</v>
      </c>
      <c r="F1787">
        <v>3</v>
      </c>
      <c r="G1787">
        <v>1964</v>
      </c>
      <c r="H1787" t="str">
        <f t="shared" si="82"/>
        <v>1950-1975</v>
      </c>
      <c r="I1787" t="s">
        <v>14</v>
      </c>
      <c r="J1787" t="s">
        <v>15</v>
      </c>
      <c r="K1787" t="s">
        <v>16</v>
      </c>
      <c r="L1787" s="4">
        <v>919965</v>
      </c>
      <c r="M1787" t="str">
        <f t="shared" si="83"/>
        <v>Premium</v>
      </c>
    </row>
    <row r="1788" spans="1:13" x14ac:dyDescent="0.35">
      <c r="A1788">
        <v>1787</v>
      </c>
      <c r="B1788">
        <v>2085</v>
      </c>
      <c r="C1788" t="str">
        <f t="shared" si="81"/>
        <v>Medium</v>
      </c>
      <c r="D1788">
        <v>5</v>
      </c>
      <c r="E1788">
        <v>4</v>
      </c>
      <c r="F1788">
        <v>1</v>
      </c>
      <c r="G1788">
        <v>1959</v>
      </c>
      <c r="H1788" t="str">
        <f t="shared" si="82"/>
        <v>1950-1975</v>
      </c>
      <c r="I1788" t="s">
        <v>10</v>
      </c>
      <c r="J1788" t="s">
        <v>18</v>
      </c>
      <c r="K1788" t="s">
        <v>12</v>
      </c>
      <c r="L1788" s="4">
        <v>524381</v>
      </c>
      <c r="M1788" t="str">
        <f t="shared" si="83"/>
        <v>High</v>
      </c>
    </row>
    <row r="1789" spans="1:13" x14ac:dyDescent="0.35">
      <c r="A1789">
        <v>1788</v>
      </c>
      <c r="B1789">
        <v>566</v>
      </c>
      <c r="C1789" t="str">
        <f t="shared" si="81"/>
        <v>Small</v>
      </c>
      <c r="D1789">
        <v>4</v>
      </c>
      <c r="E1789">
        <v>1</v>
      </c>
      <c r="F1789">
        <v>1</v>
      </c>
      <c r="G1789">
        <v>1945</v>
      </c>
      <c r="H1789" t="str">
        <f t="shared" si="82"/>
        <v>Pre-1950</v>
      </c>
      <c r="I1789" t="s">
        <v>17</v>
      </c>
      <c r="J1789" t="s">
        <v>15</v>
      </c>
      <c r="K1789" t="s">
        <v>16</v>
      </c>
      <c r="L1789" s="4">
        <v>999453</v>
      </c>
      <c r="M1789" t="str">
        <f t="shared" si="83"/>
        <v>Premium</v>
      </c>
    </row>
    <row r="1790" spans="1:13" x14ac:dyDescent="0.35">
      <c r="A1790">
        <v>1789</v>
      </c>
      <c r="B1790">
        <v>3561</v>
      </c>
      <c r="C1790" t="str">
        <f t="shared" si="81"/>
        <v>Large</v>
      </c>
      <c r="D1790">
        <v>5</v>
      </c>
      <c r="E1790">
        <v>4</v>
      </c>
      <c r="F1790">
        <v>3</v>
      </c>
      <c r="G1790">
        <v>1935</v>
      </c>
      <c r="H1790" t="str">
        <f t="shared" si="82"/>
        <v>Pre-1950</v>
      </c>
      <c r="I1790" t="s">
        <v>17</v>
      </c>
      <c r="J1790" t="s">
        <v>13</v>
      </c>
      <c r="K1790" t="s">
        <v>12</v>
      </c>
      <c r="L1790" s="4">
        <v>522803</v>
      </c>
      <c r="M1790" t="str">
        <f t="shared" si="83"/>
        <v>High</v>
      </c>
    </row>
    <row r="1791" spans="1:13" x14ac:dyDescent="0.35">
      <c r="A1791">
        <v>1790</v>
      </c>
      <c r="B1791">
        <v>2928</v>
      </c>
      <c r="C1791" t="str">
        <f t="shared" si="81"/>
        <v>Large</v>
      </c>
      <c r="D1791">
        <v>1</v>
      </c>
      <c r="E1791">
        <v>3</v>
      </c>
      <c r="F1791">
        <v>3</v>
      </c>
      <c r="G1791">
        <v>1957</v>
      </c>
      <c r="H1791" t="str">
        <f t="shared" si="82"/>
        <v>1950-1975</v>
      </c>
      <c r="I1791" t="s">
        <v>19</v>
      </c>
      <c r="J1791" t="s">
        <v>15</v>
      </c>
      <c r="K1791" t="s">
        <v>16</v>
      </c>
      <c r="L1791" s="4">
        <v>536275</v>
      </c>
      <c r="M1791" t="str">
        <f t="shared" si="83"/>
        <v>High</v>
      </c>
    </row>
    <row r="1792" spans="1:13" x14ac:dyDescent="0.35">
      <c r="A1792">
        <v>1791</v>
      </c>
      <c r="B1792">
        <v>4653</v>
      </c>
      <c r="C1792" t="str">
        <f t="shared" si="81"/>
        <v>Extra Large</v>
      </c>
      <c r="D1792">
        <v>5</v>
      </c>
      <c r="E1792">
        <v>2</v>
      </c>
      <c r="F1792">
        <v>2</v>
      </c>
      <c r="G1792">
        <v>1975</v>
      </c>
      <c r="H1792" t="str">
        <f t="shared" si="82"/>
        <v>1950-1975</v>
      </c>
      <c r="I1792" t="s">
        <v>10</v>
      </c>
      <c r="J1792" t="s">
        <v>13</v>
      </c>
      <c r="K1792" t="s">
        <v>12</v>
      </c>
      <c r="L1792" s="4">
        <v>772670</v>
      </c>
      <c r="M1792" t="str">
        <f t="shared" si="83"/>
        <v>Premium</v>
      </c>
    </row>
    <row r="1793" spans="1:13" x14ac:dyDescent="0.35">
      <c r="A1793">
        <v>1792</v>
      </c>
      <c r="B1793">
        <v>841</v>
      </c>
      <c r="C1793" t="str">
        <f t="shared" si="81"/>
        <v>Small</v>
      </c>
      <c r="D1793">
        <v>2</v>
      </c>
      <c r="E1793">
        <v>2</v>
      </c>
      <c r="F1793">
        <v>2</v>
      </c>
      <c r="G1793">
        <v>1937</v>
      </c>
      <c r="H1793" t="str">
        <f t="shared" si="82"/>
        <v>Pre-1950</v>
      </c>
      <c r="I1793" t="s">
        <v>10</v>
      </c>
      <c r="J1793" t="s">
        <v>13</v>
      </c>
      <c r="K1793" t="s">
        <v>16</v>
      </c>
      <c r="L1793" s="4">
        <v>259870</v>
      </c>
      <c r="M1793" t="str">
        <f t="shared" si="83"/>
        <v>Medium</v>
      </c>
    </row>
    <row r="1794" spans="1:13" x14ac:dyDescent="0.35">
      <c r="A1794">
        <v>1793</v>
      </c>
      <c r="B1794">
        <v>3274</v>
      </c>
      <c r="C1794" t="str">
        <f t="shared" si="81"/>
        <v>Large</v>
      </c>
      <c r="D1794">
        <v>5</v>
      </c>
      <c r="E1794">
        <v>4</v>
      </c>
      <c r="F1794">
        <v>2</v>
      </c>
      <c r="G1794">
        <v>1910</v>
      </c>
      <c r="H1794" t="str">
        <f t="shared" si="82"/>
        <v>Pre-1950</v>
      </c>
      <c r="I1794" t="s">
        <v>19</v>
      </c>
      <c r="J1794" t="s">
        <v>11</v>
      </c>
      <c r="K1794" t="s">
        <v>12</v>
      </c>
      <c r="L1794" s="4">
        <v>643695</v>
      </c>
      <c r="M1794" t="str">
        <f t="shared" si="83"/>
        <v>Premium</v>
      </c>
    </row>
    <row r="1795" spans="1:13" x14ac:dyDescent="0.35">
      <c r="A1795">
        <v>1794</v>
      </c>
      <c r="B1795">
        <v>3317</v>
      </c>
      <c r="C1795" t="str">
        <f t="shared" ref="C1795:C1858" si="84">IF(B1795&lt;=1000,"Small",IF(B1795&lt;=2500,"Medium",IF(B1795&lt;=4000,"Large",IF(B1795&gt;=4000,"Extra Large"))))</f>
        <v>Large</v>
      </c>
      <c r="D1795">
        <v>4</v>
      </c>
      <c r="E1795">
        <v>1</v>
      </c>
      <c r="F1795">
        <v>3</v>
      </c>
      <c r="G1795">
        <v>1911</v>
      </c>
      <c r="H1795" t="str">
        <f t="shared" ref="H1795:H1858" si="85">IF(G1795&lt;=1950,"Pre-1950",IF(G1795&lt;=1975,"1950-1975",IF(G1795&lt;=2000,"1976-2000",IF(G1795&gt;=2000,"Post-2000"))))</f>
        <v>Pre-1950</v>
      </c>
      <c r="I1795" t="s">
        <v>14</v>
      </c>
      <c r="J1795" t="s">
        <v>11</v>
      </c>
      <c r="K1795" t="s">
        <v>16</v>
      </c>
      <c r="L1795" s="4">
        <v>648097</v>
      </c>
      <c r="M1795" t="str">
        <f t="shared" ref="M1795:M1858" si="86">IF(L1795&lt;=200000,"Low",IF(L1795&lt;=400000,"Medium",IF(L1795&lt;=600000,"High",IF(L1795&gt;=600000,"Premium",""))))</f>
        <v>Premium</v>
      </c>
    </row>
    <row r="1796" spans="1:13" x14ac:dyDescent="0.35">
      <c r="A1796">
        <v>1795</v>
      </c>
      <c r="B1796">
        <v>3161</v>
      </c>
      <c r="C1796" t="str">
        <f t="shared" si="84"/>
        <v>Large</v>
      </c>
      <c r="D1796">
        <v>2</v>
      </c>
      <c r="E1796">
        <v>3</v>
      </c>
      <c r="F1796">
        <v>3</v>
      </c>
      <c r="G1796">
        <v>1941</v>
      </c>
      <c r="H1796" t="str">
        <f t="shared" si="85"/>
        <v>Pre-1950</v>
      </c>
      <c r="I1796" t="s">
        <v>14</v>
      </c>
      <c r="J1796" t="s">
        <v>13</v>
      </c>
      <c r="K1796" t="s">
        <v>12</v>
      </c>
      <c r="L1796" s="4">
        <v>329373</v>
      </c>
      <c r="M1796" t="str">
        <f t="shared" si="86"/>
        <v>Medium</v>
      </c>
    </row>
    <row r="1797" spans="1:13" x14ac:dyDescent="0.35">
      <c r="A1797">
        <v>1796</v>
      </c>
      <c r="B1797">
        <v>1732</v>
      </c>
      <c r="C1797" t="str">
        <f t="shared" si="84"/>
        <v>Medium</v>
      </c>
      <c r="D1797">
        <v>1</v>
      </c>
      <c r="E1797">
        <v>2</v>
      </c>
      <c r="F1797">
        <v>3</v>
      </c>
      <c r="G1797">
        <v>2013</v>
      </c>
      <c r="H1797" t="str">
        <f t="shared" si="85"/>
        <v>Post-2000</v>
      </c>
      <c r="I1797" t="s">
        <v>17</v>
      </c>
      <c r="J1797" t="s">
        <v>18</v>
      </c>
      <c r="K1797" t="s">
        <v>16</v>
      </c>
      <c r="L1797" s="4">
        <v>994889</v>
      </c>
      <c r="M1797" t="str">
        <f t="shared" si="86"/>
        <v>Premium</v>
      </c>
    </row>
    <row r="1798" spans="1:13" x14ac:dyDescent="0.35">
      <c r="A1798">
        <v>1797</v>
      </c>
      <c r="B1798">
        <v>4374</v>
      </c>
      <c r="C1798" t="str">
        <f t="shared" si="84"/>
        <v>Extra Large</v>
      </c>
      <c r="D1798">
        <v>1</v>
      </c>
      <c r="E1798">
        <v>2</v>
      </c>
      <c r="F1798">
        <v>2</v>
      </c>
      <c r="G1798">
        <v>1938</v>
      </c>
      <c r="H1798" t="str">
        <f t="shared" si="85"/>
        <v>Pre-1950</v>
      </c>
      <c r="I1798" t="s">
        <v>10</v>
      </c>
      <c r="J1798" t="s">
        <v>11</v>
      </c>
      <c r="K1798" t="s">
        <v>16</v>
      </c>
      <c r="L1798" s="4">
        <v>616464</v>
      </c>
      <c r="M1798" t="str">
        <f t="shared" si="86"/>
        <v>Premium</v>
      </c>
    </row>
    <row r="1799" spans="1:13" x14ac:dyDescent="0.35">
      <c r="A1799">
        <v>1798</v>
      </c>
      <c r="B1799">
        <v>2901</v>
      </c>
      <c r="C1799" t="str">
        <f t="shared" si="84"/>
        <v>Large</v>
      </c>
      <c r="D1799">
        <v>3</v>
      </c>
      <c r="E1799">
        <v>1</v>
      </c>
      <c r="F1799">
        <v>3</v>
      </c>
      <c r="G1799">
        <v>1970</v>
      </c>
      <c r="H1799" t="str">
        <f t="shared" si="85"/>
        <v>1950-1975</v>
      </c>
      <c r="I1799" t="s">
        <v>14</v>
      </c>
      <c r="J1799" t="s">
        <v>13</v>
      </c>
      <c r="K1799" t="s">
        <v>16</v>
      </c>
      <c r="L1799" s="4">
        <v>669113</v>
      </c>
      <c r="M1799" t="str">
        <f t="shared" si="86"/>
        <v>Premium</v>
      </c>
    </row>
    <row r="1800" spans="1:13" x14ac:dyDescent="0.35">
      <c r="A1800">
        <v>1799</v>
      </c>
      <c r="B1800">
        <v>1994</v>
      </c>
      <c r="C1800" t="str">
        <f t="shared" si="84"/>
        <v>Medium</v>
      </c>
      <c r="D1800">
        <v>2</v>
      </c>
      <c r="E1800">
        <v>1</v>
      </c>
      <c r="F1800">
        <v>1</v>
      </c>
      <c r="G1800">
        <v>1910</v>
      </c>
      <c r="H1800" t="str">
        <f t="shared" si="85"/>
        <v>Pre-1950</v>
      </c>
      <c r="I1800" t="s">
        <v>17</v>
      </c>
      <c r="J1800" t="s">
        <v>15</v>
      </c>
      <c r="K1800" t="s">
        <v>12</v>
      </c>
      <c r="L1800" s="4">
        <v>970764</v>
      </c>
      <c r="M1800" t="str">
        <f t="shared" si="86"/>
        <v>Premium</v>
      </c>
    </row>
    <row r="1801" spans="1:13" x14ac:dyDescent="0.35">
      <c r="A1801">
        <v>1800</v>
      </c>
      <c r="B1801">
        <v>4711</v>
      </c>
      <c r="C1801" t="str">
        <f t="shared" si="84"/>
        <v>Extra Large</v>
      </c>
      <c r="D1801">
        <v>3</v>
      </c>
      <c r="E1801">
        <v>3</v>
      </c>
      <c r="F1801">
        <v>3</v>
      </c>
      <c r="G1801">
        <v>1935</v>
      </c>
      <c r="H1801" t="str">
        <f t="shared" si="85"/>
        <v>Pre-1950</v>
      </c>
      <c r="I1801" t="s">
        <v>17</v>
      </c>
      <c r="J1801" t="s">
        <v>15</v>
      </c>
      <c r="K1801" t="s">
        <v>16</v>
      </c>
      <c r="L1801" s="4">
        <v>147555</v>
      </c>
      <c r="M1801" t="str">
        <f t="shared" si="86"/>
        <v>Low</v>
      </c>
    </row>
    <row r="1802" spans="1:13" x14ac:dyDescent="0.35">
      <c r="A1802">
        <v>1801</v>
      </c>
      <c r="B1802">
        <v>1161</v>
      </c>
      <c r="C1802" t="str">
        <f t="shared" si="84"/>
        <v>Medium</v>
      </c>
      <c r="D1802">
        <v>2</v>
      </c>
      <c r="E1802">
        <v>4</v>
      </c>
      <c r="F1802">
        <v>3</v>
      </c>
      <c r="G1802">
        <v>1951</v>
      </c>
      <c r="H1802" t="str">
        <f t="shared" si="85"/>
        <v>1950-1975</v>
      </c>
      <c r="I1802" t="s">
        <v>17</v>
      </c>
      <c r="J1802" t="s">
        <v>18</v>
      </c>
      <c r="K1802" t="s">
        <v>16</v>
      </c>
      <c r="L1802" s="4">
        <v>577433</v>
      </c>
      <c r="M1802" t="str">
        <f t="shared" si="86"/>
        <v>High</v>
      </c>
    </row>
    <row r="1803" spans="1:13" x14ac:dyDescent="0.35">
      <c r="A1803">
        <v>1802</v>
      </c>
      <c r="B1803">
        <v>4383</v>
      </c>
      <c r="C1803" t="str">
        <f t="shared" si="84"/>
        <v>Extra Large</v>
      </c>
      <c r="D1803">
        <v>2</v>
      </c>
      <c r="E1803">
        <v>1</v>
      </c>
      <c r="F1803">
        <v>3</v>
      </c>
      <c r="G1803">
        <v>1930</v>
      </c>
      <c r="H1803" t="str">
        <f t="shared" si="85"/>
        <v>Pre-1950</v>
      </c>
      <c r="I1803" t="s">
        <v>14</v>
      </c>
      <c r="J1803" t="s">
        <v>15</v>
      </c>
      <c r="K1803" t="s">
        <v>16</v>
      </c>
      <c r="L1803" s="4">
        <v>147289</v>
      </c>
      <c r="M1803" t="str">
        <f t="shared" si="86"/>
        <v>Low</v>
      </c>
    </row>
    <row r="1804" spans="1:13" x14ac:dyDescent="0.35">
      <c r="A1804">
        <v>1803</v>
      </c>
      <c r="B1804">
        <v>4119</v>
      </c>
      <c r="C1804" t="str">
        <f t="shared" si="84"/>
        <v>Extra Large</v>
      </c>
      <c r="D1804">
        <v>4</v>
      </c>
      <c r="E1804">
        <v>4</v>
      </c>
      <c r="F1804">
        <v>3</v>
      </c>
      <c r="G1804">
        <v>1932</v>
      </c>
      <c r="H1804" t="str">
        <f t="shared" si="85"/>
        <v>Pre-1950</v>
      </c>
      <c r="I1804" t="s">
        <v>14</v>
      </c>
      <c r="J1804" t="s">
        <v>15</v>
      </c>
      <c r="K1804" t="s">
        <v>12</v>
      </c>
      <c r="L1804" s="4">
        <v>713162</v>
      </c>
      <c r="M1804" t="str">
        <f t="shared" si="86"/>
        <v>Premium</v>
      </c>
    </row>
    <row r="1805" spans="1:13" x14ac:dyDescent="0.35">
      <c r="A1805">
        <v>1804</v>
      </c>
      <c r="B1805">
        <v>2368</v>
      </c>
      <c r="C1805" t="str">
        <f t="shared" si="84"/>
        <v>Medium</v>
      </c>
      <c r="D1805">
        <v>3</v>
      </c>
      <c r="E1805">
        <v>3</v>
      </c>
      <c r="F1805">
        <v>3</v>
      </c>
      <c r="G1805">
        <v>1912</v>
      </c>
      <c r="H1805" t="str">
        <f t="shared" si="85"/>
        <v>Pre-1950</v>
      </c>
      <c r="I1805" t="s">
        <v>10</v>
      </c>
      <c r="J1805" t="s">
        <v>13</v>
      </c>
      <c r="K1805" t="s">
        <v>16</v>
      </c>
      <c r="L1805" s="4">
        <v>838695</v>
      </c>
      <c r="M1805" t="str">
        <f t="shared" si="86"/>
        <v>Premium</v>
      </c>
    </row>
    <row r="1806" spans="1:13" x14ac:dyDescent="0.35">
      <c r="A1806">
        <v>1805</v>
      </c>
      <c r="B1806">
        <v>2834</v>
      </c>
      <c r="C1806" t="str">
        <f t="shared" si="84"/>
        <v>Large</v>
      </c>
      <c r="D1806">
        <v>4</v>
      </c>
      <c r="E1806">
        <v>4</v>
      </c>
      <c r="F1806">
        <v>1</v>
      </c>
      <c r="G1806">
        <v>1917</v>
      </c>
      <c r="H1806" t="str">
        <f t="shared" si="85"/>
        <v>Pre-1950</v>
      </c>
      <c r="I1806" t="s">
        <v>10</v>
      </c>
      <c r="J1806" t="s">
        <v>15</v>
      </c>
      <c r="K1806" t="s">
        <v>12</v>
      </c>
      <c r="L1806" s="4">
        <v>470129</v>
      </c>
      <c r="M1806" t="str">
        <f t="shared" si="86"/>
        <v>High</v>
      </c>
    </row>
    <row r="1807" spans="1:13" x14ac:dyDescent="0.35">
      <c r="A1807">
        <v>1806</v>
      </c>
      <c r="B1807">
        <v>3874</v>
      </c>
      <c r="C1807" t="str">
        <f t="shared" si="84"/>
        <v>Large</v>
      </c>
      <c r="D1807">
        <v>2</v>
      </c>
      <c r="E1807">
        <v>2</v>
      </c>
      <c r="F1807">
        <v>1</v>
      </c>
      <c r="G1807">
        <v>1940</v>
      </c>
      <c r="H1807" t="str">
        <f t="shared" si="85"/>
        <v>Pre-1950</v>
      </c>
      <c r="I1807" t="s">
        <v>17</v>
      </c>
      <c r="J1807" t="s">
        <v>15</v>
      </c>
      <c r="K1807" t="s">
        <v>16</v>
      </c>
      <c r="L1807" s="4">
        <v>107788</v>
      </c>
      <c r="M1807" t="str">
        <f t="shared" si="86"/>
        <v>Low</v>
      </c>
    </row>
    <row r="1808" spans="1:13" x14ac:dyDescent="0.35">
      <c r="A1808">
        <v>1807</v>
      </c>
      <c r="B1808">
        <v>1516</v>
      </c>
      <c r="C1808" t="str">
        <f t="shared" si="84"/>
        <v>Medium</v>
      </c>
      <c r="D1808">
        <v>1</v>
      </c>
      <c r="E1808">
        <v>4</v>
      </c>
      <c r="F1808">
        <v>3</v>
      </c>
      <c r="G1808">
        <v>1957</v>
      </c>
      <c r="H1808" t="str">
        <f t="shared" si="85"/>
        <v>1950-1975</v>
      </c>
      <c r="I1808" t="s">
        <v>17</v>
      </c>
      <c r="J1808" t="s">
        <v>15</v>
      </c>
      <c r="K1808" t="s">
        <v>12</v>
      </c>
      <c r="L1808" s="4">
        <v>713515</v>
      </c>
      <c r="M1808" t="str">
        <f t="shared" si="86"/>
        <v>Premium</v>
      </c>
    </row>
    <row r="1809" spans="1:13" x14ac:dyDescent="0.35">
      <c r="A1809">
        <v>1808</v>
      </c>
      <c r="B1809">
        <v>4906</v>
      </c>
      <c r="C1809" t="str">
        <f t="shared" si="84"/>
        <v>Extra Large</v>
      </c>
      <c r="D1809">
        <v>2</v>
      </c>
      <c r="E1809">
        <v>3</v>
      </c>
      <c r="F1809">
        <v>2</v>
      </c>
      <c r="G1809">
        <v>1955</v>
      </c>
      <c r="H1809" t="str">
        <f t="shared" si="85"/>
        <v>1950-1975</v>
      </c>
      <c r="I1809" t="s">
        <v>14</v>
      </c>
      <c r="J1809" t="s">
        <v>15</v>
      </c>
      <c r="K1809" t="s">
        <v>12</v>
      </c>
      <c r="L1809" s="4">
        <v>706282</v>
      </c>
      <c r="M1809" t="str">
        <f t="shared" si="86"/>
        <v>Premium</v>
      </c>
    </row>
    <row r="1810" spans="1:13" x14ac:dyDescent="0.35">
      <c r="A1810">
        <v>1809</v>
      </c>
      <c r="B1810">
        <v>707</v>
      </c>
      <c r="C1810" t="str">
        <f t="shared" si="84"/>
        <v>Small</v>
      </c>
      <c r="D1810">
        <v>4</v>
      </c>
      <c r="E1810">
        <v>3</v>
      </c>
      <c r="F1810">
        <v>3</v>
      </c>
      <c r="G1810">
        <v>1923</v>
      </c>
      <c r="H1810" t="str">
        <f t="shared" si="85"/>
        <v>Pre-1950</v>
      </c>
      <c r="I1810" t="s">
        <v>14</v>
      </c>
      <c r="J1810" t="s">
        <v>13</v>
      </c>
      <c r="K1810" t="s">
        <v>16</v>
      </c>
      <c r="L1810" s="4">
        <v>777591</v>
      </c>
      <c r="M1810" t="str">
        <f t="shared" si="86"/>
        <v>Premium</v>
      </c>
    </row>
    <row r="1811" spans="1:13" x14ac:dyDescent="0.35">
      <c r="A1811">
        <v>1810</v>
      </c>
      <c r="B1811">
        <v>3165</v>
      </c>
      <c r="C1811" t="str">
        <f t="shared" si="84"/>
        <v>Large</v>
      </c>
      <c r="D1811">
        <v>3</v>
      </c>
      <c r="E1811">
        <v>3</v>
      </c>
      <c r="F1811">
        <v>3</v>
      </c>
      <c r="G1811">
        <v>1972</v>
      </c>
      <c r="H1811" t="str">
        <f t="shared" si="85"/>
        <v>1950-1975</v>
      </c>
      <c r="I1811" t="s">
        <v>10</v>
      </c>
      <c r="J1811" t="s">
        <v>15</v>
      </c>
      <c r="K1811" t="s">
        <v>12</v>
      </c>
      <c r="L1811" s="4">
        <v>201744</v>
      </c>
      <c r="M1811" t="str">
        <f t="shared" si="86"/>
        <v>Medium</v>
      </c>
    </row>
    <row r="1812" spans="1:13" x14ac:dyDescent="0.35">
      <c r="A1812">
        <v>1811</v>
      </c>
      <c r="B1812">
        <v>2993</v>
      </c>
      <c r="C1812" t="str">
        <f t="shared" si="84"/>
        <v>Large</v>
      </c>
      <c r="D1812">
        <v>3</v>
      </c>
      <c r="E1812">
        <v>4</v>
      </c>
      <c r="F1812">
        <v>3</v>
      </c>
      <c r="G1812">
        <v>1930</v>
      </c>
      <c r="H1812" t="str">
        <f t="shared" si="85"/>
        <v>Pre-1950</v>
      </c>
      <c r="I1812" t="s">
        <v>10</v>
      </c>
      <c r="J1812" t="s">
        <v>18</v>
      </c>
      <c r="K1812" t="s">
        <v>12</v>
      </c>
      <c r="L1812" s="4">
        <v>219598</v>
      </c>
      <c r="M1812" t="str">
        <f t="shared" si="86"/>
        <v>Medium</v>
      </c>
    </row>
    <row r="1813" spans="1:13" x14ac:dyDescent="0.35">
      <c r="A1813">
        <v>1812</v>
      </c>
      <c r="B1813">
        <v>1132</v>
      </c>
      <c r="C1813" t="str">
        <f t="shared" si="84"/>
        <v>Medium</v>
      </c>
      <c r="D1813">
        <v>4</v>
      </c>
      <c r="E1813">
        <v>2</v>
      </c>
      <c r="F1813">
        <v>2</v>
      </c>
      <c r="G1813">
        <v>1954</v>
      </c>
      <c r="H1813" t="str">
        <f t="shared" si="85"/>
        <v>1950-1975</v>
      </c>
      <c r="I1813" t="s">
        <v>19</v>
      </c>
      <c r="J1813" t="s">
        <v>11</v>
      </c>
      <c r="K1813" t="s">
        <v>16</v>
      </c>
      <c r="L1813" s="4">
        <v>881776</v>
      </c>
      <c r="M1813" t="str">
        <f t="shared" si="86"/>
        <v>Premium</v>
      </c>
    </row>
    <row r="1814" spans="1:13" x14ac:dyDescent="0.35">
      <c r="A1814">
        <v>1813</v>
      </c>
      <c r="B1814">
        <v>2602</v>
      </c>
      <c r="C1814" t="str">
        <f t="shared" si="84"/>
        <v>Large</v>
      </c>
      <c r="D1814">
        <v>3</v>
      </c>
      <c r="E1814">
        <v>1</v>
      </c>
      <c r="F1814">
        <v>2</v>
      </c>
      <c r="G1814">
        <v>2004</v>
      </c>
      <c r="H1814" t="str">
        <f t="shared" si="85"/>
        <v>Post-2000</v>
      </c>
      <c r="I1814" t="s">
        <v>10</v>
      </c>
      <c r="J1814" t="s">
        <v>18</v>
      </c>
      <c r="K1814" t="s">
        <v>12</v>
      </c>
      <c r="L1814" s="4">
        <v>959251</v>
      </c>
      <c r="M1814" t="str">
        <f t="shared" si="86"/>
        <v>Premium</v>
      </c>
    </row>
    <row r="1815" spans="1:13" x14ac:dyDescent="0.35">
      <c r="A1815">
        <v>1814</v>
      </c>
      <c r="B1815">
        <v>3459</v>
      </c>
      <c r="C1815" t="str">
        <f t="shared" si="84"/>
        <v>Large</v>
      </c>
      <c r="D1815">
        <v>5</v>
      </c>
      <c r="E1815">
        <v>2</v>
      </c>
      <c r="F1815">
        <v>2</v>
      </c>
      <c r="G1815">
        <v>1909</v>
      </c>
      <c r="H1815" t="str">
        <f t="shared" si="85"/>
        <v>Pre-1950</v>
      </c>
      <c r="I1815" t="s">
        <v>14</v>
      </c>
      <c r="J1815" t="s">
        <v>11</v>
      </c>
      <c r="K1815" t="s">
        <v>12</v>
      </c>
      <c r="L1815" s="4">
        <v>462230</v>
      </c>
      <c r="M1815" t="str">
        <f t="shared" si="86"/>
        <v>High</v>
      </c>
    </row>
    <row r="1816" spans="1:13" x14ac:dyDescent="0.35">
      <c r="A1816">
        <v>1815</v>
      </c>
      <c r="B1816">
        <v>3583</v>
      </c>
      <c r="C1816" t="str">
        <f t="shared" si="84"/>
        <v>Large</v>
      </c>
      <c r="D1816">
        <v>1</v>
      </c>
      <c r="E1816">
        <v>4</v>
      </c>
      <c r="F1816">
        <v>1</v>
      </c>
      <c r="G1816">
        <v>1959</v>
      </c>
      <c r="H1816" t="str">
        <f t="shared" si="85"/>
        <v>1950-1975</v>
      </c>
      <c r="I1816" t="s">
        <v>17</v>
      </c>
      <c r="J1816" t="s">
        <v>18</v>
      </c>
      <c r="K1816" t="s">
        <v>12</v>
      </c>
      <c r="L1816" s="4">
        <v>647640</v>
      </c>
      <c r="M1816" t="str">
        <f t="shared" si="86"/>
        <v>Premium</v>
      </c>
    </row>
    <row r="1817" spans="1:13" x14ac:dyDescent="0.35">
      <c r="A1817">
        <v>1816</v>
      </c>
      <c r="B1817">
        <v>2431</v>
      </c>
      <c r="C1817" t="str">
        <f t="shared" si="84"/>
        <v>Medium</v>
      </c>
      <c r="D1817">
        <v>1</v>
      </c>
      <c r="E1817">
        <v>4</v>
      </c>
      <c r="F1817">
        <v>2</v>
      </c>
      <c r="G1817">
        <v>1901</v>
      </c>
      <c r="H1817" t="str">
        <f t="shared" si="85"/>
        <v>Pre-1950</v>
      </c>
      <c r="I1817" t="s">
        <v>19</v>
      </c>
      <c r="J1817" t="s">
        <v>11</v>
      </c>
      <c r="K1817" t="s">
        <v>12</v>
      </c>
      <c r="L1817" s="4">
        <v>534495</v>
      </c>
      <c r="M1817" t="str">
        <f t="shared" si="86"/>
        <v>High</v>
      </c>
    </row>
    <row r="1818" spans="1:13" x14ac:dyDescent="0.35">
      <c r="A1818">
        <v>1817</v>
      </c>
      <c r="B1818">
        <v>4219</v>
      </c>
      <c r="C1818" t="str">
        <f t="shared" si="84"/>
        <v>Extra Large</v>
      </c>
      <c r="D1818">
        <v>1</v>
      </c>
      <c r="E1818">
        <v>1</v>
      </c>
      <c r="F1818">
        <v>1</v>
      </c>
      <c r="G1818">
        <v>2001</v>
      </c>
      <c r="H1818" t="str">
        <f t="shared" si="85"/>
        <v>Post-2000</v>
      </c>
      <c r="I1818" t="s">
        <v>10</v>
      </c>
      <c r="J1818" t="s">
        <v>11</v>
      </c>
      <c r="K1818" t="s">
        <v>16</v>
      </c>
      <c r="L1818" s="4">
        <v>352468</v>
      </c>
      <c r="M1818" t="str">
        <f t="shared" si="86"/>
        <v>Medium</v>
      </c>
    </row>
    <row r="1819" spans="1:13" x14ac:dyDescent="0.35">
      <c r="A1819">
        <v>1818</v>
      </c>
      <c r="B1819">
        <v>3062</v>
      </c>
      <c r="C1819" t="str">
        <f t="shared" si="84"/>
        <v>Large</v>
      </c>
      <c r="D1819">
        <v>3</v>
      </c>
      <c r="E1819">
        <v>4</v>
      </c>
      <c r="F1819">
        <v>1</v>
      </c>
      <c r="G1819">
        <v>1914</v>
      </c>
      <c r="H1819" t="str">
        <f t="shared" si="85"/>
        <v>Pre-1950</v>
      </c>
      <c r="I1819" t="s">
        <v>10</v>
      </c>
      <c r="J1819" t="s">
        <v>11</v>
      </c>
      <c r="K1819" t="s">
        <v>12</v>
      </c>
      <c r="L1819" s="4">
        <v>557745</v>
      </c>
      <c r="M1819" t="str">
        <f t="shared" si="86"/>
        <v>High</v>
      </c>
    </row>
    <row r="1820" spans="1:13" x14ac:dyDescent="0.35">
      <c r="A1820">
        <v>1819</v>
      </c>
      <c r="B1820">
        <v>2179</v>
      </c>
      <c r="C1820" t="str">
        <f t="shared" si="84"/>
        <v>Medium</v>
      </c>
      <c r="D1820">
        <v>3</v>
      </c>
      <c r="E1820">
        <v>3</v>
      </c>
      <c r="F1820">
        <v>2</v>
      </c>
      <c r="G1820">
        <v>1902</v>
      </c>
      <c r="H1820" t="str">
        <f t="shared" si="85"/>
        <v>Pre-1950</v>
      </c>
      <c r="I1820" t="s">
        <v>14</v>
      </c>
      <c r="J1820" t="s">
        <v>11</v>
      </c>
      <c r="K1820" t="s">
        <v>12</v>
      </c>
      <c r="L1820" s="4">
        <v>930507</v>
      </c>
      <c r="M1820" t="str">
        <f t="shared" si="86"/>
        <v>Premium</v>
      </c>
    </row>
    <row r="1821" spans="1:13" x14ac:dyDescent="0.35">
      <c r="A1821">
        <v>1820</v>
      </c>
      <c r="B1821">
        <v>736</v>
      </c>
      <c r="C1821" t="str">
        <f t="shared" si="84"/>
        <v>Small</v>
      </c>
      <c r="D1821">
        <v>2</v>
      </c>
      <c r="E1821">
        <v>3</v>
      </c>
      <c r="F1821">
        <v>2</v>
      </c>
      <c r="G1821">
        <v>1942</v>
      </c>
      <c r="H1821" t="str">
        <f t="shared" si="85"/>
        <v>Pre-1950</v>
      </c>
      <c r="I1821" t="s">
        <v>19</v>
      </c>
      <c r="J1821" t="s">
        <v>13</v>
      </c>
      <c r="K1821" t="s">
        <v>16</v>
      </c>
      <c r="L1821" s="4">
        <v>276710</v>
      </c>
      <c r="M1821" t="str">
        <f t="shared" si="86"/>
        <v>Medium</v>
      </c>
    </row>
    <row r="1822" spans="1:13" x14ac:dyDescent="0.35">
      <c r="A1822">
        <v>1821</v>
      </c>
      <c r="B1822">
        <v>4943</v>
      </c>
      <c r="C1822" t="str">
        <f t="shared" si="84"/>
        <v>Extra Large</v>
      </c>
      <c r="D1822">
        <v>2</v>
      </c>
      <c r="E1822">
        <v>3</v>
      </c>
      <c r="F1822">
        <v>2</v>
      </c>
      <c r="G1822">
        <v>1930</v>
      </c>
      <c r="H1822" t="str">
        <f t="shared" si="85"/>
        <v>Pre-1950</v>
      </c>
      <c r="I1822" t="s">
        <v>10</v>
      </c>
      <c r="J1822" t="s">
        <v>18</v>
      </c>
      <c r="K1822" t="s">
        <v>16</v>
      </c>
      <c r="L1822" s="4">
        <v>744058</v>
      </c>
      <c r="M1822" t="str">
        <f t="shared" si="86"/>
        <v>Premium</v>
      </c>
    </row>
    <row r="1823" spans="1:13" x14ac:dyDescent="0.35">
      <c r="A1823">
        <v>1822</v>
      </c>
      <c r="B1823">
        <v>2040</v>
      </c>
      <c r="C1823" t="str">
        <f t="shared" si="84"/>
        <v>Medium</v>
      </c>
      <c r="D1823">
        <v>1</v>
      </c>
      <c r="E1823">
        <v>3</v>
      </c>
      <c r="F1823">
        <v>1</v>
      </c>
      <c r="G1823">
        <v>1969</v>
      </c>
      <c r="H1823" t="str">
        <f t="shared" si="85"/>
        <v>1950-1975</v>
      </c>
      <c r="I1823" t="s">
        <v>17</v>
      </c>
      <c r="J1823" t="s">
        <v>11</v>
      </c>
      <c r="K1823" t="s">
        <v>12</v>
      </c>
      <c r="L1823" s="4">
        <v>913601</v>
      </c>
      <c r="M1823" t="str">
        <f t="shared" si="86"/>
        <v>Premium</v>
      </c>
    </row>
    <row r="1824" spans="1:13" x14ac:dyDescent="0.35">
      <c r="A1824">
        <v>1823</v>
      </c>
      <c r="B1824">
        <v>4443</v>
      </c>
      <c r="C1824" t="str">
        <f t="shared" si="84"/>
        <v>Extra Large</v>
      </c>
      <c r="D1824">
        <v>5</v>
      </c>
      <c r="E1824">
        <v>3</v>
      </c>
      <c r="F1824">
        <v>3</v>
      </c>
      <c r="G1824">
        <v>1966</v>
      </c>
      <c r="H1824" t="str">
        <f t="shared" si="85"/>
        <v>1950-1975</v>
      </c>
      <c r="I1824" t="s">
        <v>14</v>
      </c>
      <c r="J1824" t="s">
        <v>18</v>
      </c>
      <c r="K1824" t="s">
        <v>16</v>
      </c>
      <c r="L1824" s="4">
        <v>859816</v>
      </c>
      <c r="M1824" t="str">
        <f t="shared" si="86"/>
        <v>Premium</v>
      </c>
    </row>
    <row r="1825" spans="1:13" x14ac:dyDescent="0.35">
      <c r="A1825">
        <v>1824</v>
      </c>
      <c r="B1825">
        <v>863</v>
      </c>
      <c r="C1825" t="str">
        <f t="shared" si="84"/>
        <v>Small</v>
      </c>
      <c r="D1825">
        <v>2</v>
      </c>
      <c r="E1825">
        <v>4</v>
      </c>
      <c r="F1825">
        <v>2</v>
      </c>
      <c r="G1825">
        <v>1955</v>
      </c>
      <c r="H1825" t="str">
        <f t="shared" si="85"/>
        <v>1950-1975</v>
      </c>
      <c r="I1825" t="s">
        <v>19</v>
      </c>
      <c r="J1825" t="s">
        <v>15</v>
      </c>
      <c r="K1825" t="s">
        <v>16</v>
      </c>
      <c r="L1825" s="4">
        <v>577800</v>
      </c>
      <c r="M1825" t="str">
        <f t="shared" si="86"/>
        <v>High</v>
      </c>
    </row>
    <row r="1826" spans="1:13" x14ac:dyDescent="0.35">
      <c r="A1826">
        <v>1825</v>
      </c>
      <c r="B1826">
        <v>2868</v>
      </c>
      <c r="C1826" t="str">
        <f t="shared" si="84"/>
        <v>Large</v>
      </c>
      <c r="D1826">
        <v>2</v>
      </c>
      <c r="E1826">
        <v>1</v>
      </c>
      <c r="F1826">
        <v>2</v>
      </c>
      <c r="G1826">
        <v>1962</v>
      </c>
      <c r="H1826" t="str">
        <f t="shared" si="85"/>
        <v>1950-1975</v>
      </c>
      <c r="I1826" t="s">
        <v>10</v>
      </c>
      <c r="J1826" t="s">
        <v>11</v>
      </c>
      <c r="K1826" t="s">
        <v>16</v>
      </c>
      <c r="L1826" s="4">
        <v>973570</v>
      </c>
      <c r="M1826" t="str">
        <f t="shared" si="86"/>
        <v>Premium</v>
      </c>
    </row>
    <row r="1827" spans="1:13" x14ac:dyDescent="0.35">
      <c r="A1827">
        <v>1826</v>
      </c>
      <c r="B1827">
        <v>785</v>
      </c>
      <c r="C1827" t="str">
        <f t="shared" si="84"/>
        <v>Small</v>
      </c>
      <c r="D1827">
        <v>3</v>
      </c>
      <c r="E1827">
        <v>1</v>
      </c>
      <c r="F1827">
        <v>2</v>
      </c>
      <c r="G1827">
        <v>1974</v>
      </c>
      <c r="H1827" t="str">
        <f t="shared" si="85"/>
        <v>1950-1975</v>
      </c>
      <c r="I1827" t="s">
        <v>10</v>
      </c>
      <c r="J1827" t="s">
        <v>18</v>
      </c>
      <c r="K1827" t="s">
        <v>16</v>
      </c>
      <c r="L1827" s="4">
        <v>736860</v>
      </c>
      <c r="M1827" t="str">
        <f t="shared" si="86"/>
        <v>Premium</v>
      </c>
    </row>
    <row r="1828" spans="1:13" x14ac:dyDescent="0.35">
      <c r="A1828">
        <v>1827</v>
      </c>
      <c r="B1828">
        <v>648</v>
      </c>
      <c r="C1828" t="str">
        <f t="shared" si="84"/>
        <v>Small</v>
      </c>
      <c r="D1828">
        <v>5</v>
      </c>
      <c r="E1828">
        <v>3</v>
      </c>
      <c r="F1828">
        <v>1</v>
      </c>
      <c r="G1828">
        <v>1914</v>
      </c>
      <c r="H1828" t="str">
        <f t="shared" si="85"/>
        <v>Pre-1950</v>
      </c>
      <c r="I1828" t="s">
        <v>19</v>
      </c>
      <c r="J1828" t="s">
        <v>13</v>
      </c>
      <c r="K1828" t="s">
        <v>16</v>
      </c>
      <c r="L1828" s="4">
        <v>173775</v>
      </c>
      <c r="M1828" t="str">
        <f t="shared" si="86"/>
        <v>Low</v>
      </c>
    </row>
    <row r="1829" spans="1:13" x14ac:dyDescent="0.35">
      <c r="A1829">
        <v>1828</v>
      </c>
      <c r="B1829">
        <v>4537</v>
      </c>
      <c r="C1829" t="str">
        <f t="shared" si="84"/>
        <v>Extra Large</v>
      </c>
      <c r="D1829">
        <v>1</v>
      </c>
      <c r="E1829">
        <v>4</v>
      </c>
      <c r="F1829">
        <v>1</v>
      </c>
      <c r="G1829">
        <v>2008</v>
      </c>
      <c r="H1829" t="str">
        <f t="shared" si="85"/>
        <v>Post-2000</v>
      </c>
      <c r="I1829" t="s">
        <v>14</v>
      </c>
      <c r="J1829" t="s">
        <v>18</v>
      </c>
      <c r="K1829" t="s">
        <v>16</v>
      </c>
      <c r="L1829" s="4">
        <v>128743</v>
      </c>
      <c r="M1829" t="str">
        <f t="shared" si="86"/>
        <v>Low</v>
      </c>
    </row>
    <row r="1830" spans="1:13" x14ac:dyDescent="0.35">
      <c r="A1830">
        <v>1829</v>
      </c>
      <c r="B1830">
        <v>2266</v>
      </c>
      <c r="C1830" t="str">
        <f t="shared" si="84"/>
        <v>Medium</v>
      </c>
      <c r="D1830">
        <v>2</v>
      </c>
      <c r="E1830">
        <v>2</v>
      </c>
      <c r="F1830">
        <v>3</v>
      </c>
      <c r="G1830">
        <v>2015</v>
      </c>
      <c r="H1830" t="str">
        <f t="shared" si="85"/>
        <v>Post-2000</v>
      </c>
      <c r="I1830" t="s">
        <v>19</v>
      </c>
      <c r="J1830" t="s">
        <v>11</v>
      </c>
      <c r="K1830" t="s">
        <v>16</v>
      </c>
      <c r="L1830" s="4">
        <v>397786</v>
      </c>
      <c r="M1830" t="str">
        <f t="shared" si="86"/>
        <v>Medium</v>
      </c>
    </row>
    <row r="1831" spans="1:13" x14ac:dyDescent="0.35">
      <c r="A1831">
        <v>1830</v>
      </c>
      <c r="B1831">
        <v>1512</v>
      </c>
      <c r="C1831" t="str">
        <f t="shared" si="84"/>
        <v>Medium</v>
      </c>
      <c r="D1831">
        <v>5</v>
      </c>
      <c r="E1831">
        <v>2</v>
      </c>
      <c r="F1831">
        <v>2</v>
      </c>
      <c r="G1831">
        <v>1991</v>
      </c>
      <c r="H1831" t="str">
        <f t="shared" si="85"/>
        <v>1976-2000</v>
      </c>
      <c r="I1831" t="s">
        <v>19</v>
      </c>
      <c r="J1831" t="s">
        <v>15</v>
      </c>
      <c r="K1831" t="s">
        <v>16</v>
      </c>
      <c r="L1831" s="4">
        <v>441731</v>
      </c>
      <c r="M1831" t="str">
        <f t="shared" si="86"/>
        <v>High</v>
      </c>
    </row>
    <row r="1832" spans="1:13" x14ac:dyDescent="0.35">
      <c r="A1832">
        <v>1831</v>
      </c>
      <c r="B1832">
        <v>3331</v>
      </c>
      <c r="C1832" t="str">
        <f t="shared" si="84"/>
        <v>Large</v>
      </c>
      <c r="D1832">
        <v>5</v>
      </c>
      <c r="E1832">
        <v>4</v>
      </c>
      <c r="F1832">
        <v>1</v>
      </c>
      <c r="G1832">
        <v>1909</v>
      </c>
      <c r="H1832" t="str">
        <f t="shared" si="85"/>
        <v>Pre-1950</v>
      </c>
      <c r="I1832" t="s">
        <v>14</v>
      </c>
      <c r="J1832" t="s">
        <v>18</v>
      </c>
      <c r="K1832" t="s">
        <v>16</v>
      </c>
      <c r="L1832" s="4">
        <v>654146</v>
      </c>
      <c r="M1832" t="str">
        <f t="shared" si="86"/>
        <v>Premium</v>
      </c>
    </row>
    <row r="1833" spans="1:13" x14ac:dyDescent="0.35">
      <c r="A1833">
        <v>1832</v>
      </c>
      <c r="B1833">
        <v>3007</v>
      </c>
      <c r="C1833" t="str">
        <f t="shared" si="84"/>
        <v>Large</v>
      </c>
      <c r="D1833">
        <v>1</v>
      </c>
      <c r="E1833">
        <v>3</v>
      </c>
      <c r="F1833">
        <v>3</v>
      </c>
      <c r="G1833">
        <v>1937</v>
      </c>
      <c r="H1833" t="str">
        <f t="shared" si="85"/>
        <v>Pre-1950</v>
      </c>
      <c r="I1833" t="s">
        <v>10</v>
      </c>
      <c r="J1833" t="s">
        <v>15</v>
      </c>
      <c r="K1833" t="s">
        <v>12</v>
      </c>
      <c r="L1833" s="4">
        <v>629088</v>
      </c>
      <c r="M1833" t="str">
        <f t="shared" si="86"/>
        <v>Premium</v>
      </c>
    </row>
    <row r="1834" spans="1:13" x14ac:dyDescent="0.35">
      <c r="A1834">
        <v>1833</v>
      </c>
      <c r="B1834">
        <v>2023</v>
      </c>
      <c r="C1834" t="str">
        <f t="shared" si="84"/>
        <v>Medium</v>
      </c>
      <c r="D1834">
        <v>5</v>
      </c>
      <c r="E1834">
        <v>1</v>
      </c>
      <c r="F1834">
        <v>2</v>
      </c>
      <c r="G1834">
        <v>1946</v>
      </c>
      <c r="H1834" t="str">
        <f t="shared" si="85"/>
        <v>Pre-1950</v>
      </c>
      <c r="I1834" t="s">
        <v>17</v>
      </c>
      <c r="J1834" t="s">
        <v>13</v>
      </c>
      <c r="K1834" t="s">
        <v>12</v>
      </c>
      <c r="L1834" s="4">
        <v>506356</v>
      </c>
      <c r="M1834" t="str">
        <f t="shared" si="86"/>
        <v>High</v>
      </c>
    </row>
    <row r="1835" spans="1:13" x14ac:dyDescent="0.35">
      <c r="A1835">
        <v>1834</v>
      </c>
      <c r="B1835">
        <v>3285</v>
      </c>
      <c r="C1835" t="str">
        <f t="shared" si="84"/>
        <v>Large</v>
      </c>
      <c r="D1835">
        <v>5</v>
      </c>
      <c r="E1835">
        <v>4</v>
      </c>
      <c r="F1835">
        <v>1</v>
      </c>
      <c r="G1835">
        <v>1956</v>
      </c>
      <c r="H1835" t="str">
        <f t="shared" si="85"/>
        <v>1950-1975</v>
      </c>
      <c r="I1835" t="s">
        <v>14</v>
      </c>
      <c r="J1835" t="s">
        <v>18</v>
      </c>
      <c r="K1835" t="s">
        <v>12</v>
      </c>
      <c r="L1835" s="4">
        <v>674652</v>
      </c>
      <c r="M1835" t="str">
        <f t="shared" si="86"/>
        <v>Premium</v>
      </c>
    </row>
    <row r="1836" spans="1:13" x14ac:dyDescent="0.35">
      <c r="A1836">
        <v>1835</v>
      </c>
      <c r="B1836">
        <v>3056</v>
      </c>
      <c r="C1836" t="str">
        <f t="shared" si="84"/>
        <v>Large</v>
      </c>
      <c r="D1836">
        <v>5</v>
      </c>
      <c r="E1836">
        <v>2</v>
      </c>
      <c r="F1836">
        <v>2</v>
      </c>
      <c r="G1836">
        <v>1949</v>
      </c>
      <c r="H1836" t="str">
        <f t="shared" si="85"/>
        <v>Pre-1950</v>
      </c>
      <c r="I1836" t="s">
        <v>17</v>
      </c>
      <c r="J1836" t="s">
        <v>18</v>
      </c>
      <c r="K1836" t="s">
        <v>12</v>
      </c>
      <c r="L1836" s="4">
        <v>555533</v>
      </c>
      <c r="M1836" t="str">
        <f t="shared" si="86"/>
        <v>High</v>
      </c>
    </row>
    <row r="1837" spans="1:13" x14ac:dyDescent="0.35">
      <c r="A1837">
        <v>1836</v>
      </c>
      <c r="B1837">
        <v>4225</v>
      </c>
      <c r="C1837" t="str">
        <f t="shared" si="84"/>
        <v>Extra Large</v>
      </c>
      <c r="D1837">
        <v>2</v>
      </c>
      <c r="E1837">
        <v>2</v>
      </c>
      <c r="F1837">
        <v>2</v>
      </c>
      <c r="G1837">
        <v>2013</v>
      </c>
      <c r="H1837" t="str">
        <f t="shared" si="85"/>
        <v>Post-2000</v>
      </c>
      <c r="I1837" t="s">
        <v>10</v>
      </c>
      <c r="J1837" t="s">
        <v>13</v>
      </c>
      <c r="K1837" t="s">
        <v>12</v>
      </c>
      <c r="L1837" s="4">
        <v>314531</v>
      </c>
      <c r="M1837" t="str">
        <f t="shared" si="86"/>
        <v>Medium</v>
      </c>
    </row>
    <row r="1838" spans="1:13" x14ac:dyDescent="0.35">
      <c r="A1838">
        <v>1837</v>
      </c>
      <c r="B1838">
        <v>2101</v>
      </c>
      <c r="C1838" t="str">
        <f t="shared" si="84"/>
        <v>Medium</v>
      </c>
      <c r="D1838">
        <v>1</v>
      </c>
      <c r="E1838">
        <v>2</v>
      </c>
      <c r="F1838">
        <v>1</v>
      </c>
      <c r="G1838">
        <v>1970</v>
      </c>
      <c r="H1838" t="str">
        <f t="shared" si="85"/>
        <v>1950-1975</v>
      </c>
      <c r="I1838" t="s">
        <v>19</v>
      </c>
      <c r="J1838" t="s">
        <v>13</v>
      </c>
      <c r="K1838" t="s">
        <v>16</v>
      </c>
      <c r="L1838" s="4">
        <v>237232</v>
      </c>
      <c r="M1838" t="str">
        <f t="shared" si="86"/>
        <v>Medium</v>
      </c>
    </row>
    <row r="1839" spans="1:13" x14ac:dyDescent="0.35">
      <c r="A1839">
        <v>1838</v>
      </c>
      <c r="B1839">
        <v>2908</v>
      </c>
      <c r="C1839" t="str">
        <f t="shared" si="84"/>
        <v>Large</v>
      </c>
      <c r="D1839">
        <v>5</v>
      </c>
      <c r="E1839">
        <v>3</v>
      </c>
      <c r="F1839">
        <v>1</v>
      </c>
      <c r="G1839">
        <v>1914</v>
      </c>
      <c r="H1839" t="str">
        <f t="shared" si="85"/>
        <v>Pre-1950</v>
      </c>
      <c r="I1839" t="s">
        <v>17</v>
      </c>
      <c r="J1839" t="s">
        <v>13</v>
      </c>
      <c r="K1839" t="s">
        <v>16</v>
      </c>
      <c r="L1839" s="4">
        <v>778927</v>
      </c>
      <c r="M1839" t="str">
        <f t="shared" si="86"/>
        <v>Premium</v>
      </c>
    </row>
    <row r="1840" spans="1:13" x14ac:dyDescent="0.35">
      <c r="A1840">
        <v>1839</v>
      </c>
      <c r="B1840">
        <v>840</v>
      </c>
      <c r="C1840" t="str">
        <f t="shared" si="84"/>
        <v>Small</v>
      </c>
      <c r="D1840">
        <v>5</v>
      </c>
      <c r="E1840">
        <v>2</v>
      </c>
      <c r="F1840">
        <v>1</v>
      </c>
      <c r="G1840">
        <v>1917</v>
      </c>
      <c r="H1840" t="str">
        <f t="shared" si="85"/>
        <v>Pre-1950</v>
      </c>
      <c r="I1840" t="s">
        <v>10</v>
      </c>
      <c r="J1840" t="s">
        <v>11</v>
      </c>
      <c r="K1840" t="s">
        <v>12</v>
      </c>
      <c r="L1840" s="4">
        <v>182871</v>
      </c>
      <c r="M1840" t="str">
        <f t="shared" si="86"/>
        <v>Low</v>
      </c>
    </row>
    <row r="1841" spans="1:13" x14ac:dyDescent="0.35">
      <c r="A1841">
        <v>1840</v>
      </c>
      <c r="B1841">
        <v>3317</v>
      </c>
      <c r="C1841" t="str">
        <f t="shared" si="84"/>
        <v>Large</v>
      </c>
      <c r="D1841">
        <v>2</v>
      </c>
      <c r="E1841">
        <v>4</v>
      </c>
      <c r="F1841">
        <v>2</v>
      </c>
      <c r="G1841">
        <v>1981</v>
      </c>
      <c r="H1841" t="str">
        <f t="shared" si="85"/>
        <v>1976-2000</v>
      </c>
      <c r="I1841" t="s">
        <v>10</v>
      </c>
      <c r="J1841" t="s">
        <v>11</v>
      </c>
      <c r="K1841" t="s">
        <v>12</v>
      </c>
      <c r="L1841" s="4">
        <v>169095</v>
      </c>
      <c r="M1841" t="str">
        <f t="shared" si="86"/>
        <v>Low</v>
      </c>
    </row>
    <row r="1842" spans="1:13" x14ac:dyDescent="0.35">
      <c r="A1842">
        <v>1841</v>
      </c>
      <c r="B1842">
        <v>2996</v>
      </c>
      <c r="C1842" t="str">
        <f t="shared" si="84"/>
        <v>Large</v>
      </c>
      <c r="D1842">
        <v>1</v>
      </c>
      <c r="E1842">
        <v>4</v>
      </c>
      <c r="F1842">
        <v>2</v>
      </c>
      <c r="G1842">
        <v>2015</v>
      </c>
      <c r="H1842" t="str">
        <f t="shared" si="85"/>
        <v>Post-2000</v>
      </c>
      <c r="I1842" t="s">
        <v>19</v>
      </c>
      <c r="J1842" t="s">
        <v>18</v>
      </c>
      <c r="K1842" t="s">
        <v>16</v>
      </c>
      <c r="L1842" s="4">
        <v>609836</v>
      </c>
      <c r="M1842" t="str">
        <f t="shared" si="86"/>
        <v>Premium</v>
      </c>
    </row>
    <row r="1843" spans="1:13" x14ac:dyDescent="0.35">
      <c r="A1843">
        <v>1842</v>
      </c>
      <c r="B1843">
        <v>2225</v>
      </c>
      <c r="C1843" t="str">
        <f t="shared" si="84"/>
        <v>Medium</v>
      </c>
      <c r="D1843">
        <v>3</v>
      </c>
      <c r="E1843">
        <v>2</v>
      </c>
      <c r="F1843">
        <v>3</v>
      </c>
      <c r="G1843">
        <v>2004</v>
      </c>
      <c r="H1843" t="str">
        <f t="shared" si="85"/>
        <v>Post-2000</v>
      </c>
      <c r="I1843" t="s">
        <v>19</v>
      </c>
      <c r="J1843" t="s">
        <v>18</v>
      </c>
      <c r="K1843" t="s">
        <v>12</v>
      </c>
      <c r="L1843" s="4">
        <v>140450</v>
      </c>
      <c r="M1843" t="str">
        <f t="shared" si="86"/>
        <v>Low</v>
      </c>
    </row>
    <row r="1844" spans="1:13" x14ac:dyDescent="0.35">
      <c r="A1844">
        <v>1843</v>
      </c>
      <c r="B1844">
        <v>2189</v>
      </c>
      <c r="C1844" t="str">
        <f t="shared" si="84"/>
        <v>Medium</v>
      </c>
      <c r="D1844">
        <v>2</v>
      </c>
      <c r="E1844">
        <v>4</v>
      </c>
      <c r="F1844">
        <v>2</v>
      </c>
      <c r="G1844">
        <v>1987</v>
      </c>
      <c r="H1844" t="str">
        <f t="shared" si="85"/>
        <v>1976-2000</v>
      </c>
      <c r="I1844" t="s">
        <v>10</v>
      </c>
      <c r="J1844" t="s">
        <v>18</v>
      </c>
      <c r="K1844" t="s">
        <v>16</v>
      </c>
      <c r="L1844" s="4">
        <v>679957</v>
      </c>
      <c r="M1844" t="str">
        <f t="shared" si="86"/>
        <v>Premium</v>
      </c>
    </row>
    <row r="1845" spans="1:13" x14ac:dyDescent="0.35">
      <c r="A1845">
        <v>1844</v>
      </c>
      <c r="B1845">
        <v>3767</v>
      </c>
      <c r="C1845" t="str">
        <f t="shared" si="84"/>
        <v>Large</v>
      </c>
      <c r="D1845">
        <v>1</v>
      </c>
      <c r="E1845">
        <v>2</v>
      </c>
      <c r="F1845">
        <v>1</v>
      </c>
      <c r="G1845">
        <v>1901</v>
      </c>
      <c r="H1845" t="str">
        <f t="shared" si="85"/>
        <v>Pre-1950</v>
      </c>
      <c r="I1845" t="s">
        <v>10</v>
      </c>
      <c r="J1845" t="s">
        <v>15</v>
      </c>
      <c r="K1845" t="s">
        <v>12</v>
      </c>
      <c r="L1845" s="4">
        <v>916603</v>
      </c>
      <c r="M1845" t="str">
        <f t="shared" si="86"/>
        <v>Premium</v>
      </c>
    </row>
    <row r="1846" spans="1:13" x14ac:dyDescent="0.35">
      <c r="A1846">
        <v>1845</v>
      </c>
      <c r="B1846">
        <v>4906</v>
      </c>
      <c r="C1846" t="str">
        <f t="shared" si="84"/>
        <v>Extra Large</v>
      </c>
      <c r="D1846">
        <v>5</v>
      </c>
      <c r="E1846">
        <v>2</v>
      </c>
      <c r="F1846">
        <v>2</v>
      </c>
      <c r="G1846">
        <v>2003</v>
      </c>
      <c r="H1846" t="str">
        <f t="shared" si="85"/>
        <v>Post-2000</v>
      </c>
      <c r="I1846" t="s">
        <v>17</v>
      </c>
      <c r="J1846" t="s">
        <v>13</v>
      </c>
      <c r="K1846" t="s">
        <v>16</v>
      </c>
      <c r="L1846" s="4">
        <v>483595</v>
      </c>
      <c r="M1846" t="str">
        <f t="shared" si="86"/>
        <v>High</v>
      </c>
    </row>
    <row r="1847" spans="1:13" x14ac:dyDescent="0.35">
      <c r="A1847">
        <v>1846</v>
      </c>
      <c r="B1847">
        <v>761</v>
      </c>
      <c r="C1847" t="str">
        <f t="shared" si="84"/>
        <v>Small</v>
      </c>
      <c r="D1847">
        <v>1</v>
      </c>
      <c r="E1847">
        <v>1</v>
      </c>
      <c r="F1847">
        <v>3</v>
      </c>
      <c r="G1847">
        <v>1983</v>
      </c>
      <c r="H1847" t="str">
        <f t="shared" si="85"/>
        <v>1976-2000</v>
      </c>
      <c r="I1847" t="s">
        <v>10</v>
      </c>
      <c r="J1847" t="s">
        <v>18</v>
      </c>
      <c r="K1847" t="s">
        <v>12</v>
      </c>
      <c r="L1847" s="4">
        <v>357558</v>
      </c>
      <c r="M1847" t="str">
        <f t="shared" si="86"/>
        <v>Medium</v>
      </c>
    </row>
    <row r="1848" spans="1:13" x14ac:dyDescent="0.35">
      <c r="A1848">
        <v>1847</v>
      </c>
      <c r="B1848">
        <v>1942</v>
      </c>
      <c r="C1848" t="str">
        <f t="shared" si="84"/>
        <v>Medium</v>
      </c>
      <c r="D1848">
        <v>1</v>
      </c>
      <c r="E1848">
        <v>3</v>
      </c>
      <c r="F1848">
        <v>3</v>
      </c>
      <c r="G1848">
        <v>1997</v>
      </c>
      <c r="H1848" t="str">
        <f t="shared" si="85"/>
        <v>1976-2000</v>
      </c>
      <c r="I1848" t="s">
        <v>10</v>
      </c>
      <c r="J1848" t="s">
        <v>13</v>
      </c>
      <c r="K1848" t="s">
        <v>16</v>
      </c>
      <c r="L1848" s="4">
        <v>647359</v>
      </c>
      <c r="M1848" t="str">
        <f t="shared" si="86"/>
        <v>Premium</v>
      </c>
    </row>
    <row r="1849" spans="1:13" x14ac:dyDescent="0.35">
      <c r="A1849">
        <v>1848</v>
      </c>
      <c r="B1849">
        <v>905</v>
      </c>
      <c r="C1849" t="str">
        <f t="shared" si="84"/>
        <v>Small</v>
      </c>
      <c r="D1849">
        <v>1</v>
      </c>
      <c r="E1849">
        <v>3</v>
      </c>
      <c r="F1849">
        <v>1</v>
      </c>
      <c r="G1849">
        <v>1942</v>
      </c>
      <c r="H1849" t="str">
        <f t="shared" si="85"/>
        <v>Pre-1950</v>
      </c>
      <c r="I1849" t="s">
        <v>17</v>
      </c>
      <c r="J1849" t="s">
        <v>11</v>
      </c>
      <c r="K1849" t="s">
        <v>12</v>
      </c>
      <c r="L1849" s="4">
        <v>687096</v>
      </c>
      <c r="M1849" t="str">
        <f t="shared" si="86"/>
        <v>Premium</v>
      </c>
    </row>
    <row r="1850" spans="1:13" x14ac:dyDescent="0.35">
      <c r="A1850">
        <v>1849</v>
      </c>
      <c r="B1850">
        <v>2690</v>
      </c>
      <c r="C1850" t="str">
        <f t="shared" si="84"/>
        <v>Large</v>
      </c>
      <c r="D1850">
        <v>3</v>
      </c>
      <c r="E1850">
        <v>1</v>
      </c>
      <c r="F1850">
        <v>1</v>
      </c>
      <c r="G1850">
        <v>1925</v>
      </c>
      <c r="H1850" t="str">
        <f t="shared" si="85"/>
        <v>Pre-1950</v>
      </c>
      <c r="I1850" t="s">
        <v>14</v>
      </c>
      <c r="J1850" t="s">
        <v>13</v>
      </c>
      <c r="K1850" t="s">
        <v>12</v>
      </c>
      <c r="L1850" s="4">
        <v>550884</v>
      </c>
      <c r="M1850" t="str">
        <f t="shared" si="86"/>
        <v>High</v>
      </c>
    </row>
    <row r="1851" spans="1:13" x14ac:dyDescent="0.35">
      <c r="A1851">
        <v>1850</v>
      </c>
      <c r="B1851">
        <v>4937</v>
      </c>
      <c r="C1851" t="str">
        <f t="shared" si="84"/>
        <v>Extra Large</v>
      </c>
      <c r="D1851">
        <v>1</v>
      </c>
      <c r="E1851">
        <v>1</v>
      </c>
      <c r="F1851">
        <v>3</v>
      </c>
      <c r="G1851">
        <v>1970</v>
      </c>
      <c r="H1851" t="str">
        <f t="shared" si="85"/>
        <v>1950-1975</v>
      </c>
      <c r="I1851" t="s">
        <v>17</v>
      </c>
      <c r="J1851" t="s">
        <v>15</v>
      </c>
      <c r="K1851" t="s">
        <v>16</v>
      </c>
      <c r="L1851" s="4">
        <v>128591</v>
      </c>
      <c r="M1851" t="str">
        <f t="shared" si="86"/>
        <v>Low</v>
      </c>
    </row>
    <row r="1852" spans="1:13" x14ac:dyDescent="0.35">
      <c r="A1852">
        <v>1851</v>
      </c>
      <c r="B1852">
        <v>743</v>
      </c>
      <c r="C1852" t="str">
        <f t="shared" si="84"/>
        <v>Small</v>
      </c>
      <c r="D1852">
        <v>3</v>
      </c>
      <c r="E1852">
        <v>3</v>
      </c>
      <c r="F1852">
        <v>3</v>
      </c>
      <c r="G1852">
        <v>1937</v>
      </c>
      <c r="H1852" t="str">
        <f t="shared" si="85"/>
        <v>Pre-1950</v>
      </c>
      <c r="I1852" t="s">
        <v>17</v>
      </c>
      <c r="J1852" t="s">
        <v>15</v>
      </c>
      <c r="K1852" t="s">
        <v>16</v>
      </c>
      <c r="L1852" s="4">
        <v>798501</v>
      </c>
      <c r="M1852" t="str">
        <f t="shared" si="86"/>
        <v>Premium</v>
      </c>
    </row>
    <row r="1853" spans="1:13" x14ac:dyDescent="0.35">
      <c r="A1853">
        <v>1852</v>
      </c>
      <c r="B1853">
        <v>4607</v>
      </c>
      <c r="C1853" t="str">
        <f t="shared" si="84"/>
        <v>Extra Large</v>
      </c>
      <c r="D1853">
        <v>5</v>
      </c>
      <c r="E1853">
        <v>2</v>
      </c>
      <c r="F1853">
        <v>3</v>
      </c>
      <c r="G1853">
        <v>1993</v>
      </c>
      <c r="H1853" t="str">
        <f t="shared" si="85"/>
        <v>1976-2000</v>
      </c>
      <c r="I1853" t="s">
        <v>19</v>
      </c>
      <c r="J1853" t="s">
        <v>13</v>
      </c>
      <c r="K1853" t="s">
        <v>12</v>
      </c>
      <c r="L1853" s="4">
        <v>316441</v>
      </c>
      <c r="M1853" t="str">
        <f t="shared" si="86"/>
        <v>Medium</v>
      </c>
    </row>
    <row r="1854" spans="1:13" x14ac:dyDescent="0.35">
      <c r="A1854">
        <v>1853</v>
      </c>
      <c r="B1854">
        <v>1060</v>
      </c>
      <c r="C1854" t="str">
        <f t="shared" si="84"/>
        <v>Medium</v>
      </c>
      <c r="D1854">
        <v>3</v>
      </c>
      <c r="E1854">
        <v>2</v>
      </c>
      <c r="F1854">
        <v>1</v>
      </c>
      <c r="G1854">
        <v>1941</v>
      </c>
      <c r="H1854" t="str">
        <f t="shared" si="85"/>
        <v>Pre-1950</v>
      </c>
      <c r="I1854" t="s">
        <v>17</v>
      </c>
      <c r="J1854" t="s">
        <v>15</v>
      </c>
      <c r="K1854" t="s">
        <v>12</v>
      </c>
      <c r="L1854" s="4">
        <v>683801</v>
      </c>
      <c r="M1854" t="str">
        <f t="shared" si="86"/>
        <v>Premium</v>
      </c>
    </row>
    <row r="1855" spans="1:13" x14ac:dyDescent="0.35">
      <c r="A1855">
        <v>1854</v>
      </c>
      <c r="B1855">
        <v>4637</v>
      </c>
      <c r="C1855" t="str">
        <f t="shared" si="84"/>
        <v>Extra Large</v>
      </c>
      <c r="D1855">
        <v>5</v>
      </c>
      <c r="E1855">
        <v>3</v>
      </c>
      <c r="F1855">
        <v>3</v>
      </c>
      <c r="G1855">
        <v>1904</v>
      </c>
      <c r="H1855" t="str">
        <f t="shared" si="85"/>
        <v>Pre-1950</v>
      </c>
      <c r="I1855" t="s">
        <v>10</v>
      </c>
      <c r="J1855" t="s">
        <v>15</v>
      </c>
      <c r="K1855" t="s">
        <v>16</v>
      </c>
      <c r="L1855" s="4">
        <v>965100</v>
      </c>
      <c r="M1855" t="str">
        <f t="shared" si="86"/>
        <v>Premium</v>
      </c>
    </row>
    <row r="1856" spans="1:13" x14ac:dyDescent="0.35">
      <c r="A1856">
        <v>1855</v>
      </c>
      <c r="B1856">
        <v>3225</v>
      </c>
      <c r="C1856" t="str">
        <f t="shared" si="84"/>
        <v>Large</v>
      </c>
      <c r="D1856">
        <v>5</v>
      </c>
      <c r="E1856">
        <v>2</v>
      </c>
      <c r="F1856">
        <v>3</v>
      </c>
      <c r="G1856">
        <v>1910</v>
      </c>
      <c r="H1856" t="str">
        <f t="shared" si="85"/>
        <v>Pre-1950</v>
      </c>
      <c r="I1856" t="s">
        <v>10</v>
      </c>
      <c r="J1856" t="s">
        <v>11</v>
      </c>
      <c r="K1856" t="s">
        <v>16</v>
      </c>
      <c r="L1856" s="4">
        <v>922911</v>
      </c>
      <c r="M1856" t="str">
        <f t="shared" si="86"/>
        <v>Premium</v>
      </c>
    </row>
    <row r="1857" spans="1:13" x14ac:dyDescent="0.35">
      <c r="A1857">
        <v>1856</v>
      </c>
      <c r="B1857">
        <v>1093</v>
      </c>
      <c r="C1857" t="str">
        <f t="shared" si="84"/>
        <v>Medium</v>
      </c>
      <c r="D1857">
        <v>3</v>
      </c>
      <c r="E1857">
        <v>1</v>
      </c>
      <c r="F1857">
        <v>1</v>
      </c>
      <c r="G1857">
        <v>1964</v>
      </c>
      <c r="H1857" t="str">
        <f t="shared" si="85"/>
        <v>1950-1975</v>
      </c>
      <c r="I1857" t="s">
        <v>10</v>
      </c>
      <c r="J1857" t="s">
        <v>18</v>
      </c>
      <c r="K1857" t="s">
        <v>16</v>
      </c>
      <c r="L1857" s="4">
        <v>148752</v>
      </c>
      <c r="M1857" t="str">
        <f t="shared" si="86"/>
        <v>Low</v>
      </c>
    </row>
    <row r="1858" spans="1:13" x14ac:dyDescent="0.35">
      <c r="A1858">
        <v>1857</v>
      </c>
      <c r="B1858">
        <v>2326</v>
      </c>
      <c r="C1858" t="str">
        <f t="shared" si="84"/>
        <v>Medium</v>
      </c>
      <c r="D1858">
        <v>2</v>
      </c>
      <c r="E1858">
        <v>2</v>
      </c>
      <c r="F1858">
        <v>2</v>
      </c>
      <c r="G1858">
        <v>1933</v>
      </c>
      <c r="H1858" t="str">
        <f t="shared" si="85"/>
        <v>Pre-1950</v>
      </c>
      <c r="I1858" t="s">
        <v>14</v>
      </c>
      <c r="J1858" t="s">
        <v>15</v>
      </c>
      <c r="K1858" t="s">
        <v>12</v>
      </c>
      <c r="L1858" s="4">
        <v>186080</v>
      </c>
      <c r="M1858" t="str">
        <f t="shared" si="86"/>
        <v>Low</v>
      </c>
    </row>
    <row r="1859" spans="1:13" x14ac:dyDescent="0.35">
      <c r="A1859">
        <v>1858</v>
      </c>
      <c r="B1859">
        <v>3729</v>
      </c>
      <c r="C1859" t="str">
        <f t="shared" ref="C1859:C1922" si="87">IF(B1859&lt;=1000,"Small",IF(B1859&lt;=2500,"Medium",IF(B1859&lt;=4000,"Large",IF(B1859&gt;=4000,"Extra Large"))))</f>
        <v>Large</v>
      </c>
      <c r="D1859">
        <v>4</v>
      </c>
      <c r="E1859">
        <v>2</v>
      </c>
      <c r="F1859">
        <v>2</v>
      </c>
      <c r="G1859">
        <v>2019</v>
      </c>
      <c r="H1859" t="str">
        <f t="shared" ref="H1859:H1922" si="88">IF(G1859&lt;=1950,"Pre-1950",IF(G1859&lt;=1975,"1950-1975",IF(G1859&lt;=2000,"1976-2000",IF(G1859&gt;=2000,"Post-2000"))))</f>
        <v>Post-2000</v>
      </c>
      <c r="I1859" t="s">
        <v>10</v>
      </c>
      <c r="J1859" t="s">
        <v>18</v>
      </c>
      <c r="K1859" t="s">
        <v>12</v>
      </c>
      <c r="L1859" s="4">
        <v>267885</v>
      </c>
      <c r="M1859" t="str">
        <f t="shared" ref="M1859:M1922" si="89">IF(L1859&lt;=200000,"Low",IF(L1859&lt;=400000,"Medium",IF(L1859&lt;=600000,"High",IF(L1859&gt;=600000,"Premium",""))))</f>
        <v>Medium</v>
      </c>
    </row>
    <row r="1860" spans="1:13" x14ac:dyDescent="0.35">
      <c r="A1860">
        <v>1859</v>
      </c>
      <c r="B1860">
        <v>3787</v>
      </c>
      <c r="C1860" t="str">
        <f t="shared" si="87"/>
        <v>Large</v>
      </c>
      <c r="D1860">
        <v>1</v>
      </c>
      <c r="E1860">
        <v>4</v>
      </c>
      <c r="F1860">
        <v>3</v>
      </c>
      <c r="G1860">
        <v>1900</v>
      </c>
      <c r="H1860" t="str">
        <f t="shared" si="88"/>
        <v>Pre-1950</v>
      </c>
      <c r="I1860" t="s">
        <v>14</v>
      </c>
      <c r="J1860" t="s">
        <v>13</v>
      </c>
      <c r="K1860" t="s">
        <v>16</v>
      </c>
      <c r="L1860" s="4">
        <v>427625</v>
      </c>
      <c r="M1860" t="str">
        <f t="shared" si="89"/>
        <v>High</v>
      </c>
    </row>
    <row r="1861" spans="1:13" x14ac:dyDescent="0.35">
      <c r="A1861">
        <v>1860</v>
      </c>
      <c r="B1861">
        <v>4573</v>
      </c>
      <c r="C1861" t="str">
        <f t="shared" si="87"/>
        <v>Extra Large</v>
      </c>
      <c r="D1861">
        <v>4</v>
      </c>
      <c r="E1861">
        <v>4</v>
      </c>
      <c r="F1861">
        <v>2</v>
      </c>
      <c r="G1861">
        <v>1982</v>
      </c>
      <c r="H1861" t="str">
        <f t="shared" si="88"/>
        <v>1976-2000</v>
      </c>
      <c r="I1861" t="s">
        <v>10</v>
      </c>
      <c r="J1861" t="s">
        <v>13</v>
      </c>
      <c r="K1861" t="s">
        <v>12</v>
      </c>
      <c r="L1861" s="4">
        <v>197892</v>
      </c>
      <c r="M1861" t="str">
        <f t="shared" si="89"/>
        <v>Low</v>
      </c>
    </row>
    <row r="1862" spans="1:13" x14ac:dyDescent="0.35">
      <c r="A1862">
        <v>1861</v>
      </c>
      <c r="B1862">
        <v>633</v>
      </c>
      <c r="C1862" t="str">
        <f t="shared" si="87"/>
        <v>Small</v>
      </c>
      <c r="D1862">
        <v>1</v>
      </c>
      <c r="E1862">
        <v>4</v>
      </c>
      <c r="F1862">
        <v>2</v>
      </c>
      <c r="G1862">
        <v>1901</v>
      </c>
      <c r="H1862" t="str">
        <f t="shared" si="88"/>
        <v>Pre-1950</v>
      </c>
      <c r="I1862" t="s">
        <v>17</v>
      </c>
      <c r="J1862" t="s">
        <v>15</v>
      </c>
      <c r="K1862" t="s">
        <v>12</v>
      </c>
      <c r="L1862" s="4">
        <v>514764</v>
      </c>
      <c r="M1862" t="str">
        <f t="shared" si="89"/>
        <v>High</v>
      </c>
    </row>
    <row r="1863" spans="1:13" x14ac:dyDescent="0.35">
      <c r="A1863">
        <v>1862</v>
      </c>
      <c r="B1863">
        <v>3638</v>
      </c>
      <c r="C1863" t="str">
        <f t="shared" si="87"/>
        <v>Large</v>
      </c>
      <c r="D1863">
        <v>1</v>
      </c>
      <c r="E1863">
        <v>2</v>
      </c>
      <c r="F1863">
        <v>2</v>
      </c>
      <c r="G1863">
        <v>1984</v>
      </c>
      <c r="H1863" t="str">
        <f t="shared" si="88"/>
        <v>1976-2000</v>
      </c>
      <c r="I1863" t="s">
        <v>19</v>
      </c>
      <c r="J1863" t="s">
        <v>13</v>
      </c>
      <c r="K1863" t="s">
        <v>16</v>
      </c>
      <c r="L1863" s="4">
        <v>203325</v>
      </c>
      <c r="M1863" t="str">
        <f t="shared" si="89"/>
        <v>Medium</v>
      </c>
    </row>
    <row r="1864" spans="1:13" x14ac:dyDescent="0.35">
      <c r="A1864">
        <v>1863</v>
      </c>
      <c r="B1864">
        <v>4419</v>
      </c>
      <c r="C1864" t="str">
        <f t="shared" si="87"/>
        <v>Extra Large</v>
      </c>
      <c r="D1864">
        <v>5</v>
      </c>
      <c r="E1864">
        <v>3</v>
      </c>
      <c r="F1864">
        <v>2</v>
      </c>
      <c r="G1864">
        <v>1919</v>
      </c>
      <c r="H1864" t="str">
        <f t="shared" si="88"/>
        <v>Pre-1950</v>
      </c>
      <c r="I1864" t="s">
        <v>10</v>
      </c>
      <c r="J1864" t="s">
        <v>11</v>
      </c>
      <c r="K1864" t="s">
        <v>12</v>
      </c>
      <c r="L1864" s="4">
        <v>472418</v>
      </c>
      <c r="M1864" t="str">
        <f t="shared" si="89"/>
        <v>High</v>
      </c>
    </row>
    <row r="1865" spans="1:13" x14ac:dyDescent="0.35">
      <c r="A1865">
        <v>1864</v>
      </c>
      <c r="B1865">
        <v>572</v>
      </c>
      <c r="C1865" t="str">
        <f t="shared" si="87"/>
        <v>Small</v>
      </c>
      <c r="D1865">
        <v>1</v>
      </c>
      <c r="E1865">
        <v>1</v>
      </c>
      <c r="F1865">
        <v>3</v>
      </c>
      <c r="G1865">
        <v>1960</v>
      </c>
      <c r="H1865" t="str">
        <f t="shared" si="88"/>
        <v>1950-1975</v>
      </c>
      <c r="I1865" t="s">
        <v>14</v>
      </c>
      <c r="J1865" t="s">
        <v>15</v>
      </c>
      <c r="K1865" t="s">
        <v>16</v>
      </c>
      <c r="L1865" s="4">
        <v>996740</v>
      </c>
      <c r="M1865" t="str">
        <f t="shared" si="89"/>
        <v>Premium</v>
      </c>
    </row>
    <row r="1866" spans="1:13" x14ac:dyDescent="0.35">
      <c r="A1866">
        <v>1865</v>
      </c>
      <c r="B1866">
        <v>4994</v>
      </c>
      <c r="C1866" t="str">
        <f t="shared" si="87"/>
        <v>Extra Large</v>
      </c>
      <c r="D1866">
        <v>1</v>
      </c>
      <c r="E1866">
        <v>2</v>
      </c>
      <c r="F1866">
        <v>2</v>
      </c>
      <c r="G1866">
        <v>1986</v>
      </c>
      <c r="H1866" t="str">
        <f t="shared" si="88"/>
        <v>1976-2000</v>
      </c>
      <c r="I1866" t="s">
        <v>14</v>
      </c>
      <c r="J1866" t="s">
        <v>15</v>
      </c>
      <c r="K1866" t="s">
        <v>16</v>
      </c>
      <c r="L1866" s="4">
        <v>641444</v>
      </c>
      <c r="M1866" t="str">
        <f t="shared" si="89"/>
        <v>Premium</v>
      </c>
    </row>
    <row r="1867" spans="1:13" x14ac:dyDescent="0.35">
      <c r="A1867">
        <v>1866</v>
      </c>
      <c r="B1867">
        <v>4725</v>
      </c>
      <c r="C1867" t="str">
        <f t="shared" si="87"/>
        <v>Extra Large</v>
      </c>
      <c r="D1867">
        <v>3</v>
      </c>
      <c r="E1867">
        <v>3</v>
      </c>
      <c r="F1867">
        <v>2</v>
      </c>
      <c r="G1867">
        <v>1920</v>
      </c>
      <c r="H1867" t="str">
        <f t="shared" si="88"/>
        <v>Pre-1950</v>
      </c>
      <c r="I1867" t="s">
        <v>19</v>
      </c>
      <c r="J1867" t="s">
        <v>15</v>
      </c>
      <c r="K1867" t="s">
        <v>12</v>
      </c>
      <c r="L1867" s="4">
        <v>817248</v>
      </c>
      <c r="M1867" t="str">
        <f t="shared" si="89"/>
        <v>Premium</v>
      </c>
    </row>
    <row r="1868" spans="1:13" x14ac:dyDescent="0.35">
      <c r="A1868">
        <v>1867</v>
      </c>
      <c r="B1868">
        <v>3478</v>
      </c>
      <c r="C1868" t="str">
        <f t="shared" si="87"/>
        <v>Large</v>
      </c>
      <c r="D1868">
        <v>4</v>
      </c>
      <c r="E1868">
        <v>2</v>
      </c>
      <c r="F1868">
        <v>1</v>
      </c>
      <c r="G1868">
        <v>1987</v>
      </c>
      <c r="H1868" t="str">
        <f t="shared" si="88"/>
        <v>1976-2000</v>
      </c>
      <c r="I1868" t="s">
        <v>10</v>
      </c>
      <c r="J1868" t="s">
        <v>13</v>
      </c>
      <c r="K1868" t="s">
        <v>12</v>
      </c>
      <c r="L1868" s="4">
        <v>110263</v>
      </c>
      <c r="M1868" t="str">
        <f t="shared" si="89"/>
        <v>Low</v>
      </c>
    </row>
    <row r="1869" spans="1:13" x14ac:dyDescent="0.35">
      <c r="A1869">
        <v>1868</v>
      </c>
      <c r="B1869">
        <v>4861</v>
      </c>
      <c r="C1869" t="str">
        <f t="shared" si="87"/>
        <v>Extra Large</v>
      </c>
      <c r="D1869">
        <v>3</v>
      </c>
      <c r="E1869">
        <v>1</v>
      </c>
      <c r="F1869">
        <v>3</v>
      </c>
      <c r="G1869">
        <v>1967</v>
      </c>
      <c r="H1869" t="str">
        <f t="shared" si="88"/>
        <v>1950-1975</v>
      </c>
      <c r="I1869" t="s">
        <v>17</v>
      </c>
      <c r="J1869" t="s">
        <v>13</v>
      </c>
      <c r="K1869" t="s">
        <v>16</v>
      </c>
      <c r="L1869" s="4">
        <v>955428</v>
      </c>
      <c r="M1869" t="str">
        <f t="shared" si="89"/>
        <v>Premium</v>
      </c>
    </row>
    <row r="1870" spans="1:13" x14ac:dyDescent="0.35">
      <c r="A1870">
        <v>1869</v>
      </c>
      <c r="B1870">
        <v>2485</v>
      </c>
      <c r="C1870" t="str">
        <f t="shared" si="87"/>
        <v>Medium</v>
      </c>
      <c r="D1870">
        <v>1</v>
      </c>
      <c r="E1870">
        <v>2</v>
      </c>
      <c r="F1870">
        <v>1</v>
      </c>
      <c r="G1870">
        <v>1911</v>
      </c>
      <c r="H1870" t="str">
        <f t="shared" si="88"/>
        <v>Pre-1950</v>
      </c>
      <c r="I1870" t="s">
        <v>10</v>
      </c>
      <c r="J1870" t="s">
        <v>15</v>
      </c>
      <c r="K1870" t="s">
        <v>16</v>
      </c>
      <c r="L1870" s="4">
        <v>673540</v>
      </c>
      <c r="M1870" t="str">
        <f t="shared" si="89"/>
        <v>Premium</v>
      </c>
    </row>
    <row r="1871" spans="1:13" x14ac:dyDescent="0.35">
      <c r="A1871">
        <v>1870</v>
      </c>
      <c r="B1871">
        <v>1292</v>
      </c>
      <c r="C1871" t="str">
        <f t="shared" si="87"/>
        <v>Medium</v>
      </c>
      <c r="D1871">
        <v>5</v>
      </c>
      <c r="E1871">
        <v>1</v>
      </c>
      <c r="F1871">
        <v>1</v>
      </c>
      <c r="G1871">
        <v>1921</v>
      </c>
      <c r="H1871" t="str">
        <f t="shared" si="88"/>
        <v>Pre-1950</v>
      </c>
      <c r="I1871" t="s">
        <v>10</v>
      </c>
      <c r="J1871" t="s">
        <v>18</v>
      </c>
      <c r="K1871" t="s">
        <v>16</v>
      </c>
      <c r="L1871" s="4">
        <v>168632</v>
      </c>
      <c r="M1871" t="str">
        <f t="shared" si="89"/>
        <v>Low</v>
      </c>
    </row>
    <row r="1872" spans="1:13" x14ac:dyDescent="0.35">
      <c r="A1872">
        <v>1871</v>
      </c>
      <c r="B1872">
        <v>4759</v>
      </c>
      <c r="C1872" t="str">
        <f t="shared" si="87"/>
        <v>Extra Large</v>
      </c>
      <c r="D1872">
        <v>3</v>
      </c>
      <c r="E1872">
        <v>2</v>
      </c>
      <c r="F1872">
        <v>3</v>
      </c>
      <c r="G1872">
        <v>1919</v>
      </c>
      <c r="H1872" t="str">
        <f t="shared" si="88"/>
        <v>Pre-1950</v>
      </c>
      <c r="I1872" t="s">
        <v>19</v>
      </c>
      <c r="J1872" t="s">
        <v>13</v>
      </c>
      <c r="K1872" t="s">
        <v>12</v>
      </c>
      <c r="L1872" s="4">
        <v>911287</v>
      </c>
      <c r="M1872" t="str">
        <f t="shared" si="89"/>
        <v>Premium</v>
      </c>
    </row>
    <row r="1873" spans="1:13" x14ac:dyDescent="0.35">
      <c r="A1873">
        <v>1872</v>
      </c>
      <c r="B1873">
        <v>594</v>
      </c>
      <c r="C1873" t="str">
        <f t="shared" si="87"/>
        <v>Small</v>
      </c>
      <c r="D1873">
        <v>3</v>
      </c>
      <c r="E1873">
        <v>1</v>
      </c>
      <c r="F1873">
        <v>2</v>
      </c>
      <c r="G1873">
        <v>1981</v>
      </c>
      <c r="H1873" t="str">
        <f t="shared" si="88"/>
        <v>1976-2000</v>
      </c>
      <c r="I1873" t="s">
        <v>10</v>
      </c>
      <c r="J1873" t="s">
        <v>13</v>
      </c>
      <c r="K1873" t="s">
        <v>16</v>
      </c>
      <c r="L1873" s="4">
        <v>66575</v>
      </c>
      <c r="M1873" t="str">
        <f t="shared" si="89"/>
        <v>Low</v>
      </c>
    </row>
    <row r="1874" spans="1:13" x14ac:dyDescent="0.35">
      <c r="A1874">
        <v>1873</v>
      </c>
      <c r="B1874">
        <v>1633</v>
      </c>
      <c r="C1874" t="str">
        <f t="shared" si="87"/>
        <v>Medium</v>
      </c>
      <c r="D1874">
        <v>2</v>
      </c>
      <c r="E1874">
        <v>2</v>
      </c>
      <c r="F1874">
        <v>1</v>
      </c>
      <c r="G1874">
        <v>1900</v>
      </c>
      <c r="H1874" t="str">
        <f t="shared" si="88"/>
        <v>Pre-1950</v>
      </c>
      <c r="I1874" t="s">
        <v>17</v>
      </c>
      <c r="J1874" t="s">
        <v>15</v>
      </c>
      <c r="K1874" t="s">
        <v>16</v>
      </c>
      <c r="L1874" s="4">
        <v>324348</v>
      </c>
      <c r="M1874" t="str">
        <f t="shared" si="89"/>
        <v>Medium</v>
      </c>
    </row>
    <row r="1875" spans="1:13" x14ac:dyDescent="0.35">
      <c r="A1875">
        <v>1874</v>
      </c>
      <c r="B1875">
        <v>737</v>
      </c>
      <c r="C1875" t="str">
        <f t="shared" si="87"/>
        <v>Small</v>
      </c>
      <c r="D1875">
        <v>1</v>
      </c>
      <c r="E1875">
        <v>1</v>
      </c>
      <c r="F1875">
        <v>3</v>
      </c>
      <c r="G1875">
        <v>1929</v>
      </c>
      <c r="H1875" t="str">
        <f t="shared" si="88"/>
        <v>Pre-1950</v>
      </c>
      <c r="I1875" t="s">
        <v>14</v>
      </c>
      <c r="J1875" t="s">
        <v>18</v>
      </c>
      <c r="K1875" t="s">
        <v>16</v>
      </c>
      <c r="L1875" s="4">
        <v>61952</v>
      </c>
      <c r="M1875" t="str">
        <f t="shared" si="89"/>
        <v>Low</v>
      </c>
    </row>
    <row r="1876" spans="1:13" x14ac:dyDescent="0.35">
      <c r="A1876">
        <v>1875</v>
      </c>
      <c r="B1876">
        <v>3446</v>
      </c>
      <c r="C1876" t="str">
        <f t="shared" si="87"/>
        <v>Large</v>
      </c>
      <c r="D1876">
        <v>5</v>
      </c>
      <c r="E1876">
        <v>4</v>
      </c>
      <c r="F1876">
        <v>2</v>
      </c>
      <c r="G1876">
        <v>1996</v>
      </c>
      <c r="H1876" t="str">
        <f t="shared" si="88"/>
        <v>1976-2000</v>
      </c>
      <c r="I1876" t="s">
        <v>19</v>
      </c>
      <c r="J1876" t="s">
        <v>15</v>
      </c>
      <c r="K1876" t="s">
        <v>16</v>
      </c>
      <c r="L1876" s="4">
        <v>569826</v>
      </c>
      <c r="M1876" t="str">
        <f t="shared" si="89"/>
        <v>High</v>
      </c>
    </row>
    <row r="1877" spans="1:13" x14ac:dyDescent="0.35">
      <c r="A1877">
        <v>1876</v>
      </c>
      <c r="B1877">
        <v>3030</v>
      </c>
      <c r="C1877" t="str">
        <f t="shared" si="87"/>
        <v>Large</v>
      </c>
      <c r="D1877">
        <v>3</v>
      </c>
      <c r="E1877">
        <v>2</v>
      </c>
      <c r="F1877">
        <v>3</v>
      </c>
      <c r="G1877">
        <v>1923</v>
      </c>
      <c r="H1877" t="str">
        <f t="shared" si="88"/>
        <v>Pre-1950</v>
      </c>
      <c r="I1877" t="s">
        <v>17</v>
      </c>
      <c r="J1877" t="s">
        <v>13</v>
      </c>
      <c r="K1877" t="s">
        <v>12</v>
      </c>
      <c r="L1877" s="4">
        <v>133323</v>
      </c>
      <c r="M1877" t="str">
        <f t="shared" si="89"/>
        <v>Low</v>
      </c>
    </row>
    <row r="1878" spans="1:13" x14ac:dyDescent="0.35">
      <c r="A1878">
        <v>1877</v>
      </c>
      <c r="B1878">
        <v>2460</v>
      </c>
      <c r="C1878" t="str">
        <f t="shared" si="87"/>
        <v>Medium</v>
      </c>
      <c r="D1878">
        <v>3</v>
      </c>
      <c r="E1878">
        <v>2</v>
      </c>
      <c r="F1878">
        <v>1</v>
      </c>
      <c r="G1878">
        <v>1913</v>
      </c>
      <c r="H1878" t="str">
        <f t="shared" si="88"/>
        <v>Pre-1950</v>
      </c>
      <c r="I1878" t="s">
        <v>14</v>
      </c>
      <c r="J1878" t="s">
        <v>15</v>
      </c>
      <c r="K1878" t="s">
        <v>12</v>
      </c>
      <c r="L1878" s="4">
        <v>756502</v>
      </c>
      <c r="M1878" t="str">
        <f t="shared" si="89"/>
        <v>Premium</v>
      </c>
    </row>
    <row r="1879" spans="1:13" x14ac:dyDescent="0.35">
      <c r="A1879">
        <v>1878</v>
      </c>
      <c r="B1879">
        <v>1548</v>
      </c>
      <c r="C1879" t="str">
        <f t="shared" si="87"/>
        <v>Medium</v>
      </c>
      <c r="D1879">
        <v>5</v>
      </c>
      <c r="E1879">
        <v>3</v>
      </c>
      <c r="F1879">
        <v>2</v>
      </c>
      <c r="G1879">
        <v>1935</v>
      </c>
      <c r="H1879" t="str">
        <f t="shared" si="88"/>
        <v>Pre-1950</v>
      </c>
      <c r="I1879" t="s">
        <v>19</v>
      </c>
      <c r="J1879" t="s">
        <v>15</v>
      </c>
      <c r="K1879" t="s">
        <v>16</v>
      </c>
      <c r="L1879" s="4">
        <v>214944</v>
      </c>
      <c r="M1879" t="str">
        <f t="shared" si="89"/>
        <v>Medium</v>
      </c>
    </row>
    <row r="1880" spans="1:13" x14ac:dyDescent="0.35">
      <c r="A1880">
        <v>1879</v>
      </c>
      <c r="B1880">
        <v>3029</v>
      </c>
      <c r="C1880" t="str">
        <f t="shared" si="87"/>
        <v>Large</v>
      </c>
      <c r="D1880">
        <v>1</v>
      </c>
      <c r="E1880">
        <v>3</v>
      </c>
      <c r="F1880">
        <v>2</v>
      </c>
      <c r="G1880">
        <v>1968</v>
      </c>
      <c r="H1880" t="str">
        <f t="shared" si="88"/>
        <v>1950-1975</v>
      </c>
      <c r="I1880" t="s">
        <v>19</v>
      </c>
      <c r="J1880" t="s">
        <v>15</v>
      </c>
      <c r="K1880" t="s">
        <v>12</v>
      </c>
      <c r="L1880" s="4">
        <v>734736</v>
      </c>
      <c r="M1880" t="str">
        <f t="shared" si="89"/>
        <v>Premium</v>
      </c>
    </row>
    <row r="1881" spans="1:13" x14ac:dyDescent="0.35">
      <c r="A1881">
        <v>1880</v>
      </c>
      <c r="B1881">
        <v>3464</v>
      </c>
      <c r="C1881" t="str">
        <f t="shared" si="87"/>
        <v>Large</v>
      </c>
      <c r="D1881">
        <v>2</v>
      </c>
      <c r="E1881">
        <v>1</v>
      </c>
      <c r="F1881">
        <v>3</v>
      </c>
      <c r="G1881">
        <v>1974</v>
      </c>
      <c r="H1881" t="str">
        <f t="shared" si="88"/>
        <v>1950-1975</v>
      </c>
      <c r="I1881" t="s">
        <v>14</v>
      </c>
      <c r="J1881" t="s">
        <v>18</v>
      </c>
      <c r="K1881" t="s">
        <v>12</v>
      </c>
      <c r="L1881" s="4">
        <v>771444</v>
      </c>
      <c r="M1881" t="str">
        <f t="shared" si="89"/>
        <v>Premium</v>
      </c>
    </row>
    <row r="1882" spans="1:13" x14ac:dyDescent="0.35">
      <c r="A1882">
        <v>1881</v>
      </c>
      <c r="B1882">
        <v>1463</v>
      </c>
      <c r="C1882" t="str">
        <f t="shared" si="87"/>
        <v>Medium</v>
      </c>
      <c r="D1882">
        <v>3</v>
      </c>
      <c r="E1882">
        <v>2</v>
      </c>
      <c r="F1882">
        <v>2</v>
      </c>
      <c r="G1882">
        <v>1923</v>
      </c>
      <c r="H1882" t="str">
        <f t="shared" si="88"/>
        <v>Pre-1950</v>
      </c>
      <c r="I1882" t="s">
        <v>14</v>
      </c>
      <c r="J1882" t="s">
        <v>15</v>
      </c>
      <c r="K1882" t="s">
        <v>12</v>
      </c>
      <c r="L1882" s="4">
        <v>192712</v>
      </c>
      <c r="M1882" t="str">
        <f t="shared" si="89"/>
        <v>Low</v>
      </c>
    </row>
    <row r="1883" spans="1:13" x14ac:dyDescent="0.35">
      <c r="A1883">
        <v>1882</v>
      </c>
      <c r="B1883">
        <v>1036</v>
      </c>
      <c r="C1883" t="str">
        <f t="shared" si="87"/>
        <v>Medium</v>
      </c>
      <c r="D1883">
        <v>2</v>
      </c>
      <c r="E1883">
        <v>1</v>
      </c>
      <c r="F1883">
        <v>1</v>
      </c>
      <c r="G1883">
        <v>1959</v>
      </c>
      <c r="H1883" t="str">
        <f t="shared" si="88"/>
        <v>1950-1975</v>
      </c>
      <c r="I1883" t="s">
        <v>17</v>
      </c>
      <c r="J1883" t="s">
        <v>13</v>
      </c>
      <c r="K1883" t="s">
        <v>16</v>
      </c>
      <c r="L1883" s="4">
        <v>338581</v>
      </c>
      <c r="M1883" t="str">
        <f t="shared" si="89"/>
        <v>Medium</v>
      </c>
    </row>
    <row r="1884" spans="1:13" x14ac:dyDescent="0.35">
      <c r="A1884">
        <v>1883</v>
      </c>
      <c r="B1884">
        <v>4723</v>
      </c>
      <c r="C1884" t="str">
        <f t="shared" si="87"/>
        <v>Extra Large</v>
      </c>
      <c r="D1884">
        <v>4</v>
      </c>
      <c r="E1884">
        <v>4</v>
      </c>
      <c r="F1884">
        <v>1</v>
      </c>
      <c r="G1884">
        <v>1994</v>
      </c>
      <c r="H1884" t="str">
        <f t="shared" si="88"/>
        <v>1976-2000</v>
      </c>
      <c r="I1884" t="s">
        <v>10</v>
      </c>
      <c r="J1884" t="s">
        <v>15</v>
      </c>
      <c r="K1884" t="s">
        <v>12</v>
      </c>
      <c r="L1884" s="4">
        <v>177129</v>
      </c>
      <c r="M1884" t="str">
        <f t="shared" si="89"/>
        <v>Low</v>
      </c>
    </row>
    <row r="1885" spans="1:13" x14ac:dyDescent="0.35">
      <c r="A1885">
        <v>1884</v>
      </c>
      <c r="B1885">
        <v>4179</v>
      </c>
      <c r="C1885" t="str">
        <f t="shared" si="87"/>
        <v>Extra Large</v>
      </c>
      <c r="D1885">
        <v>1</v>
      </c>
      <c r="E1885">
        <v>3</v>
      </c>
      <c r="F1885">
        <v>1</v>
      </c>
      <c r="G1885">
        <v>1954</v>
      </c>
      <c r="H1885" t="str">
        <f t="shared" si="88"/>
        <v>1950-1975</v>
      </c>
      <c r="I1885" t="s">
        <v>10</v>
      </c>
      <c r="J1885" t="s">
        <v>18</v>
      </c>
      <c r="K1885" t="s">
        <v>12</v>
      </c>
      <c r="L1885" s="4">
        <v>924113</v>
      </c>
      <c r="M1885" t="str">
        <f t="shared" si="89"/>
        <v>Premium</v>
      </c>
    </row>
    <row r="1886" spans="1:13" x14ac:dyDescent="0.35">
      <c r="A1886">
        <v>1885</v>
      </c>
      <c r="B1886">
        <v>4687</v>
      </c>
      <c r="C1886" t="str">
        <f t="shared" si="87"/>
        <v>Extra Large</v>
      </c>
      <c r="D1886">
        <v>4</v>
      </c>
      <c r="E1886">
        <v>1</v>
      </c>
      <c r="F1886">
        <v>3</v>
      </c>
      <c r="G1886">
        <v>1976</v>
      </c>
      <c r="H1886" t="str">
        <f t="shared" si="88"/>
        <v>1976-2000</v>
      </c>
      <c r="I1886" t="s">
        <v>10</v>
      </c>
      <c r="J1886" t="s">
        <v>11</v>
      </c>
      <c r="K1886" t="s">
        <v>16</v>
      </c>
      <c r="L1886" s="4">
        <v>828810</v>
      </c>
      <c r="M1886" t="str">
        <f t="shared" si="89"/>
        <v>Premium</v>
      </c>
    </row>
    <row r="1887" spans="1:13" x14ac:dyDescent="0.35">
      <c r="A1887">
        <v>1886</v>
      </c>
      <c r="B1887">
        <v>4224</v>
      </c>
      <c r="C1887" t="str">
        <f t="shared" si="87"/>
        <v>Extra Large</v>
      </c>
      <c r="D1887">
        <v>4</v>
      </c>
      <c r="E1887">
        <v>1</v>
      </c>
      <c r="F1887">
        <v>2</v>
      </c>
      <c r="G1887">
        <v>1979</v>
      </c>
      <c r="H1887" t="str">
        <f t="shared" si="88"/>
        <v>1976-2000</v>
      </c>
      <c r="I1887" t="s">
        <v>10</v>
      </c>
      <c r="J1887" t="s">
        <v>18</v>
      </c>
      <c r="K1887" t="s">
        <v>16</v>
      </c>
      <c r="L1887" s="4">
        <v>582191</v>
      </c>
      <c r="M1887" t="str">
        <f t="shared" si="89"/>
        <v>High</v>
      </c>
    </row>
    <row r="1888" spans="1:13" x14ac:dyDescent="0.35">
      <c r="A1888">
        <v>1887</v>
      </c>
      <c r="B1888">
        <v>1042</v>
      </c>
      <c r="C1888" t="str">
        <f t="shared" si="87"/>
        <v>Medium</v>
      </c>
      <c r="D1888">
        <v>4</v>
      </c>
      <c r="E1888">
        <v>3</v>
      </c>
      <c r="F1888">
        <v>2</v>
      </c>
      <c r="G1888">
        <v>1923</v>
      </c>
      <c r="H1888" t="str">
        <f t="shared" si="88"/>
        <v>Pre-1950</v>
      </c>
      <c r="I1888" t="s">
        <v>10</v>
      </c>
      <c r="J1888" t="s">
        <v>15</v>
      </c>
      <c r="K1888" t="s">
        <v>12</v>
      </c>
      <c r="L1888" s="4">
        <v>264776</v>
      </c>
      <c r="M1888" t="str">
        <f t="shared" si="89"/>
        <v>Medium</v>
      </c>
    </row>
    <row r="1889" spans="1:13" x14ac:dyDescent="0.35">
      <c r="A1889">
        <v>1888</v>
      </c>
      <c r="B1889">
        <v>1345</v>
      </c>
      <c r="C1889" t="str">
        <f t="shared" si="87"/>
        <v>Medium</v>
      </c>
      <c r="D1889">
        <v>1</v>
      </c>
      <c r="E1889">
        <v>2</v>
      </c>
      <c r="F1889">
        <v>2</v>
      </c>
      <c r="G1889">
        <v>1976</v>
      </c>
      <c r="H1889" t="str">
        <f t="shared" si="88"/>
        <v>1976-2000</v>
      </c>
      <c r="I1889" t="s">
        <v>17</v>
      </c>
      <c r="J1889" t="s">
        <v>11</v>
      </c>
      <c r="K1889" t="s">
        <v>12</v>
      </c>
      <c r="L1889" s="4">
        <v>601151</v>
      </c>
      <c r="M1889" t="str">
        <f t="shared" si="89"/>
        <v>Premium</v>
      </c>
    </row>
    <row r="1890" spans="1:13" x14ac:dyDescent="0.35">
      <c r="A1890">
        <v>1889</v>
      </c>
      <c r="B1890">
        <v>4103</v>
      </c>
      <c r="C1890" t="str">
        <f t="shared" si="87"/>
        <v>Extra Large</v>
      </c>
      <c r="D1890">
        <v>1</v>
      </c>
      <c r="E1890">
        <v>1</v>
      </c>
      <c r="F1890">
        <v>1</v>
      </c>
      <c r="G1890">
        <v>1923</v>
      </c>
      <c r="H1890" t="str">
        <f t="shared" si="88"/>
        <v>Pre-1950</v>
      </c>
      <c r="I1890" t="s">
        <v>19</v>
      </c>
      <c r="J1890" t="s">
        <v>15</v>
      </c>
      <c r="K1890" t="s">
        <v>16</v>
      </c>
      <c r="L1890" s="4">
        <v>355525</v>
      </c>
      <c r="M1890" t="str">
        <f t="shared" si="89"/>
        <v>Medium</v>
      </c>
    </row>
    <row r="1891" spans="1:13" x14ac:dyDescent="0.35">
      <c r="A1891">
        <v>1890</v>
      </c>
      <c r="B1891">
        <v>3536</v>
      </c>
      <c r="C1891" t="str">
        <f t="shared" si="87"/>
        <v>Large</v>
      </c>
      <c r="D1891">
        <v>5</v>
      </c>
      <c r="E1891">
        <v>3</v>
      </c>
      <c r="F1891">
        <v>2</v>
      </c>
      <c r="G1891">
        <v>1953</v>
      </c>
      <c r="H1891" t="str">
        <f t="shared" si="88"/>
        <v>1950-1975</v>
      </c>
      <c r="I1891" t="s">
        <v>17</v>
      </c>
      <c r="J1891" t="s">
        <v>18</v>
      </c>
      <c r="K1891" t="s">
        <v>16</v>
      </c>
      <c r="L1891" s="4">
        <v>864980</v>
      </c>
      <c r="M1891" t="str">
        <f t="shared" si="89"/>
        <v>Premium</v>
      </c>
    </row>
    <row r="1892" spans="1:13" x14ac:dyDescent="0.35">
      <c r="A1892">
        <v>1891</v>
      </c>
      <c r="B1892">
        <v>2994</v>
      </c>
      <c r="C1892" t="str">
        <f t="shared" si="87"/>
        <v>Large</v>
      </c>
      <c r="D1892">
        <v>2</v>
      </c>
      <c r="E1892">
        <v>2</v>
      </c>
      <c r="F1892">
        <v>1</v>
      </c>
      <c r="G1892">
        <v>1925</v>
      </c>
      <c r="H1892" t="str">
        <f t="shared" si="88"/>
        <v>Pre-1950</v>
      </c>
      <c r="I1892" t="s">
        <v>17</v>
      </c>
      <c r="J1892" t="s">
        <v>11</v>
      </c>
      <c r="K1892" t="s">
        <v>16</v>
      </c>
      <c r="L1892" s="4">
        <v>493172</v>
      </c>
      <c r="M1892" t="str">
        <f t="shared" si="89"/>
        <v>High</v>
      </c>
    </row>
    <row r="1893" spans="1:13" x14ac:dyDescent="0.35">
      <c r="A1893">
        <v>1892</v>
      </c>
      <c r="B1893">
        <v>4985</v>
      </c>
      <c r="C1893" t="str">
        <f t="shared" si="87"/>
        <v>Extra Large</v>
      </c>
      <c r="D1893">
        <v>2</v>
      </c>
      <c r="E1893">
        <v>4</v>
      </c>
      <c r="F1893">
        <v>2</v>
      </c>
      <c r="G1893">
        <v>1965</v>
      </c>
      <c r="H1893" t="str">
        <f t="shared" si="88"/>
        <v>1950-1975</v>
      </c>
      <c r="I1893" t="s">
        <v>17</v>
      </c>
      <c r="J1893" t="s">
        <v>11</v>
      </c>
      <c r="K1893" t="s">
        <v>16</v>
      </c>
      <c r="L1893" s="4">
        <v>585755</v>
      </c>
      <c r="M1893" t="str">
        <f t="shared" si="89"/>
        <v>High</v>
      </c>
    </row>
    <row r="1894" spans="1:13" x14ac:dyDescent="0.35">
      <c r="A1894">
        <v>1893</v>
      </c>
      <c r="B1894">
        <v>3219</v>
      </c>
      <c r="C1894" t="str">
        <f t="shared" si="87"/>
        <v>Large</v>
      </c>
      <c r="D1894">
        <v>5</v>
      </c>
      <c r="E1894">
        <v>3</v>
      </c>
      <c r="F1894">
        <v>1</v>
      </c>
      <c r="G1894">
        <v>1979</v>
      </c>
      <c r="H1894" t="str">
        <f t="shared" si="88"/>
        <v>1976-2000</v>
      </c>
      <c r="I1894" t="s">
        <v>19</v>
      </c>
      <c r="J1894" t="s">
        <v>15</v>
      </c>
      <c r="K1894" t="s">
        <v>12</v>
      </c>
      <c r="L1894" s="4">
        <v>370098</v>
      </c>
      <c r="M1894" t="str">
        <f t="shared" si="89"/>
        <v>Medium</v>
      </c>
    </row>
    <row r="1895" spans="1:13" x14ac:dyDescent="0.35">
      <c r="A1895">
        <v>1894</v>
      </c>
      <c r="B1895">
        <v>2384</v>
      </c>
      <c r="C1895" t="str">
        <f t="shared" si="87"/>
        <v>Medium</v>
      </c>
      <c r="D1895">
        <v>5</v>
      </c>
      <c r="E1895">
        <v>1</v>
      </c>
      <c r="F1895">
        <v>2</v>
      </c>
      <c r="G1895">
        <v>1937</v>
      </c>
      <c r="H1895" t="str">
        <f t="shared" si="88"/>
        <v>Pre-1950</v>
      </c>
      <c r="I1895" t="s">
        <v>17</v>
      </c>
      <c r="J1895" t="s">
        <v>15</v>
      </c>
      <c r="K1895" t="s">
        <v>16</v>
      </c>
      <c r="L1895" s="4">
        <v>336045</v>
      </c>
      <c r="M1895" t="str">
        <f t="shared" si="89"/>
        <v>Medium</v>
      </c>
    </row>
    <row r="1896" spans="1:13" x14ac:dyDescent="0.35">
      <c r="A1896">
        <v>1895</v>
      </c>
      <c r="B1896">
        <v>4638</v>
      </c>
      <c r="C1896" t="str">
        <f t="shared" si="87"/>
        <v>Extra Large</v>
      </c>
      <c r="D1896">
        <v>4</v>
      </c>
      <c r="E1896">
        <v>4</v>
      </c>
      <c r="F1896">
        <v>3</v>
      </c>
      <c r="G1896">
        <v>2009</v>
      </c>
      <c r="H1896" t="str">
        <f t="shared" si="88"/>
        <v>Post-2000</v>
      </c>
      <c r="I1896" t="s">
        <v>17</v>
      </c>
      <c r="J1896" t="s">
        <v>18</v>
      </c>
      <c r="K1896" t="s">
        <v>12</v>
      </c>
      <c r="L1896" s="4">
        <v>859733</v>
      </c>
      <c r="M1896" t="str">
        <f t="shared" si="89"/>
        <v>Premium</v>
      </c>
    </row>
    <row r="1897" spans="1:13" x14ac:dyDescent="0.35">
      <c r="A1897">
        <v>1896</v>
      </c>
      <c r="B1897">
        <v>4849</v>
      </c>
      <c r="C1897" t="str">
        <f t="shared" si="87"/>
        <v>Extra Large</v>
      </c>
      <c r="D1897">
        <v>5</v>
      </c>
      <c r="E1897">
        <v>2</v>
      </c>
      <c r="F1897">
        <v>3</v>
      </c>
      <c r="G1897">
        <v>1964</v>
      </c>
      <c r="H1897" t="str">
        <f t="shared" si="88"/>
        <v>1950-1975</v>
      </c>
      <c r="I1897" t="s">
        <v>19</v>
      </c>
      <c r="J1897" t="s">
        <v>15</v>
      </c>
      <c r="K1897" t="s">
        <v>12</v>
      </c>
      <c r="L1897" s="4">
        <v>961118</v>
      </c>
      <c r="M1897" t="str">
        <f t="shared" si="89"/>
        <v>Premium</v>
      </c>
    </row>
    <row r="1898" spans="1:13" x14ac:dyDescent="0.35">
      <c r="A1898">
        <v>1897</v>
      </c>
      <c r="B1898">
        <v>3701</v>
      </c>
      <c r="C1898" t="str">
        <f t="shared" si="87"/>
        <v>Large</v>
      </c>
      <c r="D1898">
        <v>3</v>
      </c>
      <c r="E1898">
        <v>2</v>
      </c>
      <c r="F1898">
        <v>1</v>
      </c>
      <c r="G1898">
        <v>2012</v>
      </c>
      <c r="H1898" t="str">
        <f t="shared" si="88"/>
        <v>Post-2000</v>
      </c>
      <c r="I1898" t="s">
        <v>17</v>
      </c>
      <c r="J1898" t="s">
        <v>11</v>
      </c>
      <c r="K1898" t="s">
        <v>12</v>
      </c>
      <c r="L1898" s="4">
        <v>807902</v>
      </c>
      <c r="M1898" t="str">
        <f t="shared" si="89"/>
        <v>Premium</v>
      </c>
    </row>
    <row r="1899" spans="1:13" x14ac:dyDescent="0.35">
      <c r="A1899">
        <v>1898</v>
      </c>
      <c r="B1899">
        <v>3210</v>
      </c>
      <c r="C1899" t="str">
        <f t="shared" si="87"/>
        <v>Large</v>
      </c>
      <c r="D1899">
        <v>2</v>
      </c>
      <c r="E1899">
        <v>3</v>
      </c>
      <c r="F1899">
        <v>1</v>
      </c>
      <c r="G1899">
        <v>1974</v>
      </c>
      <c r="H1899" t="str">
        <f t="shared" si="88"/>
        <v>1950-1975</v>
      </c>
      <c r="I1899" t="s">
        <v>10</v>
      </c>
      <c r="J1899" t="s">
        <v>13</v>
      </c>
      <c r="K1899" t="s">
        <v>16</v>
      </c>
      <c r="L1899" s="4">
        <v>921612</v>
      </c>
      <c r="M1899" t="str">
        <f t="shared" si="89"/>
        <v>Premium</v>
      </c>
    </row>
    <row r="1900" spans="1:13" x14ac:dyDescent="0.35">
      <c r="A1900">
        <v>1899</v>
      </c>
      <c r="B1900">
        <v>2453</v>
      </c>
      <c r="C1900" t="str">
        <f t="shared" si="87"/>
        <v>Medium</v>
      </c>
      <c r="D1900">
        <v>5</v>
      </c>
      <c r="E1900">
        <v>3</v>
      </c>
      <c r="F1900">
        <v>2</v>
      </c>
      <c r="G1900">
        <v>1950</v>
      </c>
      <c r="H1900" t="str">
        <f t="shared" si="88"/>
        <v>Pre-1950</v>
      </c>
      <c r="I1900" t="s">
        <v>14</v>
      </c>
      <c r="J1900" t="s">
        <v>13</v>
      </c>
      <c r="K1900" t="s">
        <v>16</v>
      </c>
      <c r="L1900" s="4">
        <v>644191</v>
      </c>
      <c r="M1900" t="str">
        <f t="shared" si="89"/>
        <v>Premium</v>
      </c>
    </row>
    <row r="1901" spans="1:13" x14ac:dyDescent="0.35">
      <c r="A1901">
        <v>1900</v>
      </c>
      <c r="B1901">
        <v>4350</v>
      </c>
      <c r="C1901" t="str">
        <f t="shared" si="87"/>
        <v>Extra Large</v>
      </c>
      <c r="D1901">
        <v>3</v>
      </c>
      <c r="E1901">
        <v>3</v>
      </c>
      <c r="F1901">
        <v>2</v>
      </c>
      <c r="G1901">
        <v>1934</v>
      </c>
      <c r="H1901" t="str">
        <f t="shared" si="88"/>
        <v>Pre-1950</v>
      </c>
      <c r="I1901" t="s">
        <v>17</v>
      </c>
      <c r="J1901" t="s">
        <v>18</v>
      </c>
      <c r="K1901" t="s">
        <v>12</v>
      </c>
      <c r="L1901" s="4">
        <v>416099</v>
      </c>
      <c r="M1901" t="str">
        <f t="shared" si="89"/>
        <v>High</v>
      </c>
    </row>
    <row r="1902" spans="1:13" x14ac:dyDescent="0.35">
      <c r="A1902">
        <v>1901</v>
      </c>
      <c r="B1902">
        <v>1189</v>
      </c>
      <c r="C1902" t="str">
        <f t="shared" si="87"/>
        <v>Medium</v>
      </c>
      <c r="D1902">
        <v>3</v>
      </c>
      <c r="E1902">
        <v>2</v>
      </c>
      <c r="F1902">
        <v>3</v>
      </c>
      <c r="G1902">
        <v>1942</v>
      </c>
      <c r="H1902" t="str">
        <f t="shared" si="88"/>
        <v>Pre-1950</v>
      </c>
      <c r="I1902" t="s">
        <v>14</v>
      </c>
      <c r="J1902" t="s">
        <v>15</v>
      </c>
      <c r="K1902" t="s">
        <v>12</v>
      </c>
      <c r="L1902" s="4">
        <v>983708</v>
      </c>
      <c r="M1902" t="str">
        <f t="shared" si="89"/>
        <v>Premium</v>
      </c>
    </row>
    <row r="1903" spans="1:13" x14ac:dyDescent="0.35">
      <c r="A1903">
        <v>1902</v>
      </c>
      <c r="B1903">
        <v>2450</v>
      </c>
      <c r="C1903" t="str">
        <f t="shared" si="87"/>
        <v>Medium</v>
      </c>
      <c r="D1903">
        <v>3</v>
      </c>
      <c r="E1903">
        <v>4</v>
      </c>
      <c r="F1903">
        <v>2</v>
      </c>
      <c r="G1903">
        <v>1928</v>
      </c>
      <c r="H1903" t="str">
        <f t="shared" si="88"/>
        <v>Pre-1950</v>
      </c>
      <c r="I1903" t="s">
        <v>17</v>
      </c>
      <c r="J1903" t="s">
        <v>18</v>
      </c>
      <c r="K1903" t="s">
        <v>12</v>
      </c>
      <c r="L1903" s="4">
        <v>594043</v>
      </c>
      <c r="M1903" t="str">
        <f t="shared" si="89"/>
        <v>High</v>
      </c>
    </row>
    <row r="1904" spans="1:13" x14ac:dyDescent="0.35">
      <c r="A1904">
        <v>1903</v>
      </c>
      <c r="B1904">
        <v>956</v>
      </c>
      <c r="C1904" t="str">
        <f t="shared" si="87"/>
        <v>Small</v>
      </c>
      <c r="D1904">
        <v>3</v>
      </c>
      <c r="E1904">
        <v>2</v>
      </c>
      <c r="F1904">
        <v>1</v>
      </c>
      <c r="G1904">
        <v>1936</v>
      </c>
      <c r="H1904" t="str">
        <f t="shared" si="88"/>
        <v>Pre-1950</v>
      </c>
      <c r="I1904" t="s">
        <v>17</v>
      </c>
      <c r="J1904" t="s">
        <v>13</v>
      </c>
      <c r="K1904" t="s">
        <v>12</v>
      </c>
      <c r="L1904" s="4">
        <v>371961</v>
      </c>
      <c r="M1904" t="str">
        <f t="shared" si="89"/>
        <v>Medium</v>
      </c>
    </row>
    <row r="1905" spans="1:13" x14ac:dyDescent="0.35">
      <c r="A1905">
        <v>1904</v>
      </c>
      <c r="B1905">
        <v>2630</v>
      </c>
      <c r="C1905" t="str">
        <f t="shared" si="87"/>
        <v>Large</v>
      </c>
      <c r="D1905">
        <v>4</v>
      </c>
      <c r="E1905">
        <v>1</v>
      </c>
      <c r="F1905">
        <v>1</v>
      </c>
      <c r="G1905">
        <v>1980</v>
      </c>
      <c r="H1905" t="str">
        <f t="shared" si="88"/>
        <v>1976-2000</v>
      </c>
      <c r="I1905" t="s">
        <v>10</v>
      </c>
      <c r="J1905" t="s">
        <v>13</v>
      </c>
      <c r="K1905" t="s">
        <v>12</v>
      </c>
      <c r="L1905" s="4">
        <v>838525</v>
      </c>
      <c r="M1905" t="str">
        <f t="shared" si="89"/>
        <v>Premium</v>
      </c>
    </row>
    <row r="1906" spans="1:13" x14ac:dyDescent="0.35">
      <c r="A1906">
        <v>1905</v>
      </c>
      <c r="B1906">
        <v>4476</v>
      </c>
      <c r="C1906" t="str">
        <f t="shared" si="87"/>
        <v>Extra Large</v>
      </c>
      <c r="D1906">
        <v>3</v>
      </c>
      <c r="E1906">
        <v>2</v>
      </c>
      <c r="F1906">
        <v>1</v>
      </c>
      <c r="G1906">
        <v>1957</v>
      </c>
      <c r="H1906" t="str">
        <f t="shared" si="88"/>
        <v>1950-1975</v>
      </c>
      <c r="I1906" t="s">
        <v>19</v>
      </c>
      <c r="J1906" t="s">
        <v>15</v>
      </c>
      <c r="K1906" t="s">
        <v>16</v>
      </c>
      <c r="L1906" s="4">
        <v>306094</v>
      </c>
      <c r="M1906" t="str">
        <f t="shared" si="89"/>
        <v>Medium</v>
      </c>
    </row>
    <row r="1907" spans="1:13" x14ac:dyDescent="0.35">
      <c r="A1907">
        <v>1906</v>
      </c>
      <c r="B1907">
        <v>4744</v>
      </c>
      <c r="C1907" t="str">
        <f t="shared" si="87"/>
        <v>Extra Large</v>
      </c>
      <c r="D1907">
        <v>4</v>
      </c>
      <c r="E1907">
        <v>1</v>
      </c>
      <c r="F1907">
        <v>1</v>
      </c>
      <c r="G1907">
        <v>1953</v>
      </c>
      <c r="H1907" t="str">
        <f t="shared" si="88"/>
        <v>1950-1975</v>
      </c>
      <c r="I1907" t="s">
        <v>14</v>
      </c>
      <c r="J1907" t="s">
        <v>11</v>
      </c>
      <c r="K1907" t="s">
        <v>16</v>
      </c>
      <c r="L1907" s="4">
        <v>512753</v>
      </c>
      <c r="M1907" t="str">
        <f t="shared" si="89"/>
        <v>High</v>
      </c>
    </row>
    <row r="1908" spans="1:13" x14ac:dyDescent="0.35">
      <c r="A1908">
        <v>1907</v>
      </c>
      <c r="B1908">
        <v>1679</v>
      </c>
      <c r="C1908" t="str">
        <f t="shared" si="87"/>
        <v>Medium</v>
      </c>
      <c r="D1908">
        <v>4</v>
      </c>
      <c r="E1908">
        <v>4</v>
      </c>
      <c r="F1908">
        <v>1</v>
      </c>
      <c r="G1908">
        <v>1938</v>
      </c>
      <c r="H1908" t="str">
        <f t="shared" si="88"/>
        <v>Pre-1950</v>
      </c>
      <c r="I1908" t="s">
        <v>19</v>
      </c>
      <c r="J1908" t="s">
        <v>15</v>
      </c>
      <c r="K1908" t="s">
        <v>16</v>
      </c>
      <c r="L1908" s="4">
        <v>932751</v>
      </c>
      <c r="M1908" t="str">
        <f t="shared" si="89"/>
        <v>Premium</v>
      </c>
    </row>
    <row r="1909" spans="1:13" x14ac:dyDescent="0.35">
      <c r="A1909">
        <v>1908</v>
      </c>
      <c r="B1909">
        <v>4785</v>
      </c>
      <c r="C1909" t="str">
        <f t="shared" si="87"/>
        <v>Extra Large</v>
      </c>
      <c r="D1909">
        <v>3</v>
      </c>
      <c r="E1909">
        <v>3</v>
      </c>
      <c r="F1909">
        <v>3</v>
      </c>
      <c r="G1909">
        <v>1941</v>
      </c>
      <c r="H1909" t="str">
        <f t="shared" si="88"/>
        <v>Pre-1950</v>
      </c>
      <c r="I1909" t="s">
        <v>10</v>
      </c>
      <c r="J1909" t="s">
        <v>13</v>
      </c>
      <c r="K1909" t="s">
        <v>12</v>
      </c>
      <c r="L1909" s="4">
        <v>335084</v>
      </c>
      <c r="M1909" t="str">
        <f t="shared" si="89"/>
        <v>Medium</v>
      </c>
    </row>
    <row r="1910" spans="1:13" x14ac:dyDescent="0.35">
      <c r="A1910">
        <v>1909</v>
      </c>
      <c r="B1910">
        <v>4065</v>
      </c>
      <c r="C1910" t="str">
        <f t="shared" si="87"/>
        <v>Extra Large</v>
      </c>
      <c r="D1910">
        <v>2</v>
      </c>
      <c r="E1910">
        <v>3</v>
      </c>
      <c r="F1910">
        <v>3</v>
      </c>
      <c r="G1910">
        <v>1927</v>
      </c>
      <c r="H1910" t="str">
        <f t="shared" si="88"/>
        <v>Pre-1950</v>
      </c>
      <c r="I1910" t="s">
        <v>10</v>
      </c>
      <c r="J1910" t="s">
        <v>11</v>
      </c>
      <c r="K1910" t="s">
        <v>12</v>
      </c>
      <c r="L1910" s="4">
        <v>749400</v>
      </c>
      <c r="M1910" t="str">
        <f t="shared" si="89"/>
        <v>Premium</v>
      </c>
    </row>
    <row r="1911" spans="1:13" x14ac:dyDescent="0.35">
      <c r="A1911">
        <v>1910</v>
      </c>
      <c r="B1911">
        <v>1382</v>
      </c>
      <c r="C1911" t="str">
        <f t="shared" si="87"/>
        <v>Medium</v>
      </c>
      <c r="D1911">
        <v>3</v>
      </c>
      <c r="E1911">
        <v>2</v>
      </c>
      <c r="F1911">
        <v>1</v>
      </c>
      <c r="G1911">
        <v>1928</v>
      </c>
      <c r="H1911" t="str">
        <f t="shared" si="88"/>
        <v>Pre-1950</v>
      </c>
      <c r="I1911" t="s">
        <v>14</v>
      </c>
      <c r="J1911" t="s">
        <v>18</v>
      </c>
      <c r="K1911" t="s">
        <v>16</v>
      </c>
      <c r="L1911" s="4">
        <v>703002</v>
      </c>
      <c r="M1911" t="str">
        <f t="shared" si="89"/>
        <v>Premium</v>
      </c>
    </row>
    <row r="1912" spans="1:13" x14ac:dyDescent="0.35">
      <c r="A1912">
        <v>1911</v>
      </c>
      <c r="B1912">
        <v>899</v>
      </c>
      <c r="C1912" t="str">
        <f t="shared" si="87"/>
        <v>Small</v>
      </c>
      <c r="D1912">
        <v>3</v>
      </c>
      <c r="E1912">
        <v>3</v>
      </c>
      <c r="F1912">
        <v>2</v>
      </c>
      <c r="G1912">
        <v>1942</v>
      </c>
      <c r="H1912" t="str">
        <f t="shared" si="88"/>
        <v>Pre-1950</v>
      </c>
      <c r="I1912" t="s">
        <v>19</v>
      </c>
      <c r="J1912" t="s">
        <v>13</v>
      </c>
      <c r="K1912" t="s">
        <v>16</v>
      </c>
      <c r="L1912" s="4">
        <v>141544</v>
      </c>
      <c r="M1912" t="str">
        <f t="shared" si="89"/>
        <v>Low</v>
      </c>
    </row>
    <row r="1913" spans="1:13" x14ac:dyDescent="0.35">
      <c r="A1913">
        <v>1912</v>
      </c>
      <c r="B1913">
        <v>1108</v>
      </c>
      <c r="C1913" t="str">
        <f t="shared" si="87"/>
        <v>Medium</v>
      </c>
      <c r="D1913">
        <v>3</v>
      </c>
      <c r="E1913">
        <v>4</v>
      </c>
      <c r="F1913">
        <v>1</v>
      </c>
      <c r="G1913">
        <v>1902</v>
      </c>
      <c r="H1913" t="str">
        <f t="shared" si="88"/>
        <v>Pre-1950</v>
      </c>
      <c r="I1913" t="s">
        <v>10</v>
      </c>
      <c r="J1913" t="s">
        <v>18</v>
      </c>
      <c r="K1913" t="s">
        <v>12</v>
      </c>
      <c r="L1913" s="4">
        <v>658725</v>
      </c>
      <c r="M1913" t="str">
        <f t="shared" si="89"/>
        <v>Premium</v>
      </c>
    </row>
    <row r="1914" spans="1:13" x14ac:dyDescent="0.35">
      <c r="A1914">
        <v>1913</v>
      </c>
      <c r="B1914">
        <v>2138</v>
      </c>
      <c r="C1914" t="str">
        <f t="shared" si="87"/>
        <v>Medium</v>
      </c>
      <c r="D1914">
        <v>2</v>
      </c>
      <c r="E1914">
        <v>3</v>
      </c>
      <c r="F1914">
        <v>3</v>
      </c>
      <c r="G1914">
        <v>2015</v>
      </c>
      <c r="H1914" t="str">
        <f t="shared" si="88"/>
        <v>Post-2000</v>
      </c>
      <c r="I1914" t="s">
        <v>17</v>
      </c>
      <c r="J1914" t="s">
        <v>11</v>
      </c>
      <c r="K1914" t="s">
        <v>16</v>
      </c>
      <c r="L1914" s="4">
        <v>405113</v>
      </c>
      <c r="M1914" t="str">
        <f t="shared" si="89"/>
        <v>High</v>
      </c>
    </row>
    <row r="1915" spans="1:13" x14ac:dyDescent="0.35">
      <c r="A1915">
        <v>1914</v>
      </c>
      <c r="B1915">
        <v>2648</v>
      </c>
      <c r="C1915" t="str">
        <f t="shared" si="87"/>
        <v>Large</v>
      </c>
      <c r="D1915">
        <v>1</v>
      </c>
      <c r="E1915">
        <v>2</v>
      </c>
      <c r="F1915">
        <v>1</v>
      </c>
      <c r="G1915">
        <v>1909</v>
      </c>
      <c r="H1915" t="str">
        <f t="shared" si="88"/>
        <v>Pre-1950</v>
      </c>
      <c r="I1915" t="s">
        <v>17</v>
      </c>
      <c r="J1915" t="s">
        <v>18</v>
      </c>
      <c r="K1915" t="s">
        <v>16</v>
      </c>
      <c r="L1915" s="4">
        <v>157001</v>
      </c>
      <c r="M1915" t="str">
        <f t="shared" si="89"/>
        <v>Low</v>
      </c>
    </row>
    <row r="1916" spans="1:13" x14ac:dyDescent="0.35">
      <c r="A1916">
        <v>1915</v>
      </c>
      <c r="B1916">
        <v>1882</v>
      </c>
      <c r="C1916" t="str">
        <f t="shared" si="87"/>
        <v>Medium</v>
      </c>
      <c r="D1916">
        <v>1</v>
      </c>
      <c r="E1916">
        <v>4</v>
      </c>
      <c r="F1916">
        <v>3</v>
      </c>
      <c r="G1916">
        <v>1958</v>
      </c>
      <c r="H1916" t="str">
        <f t="shared" si="88"/>
        <v>1950-1975</v>
      </c>
      <c r="I1916" t="s">
        <v>17</v>
      </c>
      <c r="J1916" t="s">
        <v>13</v>
      </c>
      <c r="K1916" t="s">
        <v>16</v>
      </c>
      <c r="L1916" s="4">
        <v>137725</v>
      </c>
      <c r="M1916" t="str">
        <f t="shared" si="89"/>
        <v>Low</v>
      </c>
    </row>
    <row r="1917" spans="1:13" x14ac:dyDescent="0.35">
      <c r="A1917">
        <v>1916</v>
      </c>
      <c r="B1917">
        <v>1903</v>
      </c>
      <c r="C1917" t="str">
        <f t="shared" si="87"/>
        <v>Medium</v>
      </c>
      <c r="D1917">
        <v>4</v>
      </c>
      <c r="E1917">
        <v>1</v>
      </c>
      <c r="F1917">
        <v>3</v>
      </c>
      <c r="G1917">
        <v>2005</v>
      </c>
      <c r="H1917" t="str">
        <f t="shared" si="88"/>
        <v>Post-2000</v>
      </c>
      <c r="I1917" t="s">
        <v>19</v>
      </c>
      <c r="J1917" t="s">
        <v>15</v>
      </c>
      <c r="K1917" t="s">
        <v>12</v>
      </c>
      <c r="L1917" s="4">
        <v>427928</v>
      </c>
      <c r="M1917" t="str">
        <f t="shared" si="89"/>
        <v>High</v>
      </c>
    </row>
    <row r="1918" spans="1:13" x14ac:dyDescent="0.35">
      <c r="A1918">
        <v>1917</v>
      </c>
      <c r="B1918">
        <v>1319</v>
      </c>
      <c r="C1918" t="str">
        <f t="shared" si="87"/>
        <v>Medium</v>
      </c>
      <c r="D1918">
        <v>4</v>
      </c>
      <c r="E1918">
        <v>2</v>
      </c>
      <c r="F1918">
        <v>1</v>
      </c>
      <c r="G1918">
        <v>1913</v>
      </c>
      <c r="H1918" t="str">
        <f t="shared" si="88"/>
        <v>Pre-1950</v>
      </c>
      <c r="I1918" t="s">
        <v>17</v>
      </c>
      <c r="J1918" t="s">
        <v>18</v>
      </c>
      <c r="K1918" t="s">
        <v>12</v>
      </c>
      <c r="L1918" s="4">
        <v>160675</v>
      </c>
      <c r="M1918" t="str">
        <f t="shared" si="89"/>
        <v>Low</v>
      </c>
    </row>
    <row r="1919" spans="1:13" x14ac:dyDescent="0.35">
      <c r="A1919">
        <v>1918</v>
      </c>
      <c r="B1919">
        <v>3792</v>
      </c>
      <c r="C1919" t="str">
        <f t="shared" si="87"/>
        <v>Large</v>
      </c>
      <c r="D1919">
        <v>2</v>
      </c>
      <c r="E1919">
        <v>1</v>
      </c>
      <c r="F1919">
        <v>1</v>
      </c>
      <c r="G1919">
        <v>1975</v>
      </c>
      <c r="H1919" t="str">
        <f t="shared" si="88"/>
        <v>1950-1975</v>
      </c>
      <c r="I1919" t="s">
        <v>17</v>
      </c>
      <c r="J1919" t="s">
        <v>13</v>
      </c>
      <c r="K1919" t="s">
        <v>16</v>
      </c>
      <c r="L1919" s="4">
        <v>144266</v>
      </c>
      <c r="M1919" t="str">
        <f t="shared" si="89"/>
        <v>Low</v>
      </c>
    </row>
    <row r="1920" spans="1:13" x14ac:dyDescent="0.35">
      <c r="A1920">
        <v>1919</v>
      </c>
      <c r="B1920">
        <v>1319</v>
      </c>
      <c r="C1920" t="str">
        <f t="shared" si="87"/>
        <v>Medium</v>
      </c>
      <c r="D1920">
        <v>5</v>
      </c>
      <c r="E1920">
        <v>4</v>
      </c>
      <c r="F1920">
        <v>2</v>
      </c>
      <c r="G1920">
        <v>1946</v>
      </c>
      <c r="H1920" t="str">
        <f t="shared" si="88"/>
        <v>Pre-1950</v>
      </c>
      <c r="I1920" t="s">
        <v>10</v>
      </c>
      <c r="J1920" t="s">
        <v>13</v>
      </c>
      <c r="K1920" t="s">
        <v>12</v>
      </c>
      <c r="L1920" s="4">
        <v>321380</v>
      </c>
      <c r="M1920" t="str">
        <f t="shared" si="89"/>
        <v>Medium</v>
      </c>
    </row>
    <row r="1921" spans="1:13" x14ac:dyDescent="0.35">
      <c r="A1921">
        <v>1920</v>
      </c>
      <c r="B1921">
        <v>919</v>
      </c>
      <c r="C1921" t="str">
        <f t="shared" si="87"/>
        <v>Small</v>
      </c>
      <c r="D1921">
        <v>1</v>
      </c>
      <c r="E1921">
        <v>2</v>
      </c>
      <c r="F1921">
        <v>3</v>
      </c>
      <c r="G1921">
        <v>1941</v>
      </c>
      <c r="H1921" t="str">
        <f t="shared" si="88"/>
        <v>Pre-1950</v>
      </c>
      <c r="I1921" t="s">
        <v>10</v>
      </c>
      <c r="J1921" t="s">
        <v>11</v>
      </c>
      <c r="K1921" t="s">
        <v>16</v>
      </c>
      <c r="L1921" s="4">
        <v>909029</v>
      </c>
      <c r="M1921" t="str">
        <f t="shared" si="89"/>
        <v>Premium</v>
      </c>
    </row>
    <row r="1922" spans="1:13" x14ac:dyDescent="0.35">
      <c r="A1922">
        <v>1921</v>
      </c>
      <c r="B1922">
        <v>4719</v>
      </c>
      <c r="C1922" t="str">
        <f t="shared" si="87"/>
        <v>Extra Large</v>
      </c>
      <c r="D1922">
        <v>4</v>
      </c>
      <c r="E1922">
        <v>2</v>
      </c>
      <c r="F1922">
        <v>2</v>
      </c>
      <c r="G1922">
        <v>1993</v>
      </c>
      <c r="H1922" t="str">
        <f t="shared" si="88"/>
        <v>1976-2000</v>
      </c>
      <c r="I1922" t="s">
        <v>17</v>
      </c>
      <c r="J1922" t="s">
        <v>13</v>
      </c>
      <c r="K1922" t="s">
        <v>16</v>
      </c>
      <c r="L1922" s="4">
        <v>265196</v>
      </c>
      <c r="M1922" t="str">
        <f t="shared" si="89"/>
        <v>Medium</v>
      </c>
    </row>
    <row r="1923" spans="1:13" x14ac:dyDescent="0.35">
      <c r="A1923">
        <v>1922</v>
      </c>
      <c r="B1923">
        <v>3802</v>
      </c>
      <c r="C1923" t="str">
        <f t="shared" ref="C1923:C1986" si="90">IF(B1923&lt;=1000,"Small",IF(B1923&lt;=2500,"Medium",IF(B1923&lt;=4000,"Large",IF(B1923&gt;=4000,"Extra Large"))))</f>
        <v>Large</v>
      </c>
      <c r="D1923">
        <v>1</v>
      </c>
      <c r="E1923">
        <v>4</v>
      </c>
      <c r="F1923">
        <v>1</v>
      </c>
      <c r="G1923">
        <v>1931</v>
      </c>
      <c r="H1923" t="str">
        <f t="shared" ref="H1923:H1986" si="91">IF(G1923&lt;=1950,"Pre-1950",IF(G1923&lt;=1975,"1950-1975",IF(G1923&lt;=2000,"1976-2000",IF(G1923&gt;=2000,"Post-2000"))))</f>
        <v>Pre-1950</v>
      </c>
      <c r="I1923" t="s">
        <v>17</v>
      </c>
      <c r="J1923" t="s">
        <v>15</v>
      </c>
      <c r="K1923" t="s">
        <v>12</v>
      </c>
      <c r="L1923" s="4">
        <v>184974</v>
      </c>
      <c r="M1923" t="str">
        <f t="shared" ref="M1923:M1986" si="92">IF(L1923&lt;=200000,"Low",IF(L1923&lt;=400000,"Medium",IF(L1923&lt;=600000,"High",IF(L1923&gt;=600000,"Premium",""))))</f>
        <v>Low</v>
      </c>
    </row>
    <row r="1924" spans="1:13" x14ac:dyDescent="0.35">
      <c r="A1924">
        <v>1923</v>
      </c>
      <c r="B1924">
        <v>2008</v>
      </c>
      <c r="C1924" t="str">
        <f t="shared" si="90"/>
        <v>Medium</v>
      </c>
      <c r="D1924">
        <v>2</v>
      </c>
      <c r="E1924">
        <v>3</v>
      </c>
      <c r="F1924">
        <v>3</v>
      </c>
      <c r="G1924">
        <v>1931</v>
      </c>
      <c r="H1924" t="str">
        <f t="shared" si="91"/>
        <v>Pre-1950</v>
      </c>
      <c r="I1924" t="s">
        <v>10</v>
      </c>
      <c r="J1924" t="s">
        <v>15</v>
      </c>
      <c r="K1924" t="s">
        <v>12</v>
      </c>
      <c r="L1924" s="4">
        <v>673944</v>
      </c>
      <c r="M1924" t="str">
        <f t="shared" si="92"/>
        <v>Premium</v>
      </c>
    </row>
    <row r="1925" spans="1:13" x14ac:dyDescent="0.35">
      <c r="A1925">
        <v>1924</v>
      </c>
      <c r="B1925">
        <v>1267</v>
      </c>
      <c r="C1925" t="str">
        <f t="shared" si="90"/>
        <v>Medium</v>
      </c>
      <c r="D1925">
        <v>2</v>
      </c>
      <c r="E1925">
        <v>2</v>
      </c>
      <c r="F1925">
        <v>2</v>
      </c>
      <c r="G1925">
        <v>1941</v>
      </c>
      <c r="H1925" t="str">
        <f t="shared" si="91"/>
        <v>Pre-1950</v>
      </c>
      <c r="I1925" t="s">
        <v>14</v>
      </c>
      <c r="J1925" t="s">
        <v>18</v>
      </c>
      <c r="K1925" t="s">
        <v>12</v>
      </c>
      <c r="L1925" s="4">
        <v>346508</v>
      </c>
      <c r="M1925" t="str">
        <f t="shared" si="92"/>
        <v>Medium</v>
      </c>
    </row>
    <row r="1926" spans="1:13" x14ac:dyDescent="0.35">
      <c r="A1926">
        <v>1925</v>
      </c>
      <c r="B1926">
        <v>2544</v>
      </c>
      <c r="C1926" t="str">
        <f t="shared" si="90"/>
        <v>Large</v>
      </c>
      <c r="D1926">
        <v>5</v>
      </c>
      <c r="E1926">
        <v>2</v>
      </c>
      <c r="F1926">
        <v>2</v>
      </c>
      <c r="G1926">
        <v>1931</v>
      </c>
      <c r="H1926" t="str">
        <f t="shared" si="91"/>
        <v>Pre-1950</v>
      </c>
      <c r="I1926" t="s">
        <v>19</v>
      </c>
      <c r="J1926" t="s">
        <v>18</v>
      </c>
      <c r="K1926" t="s">
        <v>16</v>
      </c>
      <c r="L1926" s="4">
        <v>681359</v>
      </c>
      <c r="M1926" t="str">
        <f t="shared" si="92"/>
        <v>Premium</v>
      </c>
    </row>
    <row r="1927" spans="1:13" x14ac:dyDescent="0.35">
      <c r="A1927">
        <v>1926</v>
      </c>
      <c r="B1927">
        <v>2639</v>
      </c>
      <c r="C1927" t="str">
        <f t="shared" si="90"/>
        <v>Large</v>
      </c>
      <c r="D1927">
        <v>5</v>
      </c>
      <c r="E1927">
        <v>1</v>
      </c>
      <c r="F1927">
        <v>2</v>
      </c>
      <c r="G1927">
        <v>1925</v>
      </c>
      <c r="H1927" t="str">
        <f t="shared" si="91"/>
        <v>Pre-1950</v>
      </c>
      <c r="I1927" t="s">
        <v>19</v>
      </c>
      <c r="J1927" t="s">
        <v>18</v>
      </c>
      <c r="K1927" t="s">
        <v>16</v>
      </c>
      <c r="L1927" s="4">
        <v>406554</v>
      </c>
      <c r="M1927" t="str">
        <f t="shared" si="92"/>
        <v>High</v>
      </c>
    </row>
    <row r="1928" spans="1:13" x14ac:dyDescent="0.35">
      <c r="A1928">
        <v>1927</v>
      </c>
      <c r="B1928">
        <v>3529</v>
      </c>
      <c r="C1928" t="str">
        <f t="shared" si="90"/>
        <v>Large</v>
      </c>
      <c r="D1928">
        <v>2</v>
      </c>
      <c r="E1928">
        <v>3</v>
      </c>
      <c r="F1928">
        <v>1</v>
      </c>
      <c r="G1928">
        <v>2014</v>
      </c>
      <c r="H1928" t="str">
        <f t="shared" si="91"/>
        <v>Post-2000</v>
      </c>
      <c r="I1928" t="s">
        <v>10</v>
      </c>
      <c r="J1928" t="s">
        <v>18</v>
      </c>
      <c r="K1928" t="s">
        <v>16</v>
      </c>
      <c r="L1928" s="4">
        <v>201168</v>
      </c>
      <c r="M1928" t="str">
        <f t="shared" si="92"/>
        <v>Medium</v>
      </c>
    </row>
    <row r="1929" spans="1:13" x14ac:dyDescent="0.35">
      <c r="A1929">
        <v>1928</v>
      </c>
      <c r="B1929">
        <v>2049</v>
      </c>
      <c r="C1929" t="str">
        <f t="shared" si="90"/>
        <v>Medium</v>
      </c>
      <c r="D1929">
        <v>4</v>
      </c>
      <c r="E1929">
        <v>1</v>
      </c>
      <c r="F1929">
        <v>1</v>
      </c>
      <c r="G1929">
        <v>1900</v>
      </c>
      <c r="H1929" t="str">
        <f t="shared" si="91"/>
        <v>Pre-1950</v>
      </c>
      <c r="I1929" t="s">
        <v>19</v>
      </c>
      <c r="J1929" t="s">
        <v>15</v>
      </c>
      <c r="K1929" t="s">
        <v>12</v>
      </c>
      <c r="L1929" s="4">
        <v>193092</v>
      </c>
      <c r="M1929" t="str">
        <f t="shared" si="92"/>
        <v>Low</v>
      </c>
    </row>
    <row r="1930" spans="1:13" x14ac:dyDescent="0.35">
      <c r="A1930">
        <v>1929</v>
      </c>
      <c r="B1930">
        <v>2264</v>
      </c>
      <c r="C1930" t="str">
        <f t="shared" si="90"/>
        <v>Medium</v>
      </c>
      <c r="D1930">
        <v>1</v>
      </c>
      <c r="E1930">
        <v>1</v>
      </c>
      <c r="F1930">
        <v>1</v>
      </c>
      <c r="G1930">
        <v>1955</v>
      </c>
      <c r="H1930" t="str">
        <f t="shared" si="91"/>
        <v>1950-1975</v>
      </c>
      <c r="I1930" t="s">
        <v>10</v>
      </c>
      <c r="J1930" t="s">
        <v>11</v>
      </c>
      <c r="K1930" t="s">
        <v>16</v>
      </c>
      <c r="L1930" s="4">
        <v>632761</v>
      </c>
      <c r="M1930" t="str">
        <f t="shared" si="92"/>
        <v>Premium</v>
      </c>
    </row>
    <row r="1931" spans="1:13" x14ac:dyDescent="0.35">
      <c r="A1931">
        <v>1930</v>
      </c>
      <c r="B1931">
        <v>3145</v>
      </c>
      <c r="C1931" t="str">
        <f t="shared" si="90"/>
        <v>Large</v>
      </c>
      <c r="D1931">
        <v>3</v>
      </c>
      <c r="E1931">
        <v>3</v>
      </c>
      <c r="F1931">
        <v>3</v>
      </c>
      <c r="G1931">
        <v>2021</v>
      </c>
      <c r="H1931" t="str">
        <f t="shared" si="91"/>
        <v>Post-2000</v>
      </c>
      <c r="I1931" t="s">
        <v>10</v>
      </c>
      <c r="J1931" t="s">
        <v>18</v>
      </c>
      <c r="K1931" t="s">
        <v>16</v>
      </c>
      <c r="L1931" s="4">
        <v>291472</v>
      </c>
      <c r="M1931" t="str">
        <f t="shared" si="92"/>
        <v>Medium</v>
      </c>
    </row>
    <row r="1932" spans="1:13" x14ac:dyDescent="0.35">
      <c r="A1932">
        <v>1931</v>
      </c>
      <c r="B1932">
        <v>4216</v>
      </c>
      <c r="C1932" t="str">
        <f t="shared" si="90"/>
        <v>Extra Large</v>
      </c>
      <c r="D1932">
        <v>5</v>
      </c>
      <c r="E1932">
        <v>3</v>
      </c>
      <c r="F1932">
        <v>1</v>
      </c>
      <c r="G1932">
        <v>2005</v>
      </c>
      <c r="H1932" t="str">
        <f t="shared" si="91"/>
        <v>Post-2000</v>
      </c>
      <c r="I1932" t="s">
        <v>10</v>
      </c>
      <c r="J1932" t="s">
        <v>11</v>
      </c>
      <c r="K1932" t="s">
        <v>16</v>
      </c>
      <c r="L1932" s="4">
        <v>356297</v>
      </c>
      <c r="M1932" t="str">
        <f t="shared" si="92"/>
        <v>Medium</v>
      </c>
    </row>
    <row r="1933" spans="1:13" x14ac:dyDescent="0.35">
      <c r="A1933">
        <v>1932</v>
      </c>
      <c r="B1933">
        <v>4981</v>
      </c>
      <c r="C1933" t="str">
        <f t="shared" si="90"/>
        <v>Extra Large</v>
      </c>
      <c r="D1933">
        <v>3</v>
      </c>
      <c r="E1933">
        <v>4</v>
      </c>
      <c r="F1933">
        <v>3</v>
      </c>
      <c r="G1933">
        <v>1901</v>
      </c>
      <c r="H1933" t="str">
        <f t="shared" si="91"/>
        <v>Pre-1950</v>
      </c>
      <c r="I1933" t="s">
        <v>10</v>
      </c>
      <c r="J1933" t="s">
        <v>13</v>
      </c>
      <c r="K1933" t="s">
        <v>16</v>
      </c>
      <c r="L1933" s="4">
        <v>222349</v>
      </c>
      <c r="M1933" t="str">
        <f t="shared" si="92"/>
        <v>Medium</v>
      </c>
    </row>
    <row r="1934" spans="1:13" x14ac:dyDescent="0.35">
      <c r="A1934">
        <v>1933</v>
      </c>
      <c r="B1934">
        <v>2793</v>
      </c>
      <c r="C1934" t="str">
        <f t="shared" si="90"/>
        <v>Large</v>
      </c>
      <c r="D1934">
        <v>4</v>
      </c>
      <c r="E1934">
        <v>3</v>
      </c>
      <c r="F1934">
        <v>2</v>
      </c>
      <c r="G1934">
        <v>1980</v>
      </c>
      <c r="H1934" t="str">
        <f t="shared" si="91"/>
        <v>1976-2000</v>
      </c>
      <c r="I1934" t="s">
        <v>14</v>
      </c>
      <c r="J1934" t="s">
        <v>13</v>
      </c>
      <c r="K1934" t="s">
        <v>12</v>
      </c>
      <c r="L1934" s="4">
        <v>350646</v>
      </c>
      <c r="M1934" t="str">
        <f t="shared" si="92"/>
        <v>Medium</v>
      </c>
    </row>
    <row r="1935" spans="1:13" x14ac:dyDescent="0.35">
      <c r="A1935">
        <v>1934</v>
      </c>
      <c r="B1935">
        <v>3208</v>
      </c>
      <c r="C1935" t="str">
        <f t="shared" si="90"/>
        <v>Large</v>
      </c>
      <c r="D1935">
        <v>5</v>
      </c>
      <c r="E1935">
        <v>2</v>
      </c>
      <c r="F1935">
        <v>2</v>
      </c>
      <c r="G1935">
        <v>1929</v>
      </c>
      <c r="H1935" t="str">
        <f t="shared" si="91"/>
        <v>Pre-1950</v>
      </c>
      <c r="I1935" t="s">
        <v>17</v>
      </c>
      <c r="J1935" t="s">
        <v>18</v>
      </c>
      <c r="K1935" t="s">
        <v>12</v>
      </c>
      <c r="L1935" s="4">
        <v>65675</v>
      </c>
      <c r="M1935" t="str">
        <f t="shared" si="92"/>
        <v>Low</v>
      </c>
    </row>
    <row r="1936" spans="1:13" x14ac:dyDescent="0.35">
      <c r="A1936">
        <v>1935</v>
      </c>
      <c r="B1936">
        <v>1400</v>
      </c>
      <c r="C1936" t="str">
        <f t="shared" si="90"/>
        <v>Medium</v>
      </c>
      <c r="D1936">
        <v>3</v>
      </c>
      <c r="E1936">
        <v>3</v>
      </c>
      <c r="F1936">
        <v>1</v>
      </c>
      <c r="G1936">
        <v>2019</v>
      </c>
      <c r="H1936" t="str">
        <f t="shared" si="91"/>
        <v>Post-2000</v>
      </c>
      <c r="I1936" t="s">
        <v>17</v>
      </c>
      <c r="J1936" t="s">
        <v>13</v>
      </c>
      <c r="K1936" t="s">
        <v>12</v>
      </c>
      <c r="L1936" s="4">
        <v>991869</v>
      </c>
      <c r="M1936" t="str">
        <f t="shared" si="92"/>
        <v>Premium</v>
      </c>
    </row>
    <row r="1937" spans="1:13" x14ac:dyDescent="0.35">
      <c r="A1937">
        <v>1936</v>
      </c>
      <c r="B1937">
        <v>3584</v>
      </c>
      <c r="C1937" t="str">
        <f t="shared" si="90"/>
        <v>Large</v>
      </c>
      <c r="D1937">
        <v>4</v>
      </c>
      <c r="E1937">
        <v>4</v>
      </c>
      <c r="F1937">
        <v>2</v>
      </c>
      <c r="G1937">
        <v>2002</v>
      </c>
      <c r="H1937" t="str">
        <f t="shared" si="91"/>
        <v>Post-2000</v>
      </c>
      <c r="I1937" t="s">
        <v>14</v>
      </c>
      <c r="J1937" t="s">
        <v>11</v>
      </c>
      <c r="K1937" t="s">
        <v>16</v>
      </c>
      <c r="L1937" s="4">
        <v>168384</v>
      </c>
      <c r="M1937" t="str">
        <f t="shared" si="92"/>
        <v>Low</v>
      </c>
    </row>
    <row r="1938" spans="1:13" x14ac:dyDescent="0.35">
      <c r="A1938">
        <v>1937</v>
      </c>
      <c r="B1938">
        <v>2509</v>
      </c>
      <c r="C1938" t="str">
        <f t="shared" si="90"/>
        <v>Large</v>
      </c>
      <c r="D1938">
        <v>1</v>
      </c>
      <c r="E1938">
        <v>4</v>
      </c>
      <c r="F1938">
        <v>1</v>
      </c>
      <c r="G1938">
        <v>1970</v>
      </c>
      <c r="H1938" t="str">
        <f t="shared" si="91"/>
        <v>1950-1975</v>
      </c>
      <c r="I1938" t="s">
        <v>19</v>
      </c>
      <c r="J1938" t="s">
        <v>11</v>
      </c>
      <c r="K1938" t="s">
        <v>16</v>
      </c>
      <c r="L1938" s="4">
        <v>128229</v>
      </c>
      <c r="M1938" t="str">
        <f t="shared" si="92"/>
        <v>Low</v>
      </c>
    </row>
    <row r="1939" spans="1:13" x14ac:dyDescent="0.35">
      <c r="A1939">
        <v>1938</v>
      </c>
      <c r="B1939">
        <v>741</v>
      </c>
      <c r="C1939" t="str">
        <f t="shared" si="90"/>
        <v>Small</v>
      </c>
      <c r="D1939">
        <v>4</v>
      </c>
      <c r="E1939">
        <v>4</v>
      </c>
      <c r="F1939">
        <v>3</v>
      </c>
      <c r="G1939">
        <v>1951</v>
      </c>
      <c r="H1939" t="str">
        <f t="shared" si="91"/>
        <v>1950-1975</v>
      </c>
      <c r="I1939" t="s">
        <v>19</v>
      </c>
      <c r="J1939" t="s">
        <v>13</v>
      </c>
      <c r="K1939" t="s">
        <v>16</v>
      </c>
      <c r="L1939" s="4">
        <v>663337</v>
      </c>
      <c r="M1939" t="str">
        <f t="shared" si="92"/>
        <v>Premium</v>
      </c>
    </row>
    <row r="1940" spans="1:13" x14ac:dyDescent="0.35">
      <c r="A1940">
        <v>1939</v>
      </c>
      <c r="B1940">
        <v>2885</v>
      </c>
      <c r="C1940" t="str">
        <f t="shared" si="90"/>
        <v>Large</v>
      </c>
      <c r="D1940">
        <v>5</v>
      </c>
      <c r="E1940">
        <v>3</v>
      </c>
      <c r="F1940">
        <v>2</v>
      </c>
      <c r="G1940">
        <v>1990</v>
      </c>
      <c r="H1940" t="str">
        <f t="shared" si="91"/>
        <v>1976-2000</v>
      </c>
      <c r="I1940" t="s">
        <v>17</v>
      </c>
      <c r="J1940" t="s">
        <v>18</v>
      </c>
      <c r="K1940" t="s">
        <v>12</v>
      </c>
      <c r="L1940" s="4">
        <v>757508</v>
      </c>
      <c r="M1940" t="str">
        <f t="shared" si="92"/>
        <v>Premium</v>
      </c>
    </row>
    <row r="1941" spans="1:13" x14ac:dyDescent="0.35">
      <c r="A1941">
        <v>1940</v>
      </c>
      <c r="B1941">
        <v>4768</v>
      </c>
      <c r="C1941" t="str">
        <f t="shared" si="90"/>
        <v>Extra Large</v>
      </c>
      <c r="D1941">
        <v>2</v>
      </c>
      <c r="E1941">
        <v>3</v>
      </c>
      <c r="F1941">
        <v>1</v>
      </c>
      <c r="G1941">
        <v>1908</v>
      </c>
      <c r="H1941" t="str">
        <f t="shared" si="91"/>
        <v>Pre-1950</v>
      </c>
      <c r="I1941" t="s">
        <v>19</v>
      </c>
      <c r="J1941" t="s">
        <v>11</v>
      </c>
      <c r="K1941" t="s">
        <v>12</v>
      </c>
      <c r="L1941" s="4">
        <v>401301</v>
      </c>
      <c r="M1941" t="str">
        <f t="shared" si="92"/>
        <v>High</v>
      </c>
    </row>
    <row r="1942" spans="1:13" x14ac:dyDescent="0.35">
      <c r="A1942">
        <v>1941</v>
      </c>
      <c r="B1942">
        <v>1171</v>
      </c>
      <c r="C1942" t="str">
        <f t="shared" si="90"/>
        <v>Medium</v>
      </c>
      <c r="D1942">
        <v>1</v>
      </c>
      <c r="E1942">
        <v>1</v>
      </c>
      <c r="F1942">
        <v>2</v>
      </c>
      <c r="G1942">
        <v>1921</v>
      </c>
      <c r="H1942" t="str">
        <f t="shared" si="91"/>
        <v>Pre-1950</v>
      </c>
      <c r="I1942" t="s">
        <v>17</v>
      </c>
      <c r="J1942" t="s">
        <v>11</v>
      </c>
      <c r="K1942" t="s">
        <v>12</v>
      </c>
      <c r="L1942" s="4">
        <v>270319</v>
      </c>
      <c r="M1942" t="str">
        <f t="shared" si="92"/>
        <v>Medium</v>
      </c>
    </row>
    <row r="1943" spans="1:13" x14ac:dyDescent="0.35">
      <c r="A1943">
        <v>1942</v>
      </c>
      <c r="B1943">
        <v>663</v>
      </c>
      <c r="C1943" t="str">
        <f t="shared" si="90"/>
        <v>Small</v>
      </c>
      <c r="D1943">
        <v>3</v>
      </c>
      <c r="E1943">
        <v>1</v>
      </c>
      <c r="F1943">
        <v>2</v>
      </c>
      <c r="G1943">
        <v>1933</v>
      </c>
      <c r="H1943" t="str">
        <f t="shared" si="91"/>
        <v>Pre-1950</v>
      </c>
      <c r="I1943" t="s">
        <v>17</v>
      </c>
      <c r="J1943" t="s">
        <v>15</v>
      </c>
      <c r="K1943" t="s">
        <v>12</v>
      </c>
      <c r="L1943" s="4">
        <v>679999</v>
      </c>
      <c r="M1943" t="str">
        <f t="shared" si="92"/>
        <v>Premium</v>
      </c>
    </row>
    <row r="1944" spans="1:13" x14ac:dyDescent="0.35">
      <c r="A1944">
        <v>1943</v>
      </c>
      <c r="B1944">
        <v>964</v>
      </c>
      <c r="C1944" t="str">
        <f t="shared" si="90"/>
        <v>Small</v>
      </c>
      <c r="D1944">
        <v>5</v>
      </c>
      <c r="E1944">
        <v>2</v>
      </c>
      <c r="F1944">
        <v>1</v>
      </c>
      <c r="G1944">
        <v>2009</v>
      </c>
      <c r="H1944" t="str">
        <f t="shared" si="91"/>
        <v>Post-2000</v>
      </c>
      <c r="I1944" t="s">
        <v>14</v>
      </c>
      <c r="J1944" t="s">
        <v>18</v>
      </c>
      <c r="K1944" t="s">
        <v>12</v>
      </c>
      <c r="L1944" s="4">
        <v>684378</v>
      </c>
      <c r="M1944" t="str">
        <f t="shared" si="92"/>
        <v>Premium</v>
      </c>
    </row>
    <row r="1945" spans="1:13" x14ac:dyDescent="0.35">
      <c r="A1945">
        <v>1944</v>
      </c>
      <c r="B1945">
        <v>3542</v>
      </c>
      <c r="C1945" t="str">
        <f t="shared" si="90"/>
        <v>Large</v>
      </c>
      <c r="D1945">
        <v>2</v>
      </c>
      <c r="E1945">
        <v>1</v>
      </c>
      <c r="F1945">
        <v>2</v>
      </c>
      <c r="G1945">
        <v>1948</v>
      </c>
      <c r="H1945" t="str">
        <f t="shared" si="91"/>
        <v>Pre-1950</v>
      </c>
      <c r="I1945" t="s">
        <v>19</v>
      </c>
      <c r="J1945" t="s">
        <v>15</v>
      </c>
      <c r="K1945" t="s">
        <v>16</v>
      </c>
      <c r="L1945" s="4">
        <v>929753</v>
      </c>
      <c r="M1945" t="str">
        <f t="shared" si="92"/>
        <v>Premium</v>
      </c>
    </row>
    <row r="1946" spans="1:13" x14ac:dyDescent="0.35">
      <c r="A1946">
        <v>1945</v>
      </c>
      <c r="B1946">
        <v>2942</v>
      </c>
      <c r="C1946" t="str">
        <f t="shared" si="90"/>
        <v>Large</v>
      </c>
      <c r="D1946">
        <v>4</v>
      </c>
      <c r="E1946">
        <v>2</v>
      </c>
      <c r="F1946">
        <v>2</v>
      </c>
      <c r="G1946">
        <v>1900</v>
      </c>
      <c r="H1946" t="str">
        <f t="shared" si="91"/>
        <v>Pre-1950</v>
      </c>
      <c r="I1946" t="s">
        <v>14</v>
      </c>
      <c r="J1946" t="s">
        <v>13</v>
      </c>
      <c r="K1946" t="s">
        <v>12</v>
      </c>
      <c r="L1946" s="4">
        <v>776262</v>
      </c>
      <c r="M1946" t="str">
        <f t="shared" si="92"/>
        <v>Premium</v>
      </c>
    </row>
    <row r="1947" spans="1:13" x14ac:dyDescent="0.35">
      <c r="A1947">
        <v>1946</v>
      </c>
      <c r="B1947">
        <v>2855</v>
      </c>
      <c r="C1947" t="str">
        <f t="shared" si="90"/>
        <v>Large</v>
      </c>
      <c r="D1947">
        <v>2</v>
      </c>
      <c r="E1947">
        <v>4</v>
      </c>
      <c r="F1947">
        <v>2</v>
      </c>
      <c r="G1947">
        <v>1972</v>
      </c>
      <c r="H1947" t="str">
        <f t="shared" si="91"/>
        <v>1950-1975</v>
      </c>
      <c r="I1947" t="s">
        <v>17</v>
      </c>
      <c r="J1947" t="s">
        <v>13</v>
      </c>
      <c r="K1947" t="s">
        <v>12</v>
      </c>
      <c r="L1947" s="4">
        <v>862897</v>
      </c>
      <c r="M1947" t="str">
        <f t="shared" si="92"/>
        <v>Premium</v>
      </c>
    </row>
    <row r="1948" spans="1:13" x14ac:dyDescent="0.35">
      <c r="A1948">
        <v>1947</v>
      </c>
      <c r="B1948">
        <v>4778</v>
      </c>
      <c r="C1948" t="str">
        <f t="shared" si="90"/>
        <v>Extra Large</v>
      </c>
      <c r="D1948">
        <v>5</v>
      </c>
      <c r="E1948">
        <v>1</v>
      </c>
      <c r="F1948">
        <v>2</v>
      </c>
      <c r="G1948">
        <v>1983</v>
      </c>
      <c r="H1948" t="str">
        <f t="shared" si="91"/>
        <v>1976-2000</v>
      </c>
      <c r="I1948" t="s">
        <v>17</v>
      </c>
      <c r="J1948" t="s">
        <v>15</v>
      </c>
      <c r="K1948" t="s">
        <v>12</v>
      </c>
      <c r="L1948" s="4">
        <v>868718</v>
      </c>
      <c r="M1948" t="str">
        <f t="shared" si="92"/>
        <v>Premium</v>
      </c>
    </row>
    <row r="1949" spans="1:13" x14ac:dyDescent="0.35">
      <c r="A1949">
        <v>1948</v>
      </c>
      <c r="B1949">
        <v>3057</v>
      </c>
      <c r="C1949" t="str">
        <f t="shared" si="90"/>
        <v>Large</v>
      </c>
      <c r="D1949">
        <v>5</v>
      </c>
      <c r="E1949">
        <v>3</v>
      </c>
      <c r="F1949">
        <v>3</v>
      </c>
      <c r="G1949">
        <v>1952</v>
      </c>
      <c r="H1949" t="str">
        <f t="shared" si="91"/>
        <v>1950-1975</v>
      </c>
      <c r="I1949" t="s">
        <v>17</v>
      </c>
      <c r="J1949" t="s">
        <v>18</v>
      </c>
      <c r="K1949" t="s">
        <v>16</v>
      </c>
      <c r="L1949" s="4">
        <v>104795</v>
      </c>
      <c r="M1949" t="str">
        <f t="shared" si="92"/>
        <v>Low</v>
      </c>
    </row>
    <row r="1950" spans="1:13" x14ac:dyDescent="0.35">
      <c r="A1950">
        <v>1949</v>
      </c>
      <c r="B1950">
        <v>1045</v>
      </c>
      <c r="C1950" t="str">
        <f t="shared" si="90"/>
        <v>Medium</v>
      </c>
      <c r="D1950">
        <v>2</v>
      </c>
      <c r="E1950">
        <v>1</v>
      </c>
      <c r="F1950">
        <v>2</v>
      </c>
      <c r="G1950">
        <v>1982</v>
      </c>
      <c r="H1950" t="str">
        <f t="shared" si="91"/>
        <v>1976-2000</v>
      </c>
      <c r="I1950" t="s">
        <v>10</v>
      </c>
      <c r="J1950" t="s">
        <v>11</v>
      </c>
      <c r="K1950" t="s">
        <v>12</v>
      </c>
      <c r="L1950" s="4">
        <v>420283</v>
      </c>
      <c r="M1950" t="str">
        <f t="shared" si="92"/>
        <v>High</v>
      </c>
    </row>
    <row r="1951" spans="1:13" x14ac:dyDescent="0.35">
      <c r="A1951">
        <v>1950</v>
      </c>
      <c r="B1951">
        <v>4335</v>
      </c>
      <c r="C1951" t="str">
        <f t="shared" si="90"/>
        <v>Extra Large</v>
      </c>
      <c r="D1951">
        <v>4</v>
      </c>
      <c r="E1951">
        <v>2</v>
      </c>
      <c r="F1951">
        <v>2</v>
      </c>
      <c r="G1951">
        <v>1999</v>
      </c>
      <c r="H1951" t="str">
        <f t="shared" si="91"/>
        <v>1976-2000</v>
      </c>
      <c r="I1951" t="s">
        <v>10</v>
      </c>
      <c r="J1951" t="s">
        <v>13</v>
      </c>
      <c r="K1951" t="s">
        <v>12</v>
      </c>
      <c r="L1951" s="4">
        <v>784543</v>
      </c>
      <c r="M1951" t="str">
        <f t="shared" si="92"/>
        <v>Premium</v>
      </c>
    </row>
    <row r="1952" spans="1:13" x14ac:dyDescent="0.35">
      <c r="A1952">
        <v>1951</v>
      </c>
      <c r="B1952">
        <v>1093</v>
      </c>
      <c r="C1952" t="str">
        <f t="shared" si="90"/>
        <v>Medium</v>
      </c>
      <c r="D1952">
        <v>2</v>
      </c>
      <c r="E1952">
        <v>1</v>
      </c>
      <c r="F1952">
        <v>1</v>
      </c>
      <c r="G1952">
        <v>2023</v>
      </c>
      <c r="H1952" t="str">
        <f t="shared" si="91"/>
        <v>Post-2000</v>
      </c>
      <c r="I1952" t="s">
        <v>10</v>
      </c>
      <c r="J1952" t="s">
        <v>18</v>
      </c>
      <c r="K1952" t="s">
        <v>12</v>
      </c>
      <c r="L1952" s="4">
        <v>153845</v>
      </c>
      <c r="M1952" t="str">
        <f t="shared" si="92"/>
        <v>Low</v>
      </c>
    </row>
    <row r="1953" spans="1:13" x14ac:dyDescent="0.35">
      <c r="A1953">
        <v>1952</v>
      </c>
      <c r="B1953">
        <v>4304</v>
      </c>
      <c r="C1953" t="str">
        <f t="shared" si="90"/>
        <v>Extra Large</v>
      </c>
      <c r="D1953">
        <v>5</v>
      </c>
      <c r="E1953">
        <v>4</v>
      </c>
      <c r="F1953">
        <v>3</v>
      </c>
      <c r="G1953">
        <v>1939</v>
      </c>
      <c r="H1953" t="str">
        <f t="shared" si="91"/>
        <v>Pre-1950</v>
      </c>
      <c r="I1953" t="s">
        <v>14</v>
      </c>
      <c r="J1953" t="s">
        <v>18</v>
      </c>
      <c r="K1953" t="s">
        <v>16</v>
      </c>
      <c r="L1953" s="4">
        <v>362130</v>
      </c>
      <c r="M1953" t="str">
        <f t="shared" si="92"/>
        <v>Medium</v>
      </c>
    </row>
    <row r="1954" spans="1:13" x14ac:dyDescent="0.35">
      <c r="A1954">
        <v>1953</v>
      </c>
      <c r="B1954">
        <v>1959</v>
      </c>
      <c r="C1954" t="str">
        <f t="shared" si="90"/>
        <v>Medium</v>
      </c>
      <c r="D1954">
        <v>5</v>
      </c>
      <c r="E1954">
        <v>3</v>
      </c>
      <c r="F1954">
        <v>1</v>
      </c>
      <c r="G1954">
        <v>1944</v>
      </c>
      <c r="H1954" t="str">
        <f t="shared" si="91"/>
        <v>Pre-1950</v>
      </c>
      <c r="I1954" t="s">
        <v>17</v>
      </c>
      <c r="J1954" t="s">
        <v>13</v>
      </c>
      <c r="K1954" t="s">
        <v>16</v>
      </c>
      <c r="L1954" s="4">
        <v>387540</v>
      </c>
      <c r="M1954" t="str">
        <f t="shared" si="92"/>
        <v>Medium</v>
      </c>
    </row>
    <row r="1955" spans="1:13" x14ac:dyDescent="0.35">
      <c r="A1955">
        <v>1954</v>
      </c>
      <c r="B1955">
        <v>3993</v>
      </c>
      <c r="C1955" t="str">
        <f t="shared" si="90"/>
        <v>Large</v>
      </c>
      <c r="D1955">
        <v>3</v>
      </c>
      <c r="E1955">
        <v>2</v>
      </c>
      <c r="F1955">
        <v>1</v>
      </c>
      <c r="G1955">
        <v>1967</v>
      </c>
      <c r="H1955" t="str">
        <f t="shared" si="91"/>
        <v>1950-1975</v>
      </c>
      <c r="I1955" t="s">
        <v>19</v>
      </c>
      <c r="J1955" t="s">
        <v>13</v>
      </c>
      <c r="K1955" t="s">
        <v>12</v>
      </c>
      <c r="L1955" s="4">
        <v>891610</v>
      </c>
      <c r="M1955" t="str">
        <f t="shared" si="92"/>
        <v>Premium</v>
      </c>
    </row>
    <row r="1956" spans="1:13" x14ac:dyDescent="0.35">
      <c r="A1956">
        <v>1955</v>
      </c>
      <c r="B1956">
        <v>3101</v>
      </c>
      <c r="C1956" t="str">
        <f t="shared" si="90"/>
        <v>Large</v>
      </c>
      <c r="D1956">
        <v>3</v>
      </c>
      <c r="E1956">
        <v>3</v>
      </c>
      <c r="F1956">
        <v>1</v>
      </c>
      <c r="G1956">
        <v>1908</v>
      </c>
      <c r="H1956" t="str">
        <f t="shared" si="91"/>
        <v>Pre-1950</v>
      </c>
      <c r="I1956" t="s">
        <v>14</v>
      </c>
      <c r="J1956" t="s">
        <v>18</v>
      </c>
      <c r="K1956" t="s">
        <v>12</v>
      </c>
      <c r="L1956" s="4">
        <v>847177</v>
      </c>
      <c r="M1956" t="str">
        <f t="shared" si="92"/>
        <v>Premium</v>
      </c>
    </row>
    <row r="1957" spans="1:13" x14ac:dyDescent="0.35">
      <c r="A1957">
        <v>1956</v>
      </c>
      <c r="B1957">
        <v>2944</v>
      </c>
      <c r="C1957" t="str">
        <f t="shared" si="90"/>
        <v>Large</v>
      </c>
      <c r="D1957">
        <v>1</v>
      </c>
      <c r="E1957">
        <v>3</v>
      </c>
      <c r="F1957">
        <v>3</v>
      </c>
      <c r="G1957">
        <v>2004</v>
      </c>
      <c r="H1957" t="str">
        <f t="shared" si="91"/>
        <v>Post-2000</v>
      </c>
      <c r="I1957" t="s">
        <v>14</v>
      </c>
      <c r="J1957" t="s">
        <v>11</v>
      </c>
      <c r="K1957" t="s">
        <v>12</v>
      </c>
      <c r="L1957" s="4">
        <v>828520</v>
      </c>
      <c r="M1957" t="str">
        <f t="shared" si="92"/>
        <v>Premium</v>
      </c>
    </row>
    <row r="1958" spans="1:13" x14ac:dyDescent="0.35">
      <c r="A1958">
        <v>1957</v>
      </c>
      <c r="B1958">
        <v>3172</v>
      </c>
      <c r="C1958" t="str">
        <f t="shared" si="90"/>
        <v>Large</v>
      </c>
      <c r="D1958">
        <v>5</v>
      </c>
      <c r="E1958">
        <v>2</v>
      </c>
      <c r="F1958">
        <v>1</v>
      </c>
      <c r="G1958">
        <v>1921</v>
      </c>
      <c r="H1958" t="str">
        <f t="shared" si="91"/>
        <v>Pre-1950</v>
      </c>
      <c r="I1958" t="s">
        <v>14</v>
      </c>
      <c r="J1958" t="s">
        <v>15</v>
      </c>
      <c r="K1958" t="s">
        <v>12</v>
      </c>
      <c r="L1958" s="4">
        <v>303730</v>
      </c>
      <c r="M1958" t="str">
        <f t="shared" si="92"/>
        <v>Medium</v>
      </c>
    </row>
    <row r="1959" spans="1:13" x14ac:dyDescent="0.35">
      <c r="A1959">
        <v>1958</v>
      </c>
      <c r="B1959">
        <v>4700</v>
      </c>
      <c r="C1959" t="str">
        <f t="shared" si="90"/>
        <v>Extra Large</v>
      </c>
      <c r="D1959">
        <v>3</v>
      </c>
      <c r="E1959">
        <v>3</v>
      </c>
      <c r="F1959">
        <v>1</v>
      </c>
      <c r="G1959">
        <v>1917</v>
      </c>
      <c r="H1959" t="str">
        <f t="shared" si="91"/>
        <v>Pre-1950</v>
      </c>
      <c r="I1959" t="s">
        <v>19</v>
      </c>
      <c r="J1959" t="s">
        <v>13</v>
      </c>
      <c r="K1959" t="s">
        <v>16</v>
      </c>
      <c r="L1959" s="4">
        <v>253426</v>
      </c>
      <c r="M1959" t="str">
        <f t="shared" si="92"/>
        <v>Medium</v>
      </c>
    </row>
    <row r="1960" spans="1:13" x14ac:dyDescent="0.35">
      <c r="A1960">
        <v>1959</v>
      </c>
      <c r="B1960">
        <v>516</v>
      </c>
      <c r="C1960" t="str">
        <f t="shared" si="90"/>
        <v>Small</v>
      </c>
      <c r="D1960">
        <v>2</v>
      </c>
      <c r="E1960">
        <v>3</v>
      </c>
      <c r="F1960">
        <v>1</v>
      </c>
      <c r="G1960">
        <v>1975</v>
      </c>
      <c r="H1960" t="str">
        <f t="shared" si="91"/>
        <v>1950-1975</v>
      </c>
      <c r="I1960" t="s">
        <v>17</v>
      </c>
      <c r="J1960" t="s">
        <v>15</v>
      </c>
      <c r="K1960" t="s">
        <v>12</v>
      </c>
      <c r="L1960" s="4">
        <v>916069</v>
      </c>
      <c r="M1960" t="str">
        <f t="shared" si="92"/>
        <v>Premium</v>
      </c>
    </row>
    <row r="1961" spans="1:13" x14ac:dyDescent="0.35">
      <c r="A1961">
        <v>1960</v>
      </c>
      <c r="B1961">
        <v>3691</v>
      </c>
      <c r="C1961" t="str">
        <f t="shared" si="90"/>
        <v>Large</v>
      </c>
      <c r="D1961">
        <v>4</v>
      </c>
      <c r="E1961">
        <v>1</v>
      </c>
      <c r="F1961">
        <v>2</v>
      </c>
      <c r="G1961">
        <v>2005</v>
      </c>
      <c r="H1961" t="str">
        <f t="shared" si="91"/>
        <v>Post-2000</v>
      </c>
      <c r="I1961" t="s">
        <v>10</v>
      </c>
      <c r="J1961" t="s">
        <v>18</v>
      </c>
      <c r="K1961" t="s">
        <v>16</v>
      </c>
      <c r="L1961" s="4">
        <v>972532</v>
      </c>
      <c r="M1961" t="str">
        <f t="shared" si="92"/>
        <v>Premium</v>
      </c>
    </row>
    <row r="1962" spans="1:13" x14ac:dyDescent="0.35">
      <c r="A1962">
        <v>1961</v>
      </c>
      <c r="B1962">
        <v>892</v>
      </c>
      <c r="C1962" t="str">
        <f t="shared" si="90"/>
        <v>Small</v>
      </c>
      <c r="D1962">
        <v>2</v>
      </c>
      <c r="E1962">
        <v>3</v>
      </c>
      <c r="F1962">
        <v>1</v>
      </c>
      <c r="G1962">
        <v>1942</v>
      </c>
      <c r="H1962" t="str">
        <f t="shared" si="91"/>
        <v>Pre-1950</v>
      </c>
      <c r="I1962" t="s">
        <v>17</v>
      </c>
      <c r="J1962" t="s">
        <v>15</v>
      </c>
      <c r="K1962" t="s">
        <v>12</v>
      </c>
      <c r="L1962" s="4">
        <v>279333</v>
      </c>
      <c r="M1962" t="str">
        <f t="shared" si="92"/>
        <v>Medium</v>
      </c>
    </row>
    <row r="1963" spans="1:13" x14ac:dyDescent="0.35">
      <c r="A1963">
        <v>1962</v>
      </c>
      <c r="B1963">
        <v>924</v>
      </c>
      <c r="C1963" t="str">
        <f t="shared" si="90"/>
        <v>Small</v>
      </c>
      <c r="D1963">
        <v>4</v>
      </c>
      <c r="E1963">
        <v>3</v>
      </c>
      <c r="F1963">
        <v>3</v>
      </c>
      <c r="G1963">
        <v>1938</v>
      </c>
      <c r="H1963" t="str">
        <f t="shared" si="91"/>
        <v>Pre-1950</v>
      </c>
      <c r="I1963" t="s">
        <v>17</v>
      </c>
      <c r="J1963" t="s">
        <v>11</v>
      </c>
      <c r="K1963" t="s">
        <v>16</v>
      </c>
      <c r="L1963" s="4">
        <v>622854</v>
      </c>
      <c r="M1963" t="str">
        <f t="shared" si="92"/>
        <v>Premium</v>
      </c>
    </row>
    <row r="1964" spans="1:13" x14ac:dyDescent="0.35">
      <c r="A1964">
        <v>1963</v>
      </c>
      <c r="B1964">
        <v>1071</v>
      </c>
      <c r="C1964" t="str">
        <f t="shared" si="90"/>
        <v>Medium</v>
      </c>
      <c r="D1964">
        <v>3</v>
      </c>
      <c r="E1964">
        <v>3</v>
      </c>
      <c r="F1964">
        <v>3</v>
      </c>
      <c r="G1964">
        <v>1972</v>
      </c>
      <c r="H1964" t="str">
        <f t="shared" si="91"/>
        <v>1950-1975</v>
      </c>
      <c r="I1964" t="s">
        <v>14</v>
      </c>
      <c r="J1964" t="s">
        <v>18</v>
      </c>
      <c r="K1964" t="s">
        <v>16</v>
      </c>
      <c r="L1964" s="4">
        <v>880154</v>
      </c>
      <c r="M1964" t="str">
        <f t="shared" si="92"/>
        <v>Premium</v>
      </c>
    </row>
    <row r="1965" spans="1:13" x14ac:dyDescent="0.35">
      <c r="A1965">
        <v>1964</v>
      </c>
      <c r="B1965">
        <v>4131</v>
      </c>
      <c r="C1965" t="str">
        <f t="shared" si="90"/>
        <v>Extra Large</v>
      </c>
      <c r="D1965">
        <v>1</v>
      </c>
      <c r="E1965">
        <v>3</v>
      </c>
      <c r="F1965">
        <v>2</v>
      </c>
      <c r="G1965">
        <v>1905</v>
      </c>
      <c r="H1965" t="str">
        <f t="shared" si="91"/>
        <v>Pre-1950</v>
      </c>
      <c r="I1965" t="s">
        <v>14</v>
      </c>
      <c r="J1965" t="s">
        <v>11</v>
      </c>
      <c r="K1965" t="s">
        <v>12</v>
      </c>
      <c r="L1965" s="4">
        <v>923055</v>
      </c>
      <c r="M1965" t="str">
        <f t="shared" si="92"/>
        <v>Premium</v>
      </c>
    </row>
    <row r="1966" spans="1:13" x14ac:dyDescent="0.35">
      <c r="A1966">
        <v>1965</v>
      </c>
      <c r="B1966">
        <v>1620</v>
      </c>
      <c r="C1966" t="str">
        <f t="shared" si="90"/>
        <v>Medium</v>
      </c>
      <c r="D1966">
        <v>2</v>
      </c>
      <c r="E1966">
        <v>2</v>
      </c>
      <c r="F1966">
        <v>3</v>
      </c>
      <c r="G1966">
        <v>1982</v>
      </c>
      <c r="H1966" t="str">
        <f t="shared" si="91"/>
        <v>1976-2000</v>
      </c>
      <c r="I1966" t="s">
        <v>14</v>
      </c>
      <c r="J1966" t="s">
        <v>18</v>
      </c>
      <c r="K1966" t="s">
        <v>16</v>
      </c>
      <c r="L1966" s="4">
        <v>423218</v>
      </c>
      <c r="M1966" t="str">
        <f t="shared" si="92"/>
        <v>High</v>
      </c>
    </row>
    <row r="1967" spans="1:13" x14ac:dyDescent="0.35">
      <c r="A1967">
        <v>1966</v>
      </c>
      <c r="B1967">
        <v>741</v>
      </c>
      <c r="C1967" t="str">
        <f t="shared" si="90"/>
        <v>Small</v>
      </c>
      <c r="D1967">
        <v>2</v>
      </c>
      <c r="E1967">
        <v>4</v>
      </c>
      <c r="F1967">
        <v>3</v>
      </c>
      <c r="G1967">
        <v>1947</v>
      </c>
      <c r="H1967" t="str">
        <f t="shared" si="91"/>
        <v>Pre-1950</v>
      </c>
      <c r="I1967" t="s">
        <v>10</v>
      </c>
      <c r="J1967" t="s">
        <v>11</v>
      </c>
      <c r="K1967" t="s">
        <v>12</v>
      </c>
      <c r="L1967" s="4">
        <v>649262</v>
      </c>
      <c r="M1967" t="str">
        <f t="shared" si="92"/>
        <v>Premium</v>
      </c>
    </row>
    <row r="1968" spans="1:13" x14ac:dyDescent="0.35">
      <c r="A1968">
        <v>1967</v>
      </c>
      <c r="B1968">
        <v>4397</v>
      </c>
      <c r="C1968" t="str">
        <f t="shared" si="90"/>
        <v>Extra Large</v>
      </c>
      <c r="D1968">
        <v>2</v>
      </c>
      <c r="E1968">
        <v>1</v>
      </c>
      <c r="F1968">
        <v>2</v>
      </c>
      <c r="G1968">
        <v>2010</v>
      </c>
      <c r="H1968" t="str">
        <f t="shared" si="91"/>
        <v>Post-2000</v>
      </c>
      <c r="I1968" t="s">
        <v>10</v>
      </c>
      <c r="J1968" t="s">
        <v>18</v>
      </c>
      <c r="K1968" t="s">
        <v>16</v>
      </c>
      <c r="L1968" s="4">
        <v>526908</v>
      </c>
      <c r="M1968" t="str">
        <f t="shared" si="92"/>
        <v>High</v>
      </c>
    </row>
    <row r="1969" spans="1:13" x14ac:dyDescent="0.35">
      <c r="A1969">
        <v>1968</v>
      </c>
      <c r="B1969">
        <v>4595</v>
      </c>
      <c r="C1969" t="str">
        <f t="shared" si="90"/>
        <v>Extra Large</v>
      </c>
      <c r="D1969">
        <v>4</v>
      </c>
      <c r="E1969">
        <v>3</v>
      </c>
      <c r="F1969">
        <v>1</v>
      </c>
      <c r="G1969">
        <v>1906</v>
      </c>
      <c r="H1969" t="str">
        <f t="shared" si="91"/>
        <v>Pre-1950</v>
      </c>
      <c r="I1969" t="s">
        <v>10</v>
      </c>
      <c r="J1969" t="s">
        <v>11</v>
      </c>
      <c r="K1969" t="s">
        <v>16</v>
      </c>
      <c r="L1969" s="4">
        <v>396228</v>
      </c>
      <c r="M1969" t="str">
        <f t="shared" si="92"/>
        <v>Medium</v>
      </c>
    </row>
    <row r="1970" spans="1:13" x14ac:dyDescent="0.35">
      <c r="A1970">
        <v>1969</v>
      </c>
      <c r="B1970">
        <v>2779</v>
      </c>
      <c r="C1970" t="str">
        <f t="shared" si="90"/>
        <v>Large</v>
      </c>
      <c r="D1970">
        <v>3</v>
      </c>
      <c r="E1970">
        <v>3</v>
      </c>
      <c r="F1970">
        <v>2</v>
      </c>
      <c r="G1970">
        <v>1979</v>
      </c>
      <c r="H1970" t="str">
        <f t="shared" si="91"/>
        <v>1976-2000</v>
      </c>
      <c r="I1970" t="s">
        <v>17</v>
      </c>
      <c r="J1970" t="s">
        <v>18</v>
      </c>
      <c r="K1970" t="s">
        <v>12</v>
      </c>
      <c r="L1970" s="4">
        <v>220951</v>
      </c>
      <c r="M1970" t="str">
        <f t="shared" si="92"/>
        <v>Medium</v>
      </c>
    </row>
    <row r="1971" spans="1:13" x14ac:dyDescent="0.35">
      <c r="A1971">
        <v>1970</v>
      </c>
      <c r="B1971">
        <v>1288</v>
      </c>
      <c r="C1971" t="str">
        <f t="shared" si="90"/>
        <v>Medium</v>
      </c>
      <c r="D1971">
        <v>2</v>
      </c>
      <c r="E1971">
        <v>2</v>
      </c>
      <c r="F1971">
        <v>1</v>
      </c>
      <c r="G1971">
        <v>1968</v>
      </c>
      <c r="H1971" t="str">
        <f t="shared" si="91"/>
        <v>1950-1975</v>
      </c>
      <c r="I1971" t="s">
        <v>14</v>
      </c>
      <c r="J1971" t="s">
        <v>11</v>
      </c>
      <c r="K1971" t="s">
        <v>12</v>
      </c>
      <c r="L1971" s="4">
        <v>467983</v>
      </c>
      <c r="M1971" t="str">
        <f t="shared" si="92"/>
        <v>High</v>
      </c>
    </row>
    <row r="1972" spans="1:13" x14ac:dyDescent="0.35">
      <c r="A1972">
        <v>1971</v>
      </c>
      <c r="B1972">
        <v>1214</v>
      </c>
      <c r="C1972" t="str">
        <f t="shared" si="90"/>
        <v>Medium</v>
      </c>
      <c r="D1972">
        <v>2</v>
      </c>
      <c r="E1972">
        <v>4</v>
      </c>
      <c r="F1972">
        <v>1</v>
      </c>
      <c r="G1972">
        <v>1915</v>
      </c>
      <c r="H1972" t="str">
        <f t="shared" si="91"/>
        <v>Pre-1950</v>
      </c>
      <c r="I1972" t="s">
        <v>19</v>
      </c>
      <c r="J1972" t="s">
        <v>18</v>
      </c>
      <c r="K1972" t="s">
        <v>16</v>
      </c>
      <c r="L1972" s="4">
        <v>298595</v>
      </c>
      <c r="M1972" t="str">
        <f t="shared" si="92"/>
        <v>Medium</v>
      </c>
    </row>
    <row r="1973" spans="1:13" x14ac:dyDescent="0.35">
      <c r="A1973">
        <v>1972</v>
      </c>
      <c r="B1973">
        <v>3349</v>
      </c>
      <c r="C1973" t="str">
        <f t="shared" si="90"/>
        <v>Large</v>
      </c>
      <c r="D1973">
        <v>1</v>
      </c>
      <c r="E1973">
        <v>3</v>
      </c>
      <c r="F1973">
        <v>3</v>
      </c>
      <c r="G1973">
        <v>1900</v>
      </c>
      <c r="H1973" t="str">
        <f t="shared" si="91"/>
        <v>Pre-1950</v>
      </c>
      <c r="I1973" t="s">
        <v>17</v>
      </c>
      <c r="J1973" t="s">
        <v>11</v>
      </c>
      <c r="K1973" t="s">
        <v>16</v>
      </c>
      <c r="L1973" s="4">
        <v>953785</v>
      </c>
      <c r="M1973" t="str">
        <f t="shared" si="92"/>
        <v>Premium</v>
      </c>
    </row>
    <row r="1974" spans="1:13" x14ac:dyDescent="0.35">
      <c r="A1974">
        <v>1973</v>
      </c>
      <c r="B1974">
        <v>1275</v>
      </c>
      <c r="C1974" t="str">
        <f t="shared" si="90"/>
        <v>Medium</v>
      </c>
      <c r="D1974">
        <v>1</v>
      </c>
      <c r="E1974">
        <v>2</v>
      </c>
      <c r="F1974">
        <v>2</v>
      </c>
      <c r="G1974">
        <v>2014</v>
      </c>
      <c r="H1974" t="str">
        <f t="shared" si="91"/>
        <v>Post-2000</v>
      </c>
      <c r="I1974" t="s">
        <v>10</v>
      </c>
      <c r="J1974" t="s">
        <v>13</v>
      </c>
      <c r="K1974" t="s">
        <v>12</v>
      </c>
      <c r="L1974" s="4">
        <v>678705</v>
      </c>
      <c r="M1974" t="str">
        <f t="shared" si="92"/>
        <v>Premium</v>
      </c>
    </row>
    <row r="1975" spans="1:13" x14ac:dyDescent="0.35">
      <c r="A1975">
        <v>1974</v>
      </c>
      <c r="B1975">
        <v>4526</v>
      </c>
      <c r="C1975" t="str">
        <f t="shared" si="90"/>
        <v>Extra Large</v>
      </c>
      <c r="D1975">
        <v>3</v>
      </c>
      <c r="E1975">
        <v>1</v>
      </c>
      <c r="F1975">
        <v>3</v>
      </c>
      <c r="G1975">
        <v>1936</v>
      </c>
      <c r="H1975" t="str">
        <f t="shared" si="91"/>
        <v>Pre-1950</v>
      </c>
      <c r="I1975" t="s">
        <v>19</v>
      </c>
      <c r="J1975" t="s">
        <v>15</v>
      </c>
      <c r="K1975" t="s">
        <v>12</v>
      </c>
      <c r="L1975" s="4">
        <v>904531</v>
      </c>
      <c r="M1975" t="str">
        <f t="shared" si="92"/>
        <v>Premium</v>
      </c>
    </row>
    <row r="1976" spans="1:13" x14ac:dyDescent="0.35">
      <c r="A1976">
        <v>1975</v>
      </c>
      <c r="B1976">
        <v>2747</v>
      </c>
      <c r="C1976" t="str">
        <f t="shared" si="90"/>
        <v>Large</v>
      </c>
      <c r="D1976">
        <v>3</v>
      </c>
      <c r="E1976">
        <v>1</v>
      </c>
      <c r="F1976">
        <v>3</v>
      </c>
      <c r="G1976">
        <v>2002</v>
      </c>
      <c r="H1976" t="str">
        <f t="shared" si="91"/>
        <v>Post-2000</v>
      </c>
      <c r="I1976" t="s">
        <v>19</v>
      </c>
      <c r="J1976" t="s">
        <v>18</v>
      </c>
      <c r="K1976" t="s">
        <v>12</v>
      </c>
      <c r="L1976" s="4">
        <v>229729</v>
      </c>
      <c r="M1976" t="str">
        <f t="shared" si="92"/>
        <v>Medium</v>
      </c>
    </row>
    <row r="1977" spans="1:13" x14ac:dyDescent="0.35">
      <c r="A1977">
        <v>1976</v>
      </c>
      <c r="B1977">
        <v>578</v>
      </c>
      <c r="C1977" t="str">
        <f t="shared" si="90"/>
        <v>Small</v>
      </c>
      <c r="D1977">
        <v>5</v>
      </c>
      <c r="E1977">
        <v>3</v>
      </c>
      <c r="F1977">
        <v>1</v>
      </c>
      <c r="G1977">
        <v>1982</v>
      </c>
      <c r="H1977" t="str">
        <f t="shared" si="91"/>
        <v>1976-2000</v>
      </c>
      <c r="I1977" t="s">
        <v>14</v>
      </c>
      <c r="J1977" t="s">
        <v>11</v>
      </c>
      <c r="K1977" t="s">
        <v>16</v>
      </c>
      <c r="L1977" s="4">
        <v>189570</v>
      </c>
      <c r="M1977" t="str">
        <f t="shared" si="92"/>
        <v>Low</v>
      </c>
    </row>
    <row r="1978" spans="1:13" x14ac:dyDescent="0.35">
      <c r="A1978">
        <v>1977</v>
      </c>
      <c r="B1978">
        <v>4426</v>
      </c>
      <c r="C1978" t="str">
        <f t="shared" si="90"/>
        <v>Extra Large</v>
      </c>
      <c r="D1978">
        <v>1</v>
      </c>
      <c r="E1978">
        <v>3</v>
      </c>
      <c r="F1978">
        <v>3</v>
      </c>
      <c r="G1978">
        <v>2017</v>
      </c>
      <c r="H1978" t="str">
        <f t="shared" si="91"/>
        <v>Post-2000</v>
      </c>
      <c r="I1978" t="s">
        <v>19</v>
      </c>
      <c r="J1978" t="s">
        <v>13</v>
      </c>
      <c r="K1978" t="s">
        <v>12</v>
      </c>
      <c r="L1978" s="4">
        <v>254739</v>
      </c>
      <c r="M1978" t="str">
        <f t="shared" si="92"/>
        <v>Medium</v>
      </c>
    </row>
    <row r="1979" spans="1:13" x14ac:dyDescent="0.35">
      <c r="A1979">
        <v>1978</v>
      </c>
      <c r="B1979">
        <v>1355</v>
      </c>
      <c r="C1979" t="str">
        <f t="shared" si="90"/>
        <v>Medium</v>
      </c>
      <c r="D1979">
        <v>5</v>
      </c>
      <c r="E1979">
        <v>4</v>
      </c>
      <c r="F1979">
        <v>2</v>
      </c>
      <c r="G1979">
        <v>1936</v>
      </c>
      <c r="H1979" t="str">
        <f t="shared" si="91"/>
        <v>Pre-1950</v>
      </c>
      <c r="I1979" t="s">
        <v>10</v>
      </c>
      <c r="J1979" t="s">
        <v>18</v>
      </c>
      <c r="K1979" t="s">
        <v>12</v>
      </c>
      <c r="L1979" s="4">
        <v>337251</v>
      </c>
      <c r="M1979" t="str">
        <f t="shared" si="92"/>
        <v>Medium</v>
      </c>
    </row>
    <row r="1980" spans="1:13" x14ac:dyDescent="0.35">
      <c r="A1980">
        <v>1979</v>
      </c>
      <c r="B1980">
        <v>2648</v>
      </c>
      <c r="C1980" t="str">
        <f t="shared" si="90"/>
        <v>Large</v>
      </c>
      <c r="D1980">
        <v>4</v>
      </c>
      <c r="E1980">
        <v>4</v>
      </c>
      <c r="F1980">
        <v>3</v>
      </c>
      <c r="G1980">
        <v>1980</v>
      </c>
      <c r="H1980" t="str">
        <f t="shared" si="91"/>
        <v>1976-2000</v>
      </c>
      <c r="I1980" t="s">
        <v>14</v>
      </c>
      <c r="J1980" t="s">
        <v>18</v>
      </c>
      <c r="K1980" t="s">
        <v>16</v>
      </c>
      <c r="L1980" s="4">
        <v>734153</v>
      </c>
      <c r="M1980" t="str">
        <f t="shared" si="92"/>
        <v>Premium</v>
      </c>
    </row>
    <row r="1981" spans="1:13" x14ac:dyDescent="0.35">
      <c r="A1981">
        <v>1980</v>
      </c>
      <c r="B1981">
        <v>1531</v>
      </c>
      <c r="C1981" t="str">
        <f t="shared" si="90"/>
        <v>Medium</v>
      </c>
      <c r="D1981">
        <v>5</v>
      </c>
      <c r="E1981">
        <v>3</v>
      </c>
      <c r="F1981">
        <v>3</v>
      </c>
      <c r="G1981">
        <v>1963</v>
      </c>
      <c r="H1981" t="str">
        <f t="shared" si="91"/>
        <v>1950-1975</v>
      </c>
      <c r="I1981" t="s">
        <v>19</v>
      </c>
      <c r="J1981" t="s">
        <v>18</v>
      </c>
      <c r="K1981" t="s">
        <v>12</v>
      </c>
      <c r="L1981" s="4">
        <v>970200</v>
      </c>
      <c r="M1981" t="str">
        <f t="shared" si="92"/>
        <v>Premium</v>
      </c>
    </row>
    <row r="1982" spans="1:13" x14ac:dyDescent="0.35">
      <c r="A1982">
        <v>1981</v>
      </c>
      <c r="B1982">
        <v>3771</v>
      </c>
      <c r="C1982" t="str">
        <f t="shared" si="90"/>
        <v>Large</v>
      </c>
      <c r="D1982">
        <v>2</v>
      </c>
      <c r="E1982">
        <v>2</v>
      </c>
      <c r="F1982">
        <v>1</v>
      </c>
      <c r="G1982">
        <v>1989</v>
      </c>
      <c r="H1982" t="str">
        <f t="shared" si="91"/>
        <v>1976-2000</v>
      </c>
      <c r="I1982" t="s">
        <v>14</v>
      </c>
      <c r="J1982" t="s">
        <v>15</v>
      </c>
      <c r="K1982" t="s">
        <v>12</v>
      </c>
      <c r="L1982" s="4">
        <v>890271</v>
      </c>
      <c r="M1982" t="str">
        <f t="shared" si="92"/>
        <v>Premium</v>
      </c>
    </row>
    <row r="1983" spans="1:13" x14ac:dyDescent="0.35">
      <c r="A1983">
        <v>1982</v>
      </c>
      <c r="B1983">
        <v>4076</v>
      </c>
      <c r="C1983" t="str">
        <f t="shared" si="90"/>
        <v>Extra Large</v>
      </c>
      <c r="D1983">
        <v>5</v>
      </c>
      <c r="E1983">
        <v>4</v>
      </c>
      <c r="F1983">
        <v>2</v>
      </c>
      <c r="G1983">
        <v>1985</v>
      </c>
      <c r="H1983" t="str">
        <f t="shared" si="91"/>
        <v>1976-2000</v>
      </c>
      <c r="I1983" t="s">
        <v>19</v>
      </c>
      <c r="J1983" t="s">
        <v>11</v>
      </c>
      <c r="K1983" t="s">
        <v>12</v>
      </c>
      <c r="L1983" s="4">
        <v>663529</v>
      </c>
      <c r="M1983" t="str">
        <f t="shared" si="92"/>
        <v>Premium</v>
      </c>
    </row>
    <row r="1984" spans="1:13" x14ac:dyDescent="0.35">
      <c r="A1984">
        <v>1983</v>
      </c>
      <c r="B1984">
        <v>4682</v>
      </c>
      <c r="C1984" t="str">
        <f t="shared" si="90"/>
        <v>Extra Large</v>
      </c>
      <c r="D1984">
        <v>3</v>
      </c>
      <c r="E1984">
        <v>3</v>
      </c>
      <c r="F1984">
        <v>3</v>
      </c>
      <c r="G1984">
        <v>1961</v>
      </c>
      <c r="H1984" t="str">
        <f t="shared" si="91"/>
        <v>1950-1975</v>
      </c>
      <c r="I1984" t="s">
        <v>17</v>
      </c>
      <c r="J1984" t="s">
        <v>11</v>
      </c>
      <c r="K1984" t="s">
        <v>12</v>
      </c>
      <c r="L1984" s="4">
        <v>597685</v>
      </c>
      <c r="M1984" t="str">
        <f t="shared" si="92"/>
        <v>High</v>
      </c>
    </row>
    <row r="1985" spans="1:13" x14ac:dyDescent="0.35">
      <c r="A1985">
        <v>1984</v>
      </c>
      <c r="B1985">
        <v>3956</v>
      </c>
      <c r="C1985" t="str">
        <f t="shared" si="90"/>
        <v>Large</v>
      </c>
      <c r="D1985">
        <v>4</v>
      </c>
      <c r="E1985">
        <v>4</v>
      </c>
      <c r="F1985">
        <v>1</v>
      </c>
      <c r="G1985">
        <v>1971</v>
      </c>
      <c r="H1985" t="str">
        <f t="shared" si="91"/>
        <v>1950-1975</v>
      </c>
      <c r="I1985" t="s">
        <v>17</v>
      </c>
      <c r="J1985" t="s">
        <v>18</v>
      </c>
      <c r="K1985" t="s">
        <v>16</v>
      </c>
      <c r="L1985" s="4">
        <v>581992</v>
      </c>
      <c r="M1985" t="str">
        <f t="shared" si="92"/>
        <v>High</v>
      </c>
    </row>
    <row r="1986" spans="1:13" x14ac:dyDescent="0.35">
      <c r="A1986">
        <v>1985</v>
      </c>
      <c r="B1986">
        <v>4006</v>
      </c>
      <c r="C1986" t="str">
        <f t="shared" si="90"/>
        <v>Extra Large</v>
      </c>
      <c r="D1986">
        <v>2</v>
      </c>
      <c r="E1986">
        <v>3</v>
      </c>
      <c r="F1986">
        <v>3</v>
      </c>
      <c r="G1986">
        <v>1960</v>
      </c>
      <c r="H1986" t="str">
        <f t="shared" si="91"/>
        <v>1950-1975</v>
      </c>
      <c r="I1986" t="s">
        <v>10</v>
      </c>
      <c r="J1986" t="s">
        <v>18</v>
      </c>
      <c r="K1986" t="s">
        <v>12</v>
      </c>
      <c r="L1986" s="4">
        <v>852874</v>
      </c>
      <c r="M1986" t="str">
        <f t="shared" si="92"/>
        <v>Premium</v>
      </c>
    </row>
    <row r="1987" spans="1:13" x14ac:dyDescent="0.35">
      <c r="A1987">
        <v>1986</v>
      </c>
      <c r="B1987">
        <v>907</v>
      </c>
      <c r="C1987" t="str">
        <f t="shared" ref="C1987:C2001" si="93">IF(B1987&lt;=1000,"Small",IF(B1987&lt;=2500,"Medium",IF(B1987&lt;=4000,"Large",IF(B1987&gt;=4000,"Extra Large"))))</f>
        <v>Small</v>
      </c>
      <c r="D1987">
        <v>5</v>
      </c>
      <c r="E1987">
        <v>1</v>
      </c>
      <c r="F1987">
        <v>2</v>
      </c>
      <c r="G1987">
        <v>1932</v>
      </c>
      <c r="H1987" t="str">
        <f t="shared" ref="H1987:H2001" si="94">IF(G1987&lt;=1950,"Pre-1950",IF(G1987&lt;=1975,"1950-1975",IF(G1987&lt;=2000,"1976-2000",IF(G1987&gt;=2000,"Post-2000"))))</f>
        <v>Pre-1950</v>
      </c>
      <c r="I1987" t="s">
        <v>17</v>
      </c>
      <c r="J1987" t="s">
        <v>18</v>
      </c>
      <c r="K1987" t="s">
        <v>12</v>
      </c>
      <c r="L1987" s="4">
        <v>769148</v>
      </c>
      <c r="M1987" t="str">
        <f t="shared" ref="M1987:M2001" si="95">IF(L1987&lt;=200000,"Low",IF(L1987&lt;=400000,"Medium",IF(L1987&lt;=600000,"High",IF(L1987&gt;=600000,"Premium",""))))</f>
        <v>Premium</v>
      </c>
    </row>
    <row r="1988" spans="1:13" x14ac:dyDescent="0.35">
      <c r="A1988">
        <v>1987</v>
      </c>
      <c r="B1988">
        <v>3211</v>
      </c>
      <c r="C1988" t="str">
        <f t="shared" si="93"/>
        <v>Large</v>
      </c>
      <c r="D1988">
        <v>4</v>
      </c>
      <c r="E1988">
        <v>3</v>
      </c>
      <c r="F1988">
        <v>3</v>
      </c>
      <c r="G1988">
        <v>1965</v>
      </c>
      <c r="H1988" t="str">
        <f t="shared" si="94"/>
        <v>1950-1975</v>
      </c>
      <c r="I1988" t="s">
        <v>17</v>
      </c>
      <c r="J1988" t="s">
        <v>13</v>
      </c>
      <c r="K1988" t="s">
        <v>12</v>
      </c>
      <c r="L1988" s="4">
        <v>179576</v>
      </c>
      <c r="M1988" t="str">
        <f t="shared" si="95"/>
        <v>Low</v>
      </c>
    </row>
    <row r="1989" spans="1:13" x14ac:dyDescent="0.35">
      <c r="A1989">
        <v>1988</v>
      </c>
      <c r="B1989">
        <v>3588</v>
      </c>
      <c r="C1989" t="str">
        <f t="shared" si="93"/>
        <v>Large</v>
      </c>
      <c r="D1989">
        <v>4</v>
      </c>
      <c r="E1989">
        <v>1</v>
      </c>
      <c r="F1989">
        <v>3</v>
      </c>
      <c r="G1989">
        <v>1929</v>
      </c>
      <c r="H1989" t="str">
        <f t="shared" si="94"/>
        <v>Pre-1950</v>
      </c>
      <c r="I1989" t="s">
        <v>17</v>
      </c>
      <c r="J1989" t="s">
        <v>18</v>
      </c>
      <c r="K1989" t="s">
        <v>12</v>
      </c>
      <c r="L1989" s="4">
        <v>59765</v>
      </c>
      <c r="M1989" t="str">
        <f t="shared" si="95"/>
        <v>Low</v>
      </c>
    </row>
    <row r="1990" spans="1:13" x14ac:dyDescent="0.35">
      <c r="A1990">
        <v>1989</v>
      </c>
      <c r="B1990">
        <v>2168</v>
      </c>
      <c r="C1990" t="str">
        <f t="shared" si="93"/>
        <v>Medium</v>
      </c>
      <c r="D1990">
        <v>2</v>
      </c>
      <c r="E1990">
        <v>4</v>
      </c>
      <c r="F1990">
        <v>1</v>
      </c>
      <c r="G1990">
        <v>2010</v>
      </c>
      <c r="H1990" t="str">
        <f t="shared" si="94"/>
        <v>Post-2000</v>
      </c>
      <c r="I1990" t="s">
        <v>19</v>
      </c>
      <c r="J1990" t="s">
        <v>15</v>
      </c>
      <c r="K1990" t="s">
        <v>12</v>
      </c>
      <c r="L1990" s="4">
        <v>427972</v>
      </c>
      <c r="M1990" t="str">
        <f t="shared" si="95"/>
        <v>High</v>
      </c>
    </row>
    <row r="1991" spans="1:13" x14ac:dyDescent="0.35">
      <c r="A1991">
        <v>1990</v>
      </c>
      <c r="B1991">
        <v>647</v>
      </c>
      <c r="C1991" t="str">
        <f t="shared" si="93"/>
        <v>Small</v>
      </c>
      <c r="D1991">
        <v>5</v>
      </c>
      <c r="E1991">
        <v>3</v>
      </c>
      <c r="F1991">
        <v>3</v>
      </c>
      <c r="G1991">
        <v>1919</v>
      </c>
      <c r="H1991" t="str">
        <f t="shared" si="94"/>
        <v>Pre-1950</v>
      </c>
      <c r="I1991" t="s">
        <v>19</v>
      </c>
      <c r="J1991" t="s">
        <v>11</v>
      </c>
      <c r="K1991" t="s">
        <v>12</v>
      </c>
      <c r="L1991" s="4">
        <v>60002</v>
      </c>
      <c r="M1991" t="str">
        <f t="shared" si="95"/>
        <v>Low</v>
      </c>
    </row>
    <row r="1992" spans="1:13" x14ac:dyDescent="0.35">
      <c r="A1992">
        <v>1991</v>
      </c>
      <c r="B1992">
        <v>4827</v>
      </c>
      <c r="C1992" t="str">
        <f t="shared" si="93"/>
        <v>Extra Large</v>
      </c>
      <c r="D1992">
        <v>4</v>
      </c>
      <c r="E1992">
        <v>4</v>
      </c>
      <c r="F1992">
        <v>1</v>
      </c>
      <c r="G1992">
        <v>1959</v>
      </c>
      <c r="H1992" t="str">
        <f t="shared" si="94"/>
        <v>1950-1975</v>
      </c>
      <c r="I1992" t="s">
        <v>14</v>
      </c>
      <c r="J1992" t="s">
        <v>15</v>
      </c>
      <c r="K1992" t="s">
        <v>16</v>
      </c>
      <c r="L1992" s="4">
        <v>834141</v>
      </c>
      <c r="M1992" t="str">
        <f t="shared" si="95"/>
        <v>Premium</v>
      </c>
    </row>
    <row r="1993" spans="1:13" x14ac:dyDescent="0.35">
      <c r="A1993">
        <v>1992</v>
      </c>
      <c r="B1993">
        <v>4397</v>
      </c>
      <c r="C1993" t="str">
        <f t="shared" si="93"/>
        <v>Extra Large</v>
      </c>
      <c r="D1993">
        <v>4</v>
      </c>
      <c r="E1993">
        <v>1</v>
      </c>
      <c r="F1993">
        <v>2</v>
      </c>
      <c r="G1993">
        <v>1981</v>
      </c>
      <c r="H1993" t="str">
        <f t="shared" si="94"/>
        <v>1976-2000</v>
      </c>
      <c r="I1993" t="s">
        <v>19</v>
      </c>
      <c r="J1993" t="s">
        <v>18</v>
      </c>
      <c r="K1993" t="s">
        <v>16</v>
      </c>
      <c r="L1993" s="4">
        <v>847822</v>
      </c>
      <c r="M1993" t="str">
        <f t="shared" si="95"/>
        <v>Premium</v>
      </c>
    </row>
    <row r="1994" spans="1:13" x14ac:dyDescent="0.35">
      <c r="A1994">
        <v>1993</v>
      </c>
      <c r="B1994">
        <v>2450</v>
      </c>
      <c r="C1994" t="str">
        <f t="shared" si="93"/>
        <v>Medium</v>
      </c>
      <c r="D1994">
        <v>1</v>
      </c>
      <c r="E1994">
        <v>3</v>
      </c>
      <c r="F1994">
        <v>3</v>
      </c>
      <c r="G1994">
        <v>2006</v>
      </c>
      <c r="H1994" t="str">
        <f t="shared" si="94"/>
        <v>Post-2000</v>
      </c>
      <c r="I1994" t="s">
        <v>17</v>
      </c>
      <c r="J1994" t="s">
        <v>13</v>
      </c>
      <c r="K1994" t="s">
        <v>16</v>
      </c>
      <c r="L1994" s="4">
        <v>225508</v>
      </c>
      <c r="M1994" t="str">
        <f t="shared" si="95"/>
        <v>Medium</v>
      </c>
    </row>
    <row r="1995" spans="1:13" x14ac:dyDescent="0.35">
      <c r="A1995">
        <v>1994</v>
      </c>
      <c r="B1995">
        <v>865</v>
      </c>
      <c r="C1995" t="str">
        <f t="shared" si="93"/>
        <v>Small</v>
      </c>
      <c r="D1995">
        <v>4</v>
      </c>
      <c r="E1995">
        <v>4</v>
      </c>
      <c r="F1995">
        <v>2</v>
      </c>
      <c r="G1995">
        <v>2020</v>
      </c>
      <c r="H1995" t="str">
        <f t="shared" si="94"/>
        <v>Post-2000</v>
      </c>
      <c r="I1995" t="s">
        <v>19</v>
      </c>
      <c r="J1995" t="s">
        <v>18</v>
      </c>
      <c r="K1995" t="s">
        <v>12</v>
      </c>
      <c r="L1995" s="4">
        <v>308446</v>
      </c>
      <c r="M1995" t="str">
        <f t="shared" si="95"/>
        <v>Medium</v>
      </c>
    </row>
    <row r="1996" spans="1:13" x14ac:dyDescent="0.35">
      <c r="A1996">
        <v>1995</v>
      </c>
      <c r="B1996">
        <v>2174</v>
      </c>
      <c r="C1996" t="str">
        <f t="shared" si="93"/>
        <v>Medium</v>
      </c>
      <c r="D1996">
        <v>1</v>
      </c>
      <c r="E1996">
        <v>1</v>
      </c>
      <c r="F1996">
        <v>2</v>
      </c>
      <c r="G1996">
        <v>1973</v>
      </c>
      <c r="H1996" t="str">
        <f t="shared" si="94"/>
        <v>1950-1975</v>
      </c>
      <c r="I1996" t="s">
        <v>10</v>
      </c>
      <c r="J1996" t="s">
        <v>18</v>
      </c>
      <c r="K1996" t="s">
        <v>12</v>
      </c>
      <c r="L1996" s="4">
        <v>527698</v>
      </c>
      <c r="M1996" t="str">
        <f t="shared" si="95"/>
        <v>High</v>
      </c>
    </row>
    <row r="1997" spans="1:13" x14ac:dyDescent="0.35">
      <c r="A1997">
        <v>1996</v>
      </c>
      <c r="B1997">
        <v>4994</v>
      </c>
      <c r="C1997" t="str">
        <f t="shared" si="93"/>
        <v>Extra Large</v>
      </c>
      <c r="D1997">
        <v>5</v>
      </c>
      <c r="E1997">
        <v>4</v>
      </c>
      <c r="F1997">
        <v>3</v>
      </c>
      <c r="G1997">
        <v>1923</v>
      </c>
      <c r="H1997" t="str">
        <f t="shared" si="94"/>
        <v>Pre-1950</v>
      </c>
      <c r="I1997" t="s">
        <v>14</v>
      </c>
      <c r="J1997" t="s">
        <v>18</v>
      </c>
      <c r="K1997" t="s">
        <v>12</v>
      </c>
      <c r="L1997" s="4">
        <v>295620</v>
      </c>
      <c r="M1997" t="str">
        <f t="shared" si="95"/>
        <v>Medium</v>
      </c>
    </row>
    <row r="1998" spans="1:13" x14ac:dyDescent="0.35">
      <c r="A1998">
        <v>1997</v>
      </c>
      <c r="B1998">
        <v>3046</v>
      </c>
      <c r="C1998" t="str">
        <f t="shared" si="93"/>
        <v>Large</v>
      </c>
      <c r="D1998">
        <v>5</v>
      </c>
      <c r="E1998">
        <v>2</v>
      </c>
      <c r="F1998">
        <v>1</v>
      </c>
      <c r="G1998">
        <v>2019</v>
      </c>
      <c r="H1998" t="str">
        <f t="shared" si="94"/>
        <v>Post-2000</v>
      </c>
      <c r="I1998" t="s">
        <v>14</v>
      </c>
      <c r="J1998" t="s">
        <v>18</v>
      </c>
      <c r="K1998" t="s">
        <v>16</v>
      </c>
      <c r="L1998" s="4">
        <v>580929</v>
      </c>
      <c r="M1998" t="str">
        <f t="shared" si="95"/>
        <v>High</v>
      </c>
    </row>
    <row r="1999" spans="1:13" x14ac:dyDescent="0.35">
      <c r="A1999">
        <v>1998</v>
      </c>
      <c r="B1999">
        <v>1062</v>
      </c>
      <c r="C1999" t="str">
        <f t="shared" si="93"/>
        <v>Medium</v>
      </c>
      <c r="D1999">
        <v>5</v>
      </c>
      <c r="E1999">
        <v>1</v>
      </c>
      <c r="F1999">
        <v>2</v>
      </c>
      <c r="G1999">
        <v>1903</v>
      </c>
      <c r="H1999" t="str">
        <f t="shared" si="94"/>
        <v>Pre-1950</v>
      </c>
      <c r="I1999" t="s">
        <v>19</v>
      </c>
      <c r="J1999" t="s">
        <v>18</v>
      </c>
      <c r="K1999" t="s">
        <v>12</v>
      </c>
      <c r="L1999" s="4">
        <v>476925</v>
      </c>
      <c r="M1999" t="str">
        <f t="shared" si="95"/>
        <v>High</v>
      </c>
    </row>
    <row r="2000" spans="1:13" x14ac:dyDescent="0.35">
      <c r="A2000">
        <v>1999</v>
      </c>
      <c r="B2000">
        <v>4062</v>
      </c>
      <c r="C2000" t="str">
        <f t="shared" si="93"/>
        <v>Extra Large</v>
      </c>
      <c r="D2000">
        <v>3</v>
      </c>
      <c r="E2000">
        <v>1</v>
      </c>
      <c r="F2000">
        <v>2</v>
      </c>
      <c r="G2000">
        <v>1936</v>
      </c>
      <c r="H2000" t="str">
        <f t="shared" si="94"/>
        <v>Pre-1950</v>
      </c>
      <c r="I2000" t="s">
        <v>17</v>
      </c>
      <c r="J2000" t="s">
        <v>11</v>
      </c>
      <c r="K2000" t="s">
        <v>16</v>
      </c>
      <c r="L2000" s="4">
        <v>161119</v>
      </c>
      <c r="M2000" t="str">
        <f t="shared" si="95"/>
        <v>Low</v>
      </c>
    </row>
    <row r="2001" spans="1:13" x14ac:dyDescent="0.35">
      <c r="A2001">
        <v>2000</v>
      </c>
      <c r="B2001">
        <v>2989</v>
      </c>
      <c r="C2001" t="str">
        <f t="shared" si="93"/>
        <v>Large</v>
      </c>
      <c r="D2001">
        <v>5</v>
      </c>
      <c r="E2001">
        <v>1</v>
      </c>
      <c r="F2001">
        <v>3</v>
      </c>
      <c r="G2001">
        <v>1903</v>
      </c>
      <c r="H2001" t="str">
        <f t="shared" si="94"/>
        <v>Pre-1950</v>
      </c>
      <c r="I2001" t="s">
        <v>14</v>
      </c>
      <c r="J2001" t="s">
        <v>15</v>
      </c>
      <c r="K2001" t="s">
        <v>12</v>
      </c>
      <c r="L2001" s="4">
        <v>482525</v>
      </c>
      <c r="M2001" t="str">
        <f t="shared" si="95"/>
        <v>High</v>
      </c>
    </row>
  </sheetData>
  <autoFilter ref="A1:M2001" xr:uid="{4F92E767-AD44-464A-A5C7-8B1F5F472E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0CDE-E468-4778-89C4-D600994951D0}">
  <dimension ref="A2:K25"/>
  <sheetViews>
    <sheetView workbookViewId="0">
      <selection activeCell="F22" sqref="F22"/>
    </sheetView>
  </sheetViews>
  <sheetFormatPr defaultColWidth="10.54296875" defaultRowHeight="14.5" x14ac:dyDescent="0.35"/>
  <cols>
    <col min="1" max="1" width="38.90625" bestFit="1" customWidth="1"/>
    <col min="2" max="2" width="24.26953125" bestFit="1" customWidth="1"/>
    <col min="3" max="5" width="8.6328125" bestFit="1" customWidth="1"/>
    <col min="6" max="6" width="19.36328125" customWidth="1"/>
    <col min="7" max="7" width="31.81640625" bestFit="1" customWidth="1"/>
    <col min="8" max="8" width="14.26953125" bestFit="1" customWidth="1"/>
    <col min="9" max="11" width="8.6328125" bestFit="1" customWidth="1"/>
  </cols>
  <sheetData>
    <row r="2" spans="1:11" x14ac:dyDescent="0.35">
      <c r="A2" s="1" t="s">
        <v>35</v>
      </c>
      <c r="B2" s="1" t="s">
        <v>34</v>
      </c>
      <c r="G2" s="1" t="s">
        <v>37</v>
      </c>
      <c r="H2" s="1" t="s">
        <v>34</v>
      </c>
    </row>
    <row r="3" spans="1:11" x14ac:dyDescent="0.35">
      <c r="A3" s="1" t="s">
        <v>1</v>
      </c>
      <c r="B3" t="s">
        <v>27</v>
      </c>
      <c r="C3" t="s">
        <v>28</v>
      </c>
      <c r="D3" t="s">
        <v>25</v>
      </c>
      <c r="E3" t="s">
        <v>29</v>
      </c>
      <c r="G3" s="1" t="s">
        <v>36</v>
      </c>
      <c r="H3" t="s">
        <v>27</v>
      </c>
      <c r="I3" t="s">
        <v>28</v>
      </c>
      <c r="J3" t="s">
        <v>25</v>
      </c>
      <c r="K3" t="s">
        <v>29</v>
      </c>
    </row>
    <row r="4" spans="1:11" x14ac:dyDescent="0.35">
      <c r="A4" s="2" t="s">
        <v>23</v>
      </c>
      <c r="B4" s="3">
        <v>512174.55913978495</v>
      </c>
      <c r="C4" s="3">
        <v>125934.88372093023</v>
      </c>
      <c r="D4" s="3">
        <v>302099.59259259258</v>
      </c>
      <c r="E4" s="3">
        <v>813420.60317460319</v>
      </c>
      <c r="G4" s="2" t="s">
        <v>30</v>
      </c>
      <c r="H4" s="3">
        <v>510227.8</v>
      </c>
      <c r="I4" s="3">
        <v>130902.16666666667</v>
      </c>
      <c r="J4" s="3">
        <v>298606.3896103896</v>
      </c>
      <c r="K4" s="3">
        <v>809471.84530386736</v>
      </c>
    </row>
    <row r="5" spans="1:11" x14ac:dyDescent="0.35">
      <c r="A5" s="2" t="s">
        <v>24</v>
      </c>
      <c r="B5" s="3">
        <v>498881.17532467534</v>
      </c>
      <c r="C5" s="3">
        <v>125776.48979591837</v>
      </c>
      <c r="D5" s="3">
        <v>300603.90322580643</v>
      </c>
      <c r="E5" s="3">
        <v>807843.12377850164</v>
      </c>
      <c r="G5" s="2" t="s">
        <v>31</v>
      </c>
      <c r="H5" s="3">
        <v>501210.68965517241</v>
      </c>
      <c r="I5" s="3">
        <v>130281.30303030302</v>
      </c>
      <c r="J5" s="3">
        <v>297771.5294117647</v>
      </c>
      <c r="K5" s="3">
        <v>806881.92896174861</v>
      </c>
    </row>
    <row r="6" spans="1:11" x14ac:dyDescent="0.35">
      <c r="A6" s="2" t="s">
        <v>25</v>
      </c>
      <c r="B6" s="3">
        <v>496521.5319148936</v>
      </c>
      <c r="C6" s="3">
        <v>126073.45263157894</v>
      </c>
      <c r="D6" s="3">
        <v>302904.72413793101</v>
      </c>
      <c r="E6" s="3">
        <v>799508.41403508768</v>
      </c>
      <c r="G6" s="2" t="s">
        <v>32</v>
      </c>
      <c r="H6" s="3">
        <v>495112.3823529412</v>
      </c>
      <c r="I6" s="3">
        <v>120842.85483870968</v>
      </c>
      <c r="J6" s="3">
        <v>309876.89411764708</v>
      </c>
      <c r="K6" s="3">
        <v>801695.19393939397</v>
      </c>
    </row>
    <row r="7" spans="1:11" x14ac:dyDescent="0.35">
      <c r="A7" s="2" t="s">
        <v>26</v>
      </c>
      <c r="B7" s="3">
        <v>511190.13793103449</v>
      </c>
      <c r="C7" s="3">
        <v>128414.18181818182</v>
      </c>
      <c r="D7" s="3">
        <v>301744.07500000001</v>
      </c>
      <c r="E7" s="3">
        <v>793484.53</v>
      </c>
      <c r="G7" s="2" t="s">
        <v>33</v>
      </c>
      <c r="H7" s="3">
        <v>500856.77966101695</v>
      </c>
      <c r="I7" s="3">
        <v>124978.05147058824</v>
      </c>
      <c r="J7" s="3">
        <v>300970.04375000001</v>
      </c>
      <c r="K7" s="3">
        <v>802554.48863636365</v>
      </c>
    </row>
    <row r="9" spans="1:11" x14ac:dyDescent="0.35">
      <c r="A9" s="1" t="s">
        <v>38</v>
      </c>
      <c r="B9" s="1" t="s">
        <v>34</v>
      </c>
      <c r="G9" s="1" t="s">
        <v>39</v>
      </c>
      <c r="H9" s="1" t="s">
        <v>34</v>
      </c>
    </row>
    <row r="10" spans="1:11" x14ac:dyDescent="0.35">
      <c r="A10" s="1" t="s">
        <v>6</v>
      </c>
      <c r="B10" t="s">
        <v>27</v>
      </c>
      <c r="C10" t="s">
        <v>28</v>
      </c>
      <c r="D10" t="s">
        <v>25</v>
      </c>
      <c r="E10" t="s">
        <v>29</v>
      </c>
      <c r="G10" s="1" t="s">
        <v>7</v>
      </c>
      <c r="H10" t="s">
        <v>27</v>
      </c>
      <c r="I10" t="s">
        <v>28</v>
      </c>
      <c r="J10" t="s">
        <v>25</v>
      </c>
      <c r="K10" t="s">
        <v>29</v>
      </c>
    </row>
    <row r="11" spans="1:11" x14ac:dyDescent="0.35">
      <c r="A11" s="2" t="s">
        <v>10</v>
      </c>
      <c r="B11" s="3">
        <v>504606.37168141594</v>
      </c>
      <c r="C11" s="3">
        <v>127933.01190476191</v>
      </c>
      <c r="D11" s="3">
        <v>304433.9745762712</v>
      </c>
      <c r="E11" s="3">
        <v>804243.57613168727</v>
      </c>
      <c r="G11" s="2" t="s">
        <v>11</v>
      </c>
      <c r="H11" s="3">
        <v>505993.8</v>
      </c>
      <c r="I11" s="3">
        <v>126989.7356321839</v>
      </c>
      <c r="J11" s="3">
        <v>296688.2839506173</v>
      </c>
      <c r="K11" s="3">
        <v>799933.73239436618</v>
      </c>
    </row>
    <row r="12" spans="1:11" x14ac:dyDescent="0.35">
      <c r="A12" s="2" t="s">
        <v>19</v>
      </c>
      <c r="B12" s="3">
        <v>497631.69306930696</v>
      </c>
      <c r="C12" s="3">
        <v>122468.55223880598</v>
      </c>
      <c r="D12" s="3">
        <v>299638.71287128713</v>
      </c>
      <c r="E12" s="3">
        <v>812552.70731707313</v>
      </c>
      <c r="G12" s="2" t="s">
        <v>15</v>
      </c>
      <c r="H12" s="3">
        <v>501672.18181818182</v>
      </c>
      <c r="I12" s="3">
        <v>126726.84</v>
      </c>
      <c r="J12" s="3">
        <v>307156.34736842103</v>
      </c>
      <c r="K12" s="3">
        <v>808411.25</v>
      </c>
    </row>
    <row r="13" spans="1:11" x14ac:dyDescent="0.35">
      <c r="A13" s="2" t="s">
        <v>14</v>
      </c>
      <c r="B13" s="3">
        <v>502393.81443298969</v>
      </c>
      <c r="C13" s="3">
        <v>132083.09090909091</v>
      </c>
      <c r="D13" s="3">
        <v>302289.24705882353</v>
      </c>
      <c r="E13" s="3">
        <v>791863.05957446806</v>
      </c>
      <c r="G13" s="2" t="s">
        <v>13</v>
      </c>
      <c r="H13" s="3">
        <v>499692.68888888886</v>
      </c>
      <c r="I13" s="3">
        <v>127155.89393939394</v>
      </c>
      <c r="J13" s="3">
        <v>297163.7087378641</v>
      </c>
      <c r="K13" s="3">
        <v>791572.23267326737</v>
      </c>
    </row>
    <row r="14" spans="1:11" x14ac:dyDescent="0.35">
      <c r="A14" s="2" t="s">
        <v>17</v>
      </c>
      <c r="B14" s="3">
        <v>502645.88679245283</v>
      </c>
      <c r="C14" s="3">
        <v>123177.81052631579</v>
      </c>
      <c r="D14" s="3">
        <v>300634.81395348837</v>
      </c>
      <c r="E14" s="3">
        <v>812426.11616161617</v>
      </c>
      <c r="G14" s="2" t="s">
        <v>18</v>
      </c>
      <c r="H14" s="3">
        <v>498743.90816326533</v>
      </c>
      <c r="I14" s="3">
        <v>124121.82142857143</v>
      </c>
      <c r="J14" s="3">
        <v>305553.45045045047</v>
      </c>
      <c r="K14" s="3">
        <v>817521.36915887846</v>
      </c>
    </row>
    <row r="16" spans="1:11" x14ac:dyDescent="0.35">
      <c r="A16" s="1" t="s">
        <v>40</v>
      </c>
      <c r="B16" s="1" t="s">
        <v>41</v>
      </c>
    </row>
    <row r="17" spans="1:6" x14ac:dyDescent="0.35">
      <c r="A17" s="1" t="s">
        <v>4</v>
      </c>
      <c r="B17" t="s">
        <v>12</v>
      </c>
      <c r="C17" t="s">
        <v>16</v>
      </c>
    </row>
    <row r="18" spans="1:6" x14ac:dyDescent="0.35">
      <c r="A18" s="2">
        <v>1</v>
      </c>
      <c r="B18" s="3">
        <v>526216.89504373178</v>
      </c>
      <c r="C18" s="3">
        <v>514154.85849056602</v>
      </c>
    </row>
    <row r="19" spans="1:6" x14ac:dyDescent="0.35">
      <c r="A19" s="2">
        <v>2</v>
      </c>
      <c r="B19" s="3">
        <v>539739.76619718305</v>
      </c>
      <c r="C19" s="3">
        <v>529040.84523809527</v>
      </c>
    </row>
    <row r="20" spans="1:6" x14ac:dyDescent="0.35">
      <c r="A20" s="2">
        <v>3</v>
      </c>
      <c r="B20" s="3">
        <v>544775.51470588241</v>
      </c>
      <c r="C20" s="3">
        <v>573931.99350649351</v>
      </c>
    </row>
    <row r="25" spans="1:6" x14ac:dyDescent="0.35">
      <c r="A25" s="2"/>
      <c r="B25" s="3"/>
      <c r="C25" s="3"/>
      <c r="D25" s="3"/>
      <c r="E25" s="3"/>
      <c r="F2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2795-315C-4CE0-959B-9E61B359993F}">
  <dimension ref="A1:Z44"/>
  <sheetViews>
    <sheetView showGridLines="0" showRowColHeaders="0" tabSelected="1" zoomScaleNormal="100" workbookViewId="0">
      <selection activeCell="T45" sqref="T45"/>
    </sheetView>
  </sheetViews>
  <sheetFormatPr defaultRowHeight="14.5" x14ac:dyDescent="0.35"/>
  <sheetData>
    <row r="1" spans="1:26" ht="14.5" customHeight="1" x14ac:dyDescent="0.35">
      <c r="A1" s="5" t="s">
        <v>48</v>
      </c>
      <c r="B1" s="7"/>
      <c r="C1" s="7"/>
      <c r="D1" s="7"/>
      <c r="E1" s="7"/>
      <c r="F1" s="7"/>
      <c r="G1" s="7"/>
      <c r="H1" s="7"/>
      <c r="I1" s="7"/>
      <c r="J1" s="7"/>
      <c r="K1" s="7"/>
      <c r="L1" s="7"/>
      <c r="M1" s="7"/>
      <c r="N1" s="7"/>
      <c r="O1" s="7"/>
      <c r="P1" s="7"/>
      <c r="Q1" s="7"/>
      <c r="R1" s="7"/>
      <c r="S1" s="7"/>
      <c r="T1" s="7"/>
      <c r="U1" s="8" t="s">
        <v>46</v>
      </c>
      <c r="V1" s="9"/>
      <c r="W1" s="9"/>
      <c r="X1" s="9"/>
      <c r="Y1" s="9"/>
      <c r="Z1" s="9"/>
    </row>
    <row r="2" spans="1:26" x14ac:dyDescent="0.35">
      <c r="A2" s="7"/>
      <c r="B2" s="7"/>
      <c r="C2" s="7"/>
      <c r="D2" s="7"/>
      <c r="E2" s="7"/>
      <c r="F2" s="7"/>
      <c r="G2" s="7"/>
      <c r="H2" s="7"/>
      <c r="I2" s="7"/>
      <c r="J2" s="7"/>
      <c r="K2" s="7"/>
      <c r="L2" s="7"/>
      <c r="M2" s="7"/>
      <c r="N2" s="7"/>
      <c r="O2" s="7"/>
      <c r="P2" s="7"/>
      <c r="Q2" s="7"/>
      <c r="R2" s="7"/>
      <c r="S2" s="7"/>
      <c r="T2" s="7"/>
      <c r="U2" s="9"/>
      <c r="V2" s="9"/>
      <c r="W2" s="9"/>
      <c r="X2" s="9"/>
      <c r="Y2" s="9"/>
      <c r="Z2" s="9"/>
    </row>
    <row r="3" spans="1:26" x14ac:dyDescent="0.35">
      <c r="A3" s="7"/>
      <c r="B3" s="7"/>
      <c r="C3" s="7"/>
      <c r="D3" s="7"/>
      <c r="E3" s="7"/>
      <c r="F3" s="7"/>
      <c r="G3" s="7"/>
      <c r="H3" s="7"/>
      <c r="I3" s="7"/>
      <c r="J3" s="7"/>
      <c r="K3" s="7"/>
      <c r="L3" s="7"/>
      <c r="M3" s="7"/>
      <c r="N3" s="7"/>
      <c r="O3" s="7"/>
      <c r="P3" s="7"/>
      <c r="Q3" s="7"/>
      <c r="R3" s="7"/>
      <c r="S3" s="7"/>
      <c r="T3" s="7"/>
      <c r="U3" s="10" t="s">
        <v>45</v>
      </c>
      <c r="V3" s="10"/>
      <c r="W3" s="10"/>
      <c r="X3" s="10"/>
      <c r="Y3" s="10"/>
      <c r="Z3" s="10"/>
    </row>
    <row r="4" spans="1:26" x14ac:dyDescent="0.35">
      <c r="A4" s="7"/>
      <c r="B4" s="7"/>
      <c r="C4" s="7"/>
      <c r="D4" s="7"/>
      <c r="E4" s="7"/>
      <c r="F4" s="7"/>
      <c r="G4" s="7"/>
      <c r="H4" s="7"/>
      <c r="I4" s="7"/>
      <c r="J4" s="7"/>
      <c r="K4" s="7"/>
      <c r="L4" s="7"/>
      <c r="M4" s="7"/>
      <c r="N4" s="7"/>
      <c r="O4" s="7"/>
      <c r="P4" s="7"/>
      <c r="Q4" s="7"/>
      <c r="R4" s="7"/>
      <c r="S4" s="7"/>
      <c r="T4" s="7"/>
      <c r="U4" s="10"/>
      <c r="V4" s="10"/>
      <c r="W4" s="10"/>
      <c r="X4" s="10"/>
      <c r="Y4" s="10"/>
      <c r="Z4" s="10"/>
    </row>
    <row r="5" spans="1:26" x14ac:dyDescent="0.35">
      <c r="A5" s="6"/>
      <c r="B5" s="6"/>
      <c r="C5" s="6"/>
      <c r="D5" s="6"/>
      <c r="E5" s="6"/>
      <c r="F5" s="6"/>
      <c r="G5" s="6"/>
      <c r="H5" s="6"/>
      <c r="I5" s="6"/>
      <c r="J5" s="6"/>
      <c r="K5" s="6"/>
      <c r="L5" s="6"/>
      <c r="M5" s="6"/>
      <c r="N5" s="6"/>
      <c r="O5" s="6"/>
      <c r="P5" s="6"/>
      <c r="Q5" s="6"/>
      <c r="R5" s="6"/>
      <c r="S5" s="6"/>
      <c r="T5" s="6"/>
      <c r="U5" s="10"/>
      <c r="V5" s="10"/>
      <c r="W5" s="10"/>
      <c r="X5" s="10"/>
      <c r="Y5" s="10"/>
      <c r="Z5" s="10"/>
    </row>
    <row r="6" spans="1:26" x14ac:dyDescent="0.35">
      <c r="A6" s="6"/>
      <c r="B6" s="6"/>
      <c r="C6" s="6"/>
      <c r="D6" s="6"/>
      <c r="E6" s="6"/>
      <c r="F6" s="6"/>
      <c r="G6" s="6"/>
      <c r="H6" s="6"/>
      <c r="I6" s="6"/>
      <c r="J6" s="6"/>
      <c r="K6" s="6"/>
      <c r="L6" s="6"/>
      <c r="M6" s="6"/>
      <c r="N6" s="6"/>
      <c r="O6" s="6"/>
      <c r="P6" s="6"/>
      <c r="Q6" s="6"/>
      <c r="R6" s="6"/>
      <c r="S6" s="6"/>
      <c r="T6" s="6"/>
      <c r="U6" s="10"/>
      <c r="V6" s="10"/>
      <c r="W6" s="10"/>
      <c r="X6" s="10"/>
      <c r="Y6" s="10"/>
      <c r="Z6" s="10"/>
    </row>
    <row r="7" spans="1:26" ht="14.5" customHeight="1" x14ac:dyDescent="0.35">
      <c r="A7" s="6"/>
      <c r="B7" s="6"/>
      <c r="C7" s="6"/>
      <c r="D7" s="6"/>
      <c r="E7" s="6"/>
      <c r="F7" s="6"/>
      <c r="G7" s="6"/>
      <c r="H7" s="6"/>
      <c r="I7" s="6"/>
      <c r="J7" s="6"/>
      <c r="K7" s="6"/>
      <c r="L7" s="6"/>
      <c r="M7" s="6"/>
      <c r="N7" s="6"/>
      <c r="O7" s="6"/>
      <c r="P7" s="6"/>
      <c r="Q7" s="6"/>
      <c r="R7" s="6"/>
      <c r="S7" s="6"/>
      <c r="T7" s="6"/>
      <c r="U7" s="10"/>
      <c r="V7" s="10"/>
      <c r="W7" s="10"/>
      <c r="X7" s="10"/>
      <c r="Y7" s="10"/>
      <c r="Z7" s="10"/>
    </row>
    <row r="8" spans="1:26" ht="14.5" customHeight="1" x14ac:dyDescent="0.35">
      <c r="A8" s="6"/>
      <c r="B8" s="6"/>
      <c r="C8" s="6"/>
      <c r="D8" s="6"/>
      <c r="E8" s="6"/>
      <c r="F8" s="6"/>
      <c r="G8" s="6"/>
      <c r="H8" s="6"/>
      <c r="I8" s="6"/>
      <c r="J8" s="6"/>
      <c r="K8" s="6"/>
      <c r="L8" s="6"/>
      <c r="M8" s="6"/>
      <c r="N8" s="6"/>
      <c r="O8" s="6"/>
      <c r="P8" s="6"/>
      <c r="Q8" s="6"/>
      <c r="R8" s="6"/>
      <c r="S8" s="6"/>
      <c r="T8" s="6"/>
      <c r="U8" s="10"/>
      <c r="V8" s="10"/>
      <c r="W8" s="10"/>
      <c r="X8" s="10"/>
      <c r="Y8" s="10"/>
      <c r="Z8" s="10"/>
    </row>
    <row r="9" spans="1:26" x14ac:dyDescent="0.35">
      <c r="A9" s="6"/>
      <c r="B9" s="6"/>
      <c r="C9" s="6"/>
      <c r="D9" s="6"/>
      <c r="E9" s="6"/>
      <c r="F9" s="6"/>
      <c r="G9" s="6"/>
      <c r="H9" s="6"/>
      <c r="I9" s="6"/>
      <c r="J9" s="6"/>
      <c r="K9" s="6"/>
      <c r="L9" s="6"/>
      <c r="M9" s="6"/>
      <c r="N9" s="6"/>
      <c r="O9" s="6"/>
      <c r="P9" s="6"/>
      <c r="Q9" s="6"/>
      <c r="R9" s="6"/>
      <c r="S9" s="6"/>
      <c r="T9" s="6"/>
      <c r="U9" s="11" t="s">
        <v>43</v>
      </c>
      <c r="V9" s="11"/>
      <c r="W9" s="11"/>
      <c r="X9" s="11"/>
      <c r="Y9" s="11"/>
      <c r="Z9" s="11"/>
    </row>
    <row r="10" spans="1:26" x14ac:dyDescent="0.35">
      <c r="A10" s="6"/>
      <c r="B10" s="6"/>
      <c r="C10" s="6"/>
      <c r="D10" s="6"/>
      <c r="E10" s="6"/>
      <c r="F10" s="6"/>
      <c r="G10" s="6"/>
      <c r="H10" s="6"/>
      <c r="I10" s="6"/>
      <c r="J10" s="6"/>
      <c r="K10" s="6"/>
      <c r="L10" s="6"/>
      <c r="M10" s="6"/>
      <c r="N10" s="6"/>
      <c r="O10" s="6"/>
      <c r="P10" s="6"/>
      <c r="Q10" s="6"/>
      <c r="R10" s="6"/>
      <c r="S10" s="6"/>
      <c r="T10" s="6"/>
      <c r="U10" s="11"/>
      <c r="V10" s="11"/>
      <c r="W10" s="11"/>
      <c r="X10" s="11"/>
      <c r="Y10" s="11"/>
      <c r="Z10" s="11"/>
    </row>
    <row r="11" spans="1:26" x14ac:dyDescent="0.35">
      <c r="A11" s="6"/>
      <c r="B11" s="6"/>
      <c r="C11" s="6"/>
      <c r="D11" s="6"/>
      <c r="E11" s="6"/>
      <c r="F11" s="6"/>
      <c r="G11" s="6"/>
      <c r="H11" s="6"/>
      <c r="I11" s="6"/>
      <c r="J11" s="6"/>
      <c r="K11" s="6"/>
      <c r="L11" s="6"/>
      <c r="M11" s="6"/>
      <c r="N11" s="6"/>
      <c r="O11" s="6"/>
      <c r="P11" s="6"/>
      <c r="Q11" s="6"/>
      <c r="R11" s="6"/>
      <c r="S11" s="6"/>
      <c r="T11" s="6"/>
      <c r="U11" s="11"/>
      <c r="V11" s="11"/>
      <c r="W11" s="11"/>
      <c r="X11" s="11"/>
      <c r="Y11" s="11"/>
      <c r="Z11" s="11"/>
    </row>
    <row r="12" spans="1:26" x14ac:dyDescent="0.35">
      <c r="A12" s="6"/>
      <c r="B12" s="6"/>
      <c r="C12" s="6"/>
      <c r="D12" s="6"/>
      <c r="E12" s="6"/>
      <c r="F12" s="6"/>
      <c r="G12" s="6"/>
      <c r="H12" s="6"/>
      <c r="I12" s="6"/>
      <c r="J12" s="6"/>
      <c r="K12" s="6"/>
      <c r="L12" s="6"/>
      <c r="M12" s="6"/>
      <c r="N12" s="6"/>
      <c r="O12" s="6"/>
      <c r="P12" s="6"/>
      <c r="Q12" s="6"/>
      <c r="R12" s="6"/>
      <c r="S12" s="6"/>
      <c r="T12" s="6"/>
      <c r="U12" s="11"/>
      <c r="V12" s="11"/>
      <c r="W12" s="11"/>
      <c r="X12" s="11"/>
      <c r="Y12" s="11"/>
      <c r="Z12" s="11"/>
    </row>
    <row r="13" spans="1:26" ht="14.5" customHeight="1" x14ac:dyDescent="0.35">
      <c r="A13" s="6"/>
      <c r="B13" s="6"/>
      <c r="C13" s="6"/>
      <c r="D13" s="6"/>
      <c r="E13" s="6"/>
      <c r="F13" s="6"/>
      <c r="G13" s="6"/>
      <c r="H13" s="6"/>
      <c r="I13" s="6"/>
      <c r="J13" s="6"/>
      <c r="K13" s="6"/>
      <c r="L13" s="6"/>
      <c r="M13" s="6"/>
      <c r="N13" s="6"/>
      <c r="O13" s="6"/>
      <c r="P13" s="6"/>
      <c r="Q13" s="6"/>
      <c r="R13" s="6"/>
      <c r="S13" s="6"/>
      <c r="T13" s="6"/>
      <c r="U13" s="11"/>
      <c r="V13" s="11"/>
      <c r="W13" s="11"/>
      <c r="X13" s="11"/>
      <c r="Y13" s="11"/>
      <c r="Z13" s="11"/>
    </row>
    <row r="14" spans="1:26" ht="14.5" customHeight="1" x14ac:dyDescent="0.35">
      <c r="A14" s="6"/>
      <c r="B14" s="6"/>
      <c r="C14" s="6"/>
      <c r="D14" s="6"/>
      <c r="E14" s="6"/>
      <c r="F14" s="6"/>
      <c r="G14" s="6"/>
      <c r="H14" s="6"/>
      <c r="I14" s="6"/>
      <c r="J14" s="6"/>
      <c r="K14" s="6"/>
      <c r="L14" s="6"/>
      <c r="M14" s="6"/>
      <c r="N14" s="6"/>
      <c r="O14" s="6"/>
      <c r="P14" s="6"/>
      <c r="Q14" s="6"/>
      <c r="R14" s="6"/>
      <c r="S14" s="6"/>
      <c r="T14" s="6"/>
      <c r="U14" s="12" t="s">
        <v>44</v>
      </c>
      <c r="V14" s="13"/>
      <c r="W14" s="13"/>
      <c r="X14" s="13"/>
      <c r="Y14" s="13"/>
      <c r="Z14" s="13"/>
    </row>
    <row r="15" spans="1:26" x14ac:dyDescent="0.35">
      <c r="A15" s="6"/>
      <c r="B15" s="6"/>
      <c r="C15" s="6"/>
      <c r="D15" s="6"/>
      <c r="E15" s="6"/>
      <c r="F15" s="6"/>
      <c r="G15" s="6"/>
      <c r="H15" s="6"/>
      <c r="I15" s="6"/>
      <c r="J15" s="6"/>
      <c r="K15" s="6"/>
      <c r="L15" s="6"/>
      <c r="M15" s="6"/>
      <c r="N15" s="6"/>
      <c r="O15" s="6"/>
      <c r="P15" s="6"/>
      <c r="Q15" s="6"/>
      <c r="R15" s="6"/>
      <c r="S15" s="6"/>
      <c r="T15" s="6"/>
      <c r="U15" s="13"/>
      <c r="V15" s="13"/>
      <c r="W15" s="13"/>
      <c r="X15" s="13"/>
      <c r="Y15" s="13"/>
      <c r="Z15" s="13"/>
    </row>
    <row r="16" spans="1:26" x14ac:dyDescent="0.35">
      <c r="A16" s="6"/>
      <c r="B16" s="6"/>
      <c r="C16" s="6"/>
      <c r="D16" s="6"/>
      <c r="E16" s="6"/>
      <c r="F16" s="6"/>
      <c r="G16" s="6"/>
      <c r="H16" s="6"/>
      <c r="I16" s="6"/>
      <c r="J16" s="6"/>
      <c r="K16" s="6"/>
      <c r="L16" s="6"/>
      <c r="M16" s="6"/>
      <c r="N16" s="6"/>
      <c r="O16" s="6"/>
      <c r="P16" s="6"/>
      <c r="Q16" s="6"/>
      <c r="R16" s="6"/>
      <c r="S16" s="6"/>
      <c r="T16" s="6"/>
      <c r="U16" s="13"/>
      <c r="V16" s="13"/>
      <c r="W16" s="13"/>
      <c r="X16" s="13"/>
      <c r="Y16" s="13"/>
      <c r="Z16" s="13"/>
    </row>
    <row r="17" spans="1:26" x14ac:dyDescent="0.35">
      <c r="A17" s="6"/>
      <c r="B17" s="6"/>
      <c r="C17" s="6"/>
      <c r="D17" s="6"/>
      <c r="E17" s="6"/>
      <c r="F17" s="6"/>
      <c r="G17" s="6"/>
      <c r="H17" s="6"/>
      <c r="I17" s="6"/>
      <c r="J17" s="6"/>
      <c r="K17" s="6"/>
      <c r="L17" s="6"/>
      <c r="M17" s="6"/>
      <c r="N17" s="6"/>
      <c r="O17" s="6"/>
      <c r="P17" s="6"/>
      <c r="Q17" s="6"/>
      <c r="R17" s="6"/>
      <c r="S17" s="6"/>
      <c r="T17" s="6"/>
      <c r="U17" s="13"/>
      <c r="V17" s="13"/>
      <c r="W17" s="13"/>
      <c r="X17" s="13"/>
      <c r="Y17" s="13"/>
      <c r="Z17" s="13"/>
    </row>
    <row r="18" spans="1:26" ht="14.5" customHeight="1" x14ac:dyDescent="0.35">
      <c r="A18" s="6"/>
      <c r="B18" s="6"/>
      <c r="C18" s="6"/>
      <c r="D18" s="6"/>
      <c r="E18" s="6"/>
      <c r="F18" s="6"/>
      <c r="G18" s="6"/>
      <c r="H18" s="6"/>
      <c r="I18" s="6"/>
      <c r="J18" s="6"/>
      <c r="K18" s="6"/>
      <c r="L18" s="6"/>
      <c r="M18" s="6"/>
      <c r="N18" s="6"/>
      <c r="O18" s="6"/>
      <c r="P18" s="6"/>
      <c r="Q18" s="6"/>
      <c r="R18" s="6"/>
      <c r="S18" s="6"/>
      <c r="T18" s="6"/>
      <c r="U18" s="13"/>
      <c r="V18" s="13"/>
      <c r="W18" s="13"/>
      <c r="X18" s="13"/>
      <c r="Y18" s="13"/>
      <c r="Z18" s="13"/>
    </row>
    <row r="19" spans="1:26" x14ac:dyDescent="0.35">
      <c r="A19" s="6"/>
      <c r="B19" s="6"/>
      <c r="C19" s="6"/>
      <c r="D19" s="6"/>
      <c r="E19" s="6"/>
      <c r="F19" s="6"/>
      <c r="G19" s="6"/>
      <c r="H19" s="6"/>
      <c r="I19" s="6"/>
      <c r="J19" s="6"/>
      <c r="K19" s="6"/>
      <c r="L19" s="6"/>
      <c r="M19" s="6"/>
      <c r="N19" s="6"/>
      <c r="O19" s="6"/>
      <c r="P19" s="6"/>
      <c r="Q19" s="6"/>
      <c r="R19" s="6"/>
      <c r="S19" s="6"/>
      <c r="T19" s="6"/>
      <c r="U19" s="13"/>
      <c r="V19" s="13"/>
      <c r="W19" s="13"/>
      <c r="X19" s="13"/>
      <c r="Y19" s="13"/>
      <c r="Z19" s="13"/>
    </row>
    <row r="20" spans="1:26" ht="17" customHeight="1" x14ac:dyDescent="0.35">
      <c r="A20" s="6"/>
      <c r="B20" s="6"/>
      <c r="C20" s="6"/>
      <c r="D20" s="6"/>
      <c r="E20" s="6"/>
      <c r="F20" s="6"/>
      <c r="G20" s="6"/>
      <c r="H20" s="6"/>
      <c r="I20" s="6"/>
      <c r="J20" s="6"/>
      <c r="K20" s="6"/>
      <c r="L20" s="6"/>
      <c r="M20" s="6"/>
      <c r="N20" s="6"/>
      <c r="O20" s="6"/>
      <c r="P20" s="6"/>
      <c r="Q20" s="6"/>
      <c r="R20" s="6"/>
      <c r="S20" s="6"/>
      <c r="T20" s="6"/>
      <c r="U20" s="14" t="s">
        <v>47</v>
      </c>
      <c r="V20" s="15"/>
      <c r="W20" s="15"/>
      <c r="X20" s="15"/>
      <c r="Y20" s="15"/>
      <c r="Z20" s="15"/>
    </row>
    <row r="21" spans="1:26" ht="14.5" customHeight="1" x14ac:dyDescent="0.35">
      <c r="A21" s="6"/>
      <c r="B21" s="6"/>
      <c r="C21" s="6"/>
      <c r="D21" s="6"/>
      <c r="E21" s="6"/>
      <c r="F21" s="6"/>
      <c r="G21" s="6"/>
      <c r="H21" s="6"/>
      <c r="I21" s="6"/>
      <c r="J21" s="6"/>
      <c r="K21" s="6"/>
      <c r="L21" s="6"/>
      <c r="M21" s="6"/>
      <c r="N21" s="6"/>
      <c r="O21" s="6"/>
      <c r="P21" s="6"/>
      <c r="Q21" s="6"/>
      <c r="R21" s="6"/>
      <c r="S21" s="6"/>
      <c r="T21" s="6"/>
      <c r="U21" s="15"/>
      <c r="V21" s="15"/>
      <c r="W21" s="15"/>
      <c r="X21" s="15"/>
      <c r="Y21" s="15"/>
      <c r="Z21" s="15"/>
    </row>
    <row r="22" spans="1:26" x14ac:dyDescent="0.35">
      <c r="A22" s="6"/>
      <c r="B22" s="6"/>
      <c r="C22" s="6"/>
      <c r="D22" s="6"/>
      <c r="E22" s="6"/>
      <c r="F22" s="6"/>
      <c r="G22" s="6"/>
      <c r="H22" s="6"/>
      <c r="I22" s="6"/>
      <c r="J22" s="6"/>
      <c r="K22" s="6"/>
      <c r="L22" s="6"/>
      <c r="M22" s="6"/>
      <c r="N22" s="6"/>
      <c r="O22" s="6"/>
      <c r="P22" s="6"/>
      <c r="Q22" s="6"/>
      <c r="R22" s="6"/>
      <c r="S22" s="6"/>
      <c r="T22" s="6"/>
      <c r="U22" s="15"/>
      <c r="V22" s="15"/>
      <c r="W22" s="15"/>
      <c r="X22" s="15"/>
      <c r="Y22" s="15"/>
      <c r="Z22" s="15"/>
    </row>
    <row r="23" spans="1:26" x14ac:dyDescent="0.35">
      <c r="A23" s="6"/>
      <c r="B23" s="6"/>
      <c r="C23" s="6"/>
      <c r="D23" s="6"/>
      <c r="E23" s="6"/>
      <c r="F23" s="6"/>
      <c r="G23" s="6"/>
      <c r="H23" s="6"/>
      <c r="I23" s="6"/>
      <c r="J23" s="6"/>
      <c r="K23" s="6"/>
      <c r="L23" s="6"/>
      <c r="M23" s="6"/>
      <c r="N23" s="6"/>
      <c r="O23" s="6"/>
      <c r="P23" s="6"/>
      <c r="Q23" s="6"/>
      <c r="R23" s="6"/>
      <c r="S23" s="6"/>
      <c r="T23" s="6"/>
      <c r="U23" s="15"/>
      <c r="V23" s="15"/>
      <c r="W23" s="15"/>
      <c r="X23" s="15"/>
      <c r="Y23" s="15"/>
      <c r="Z23" s="15"/>
    </row>
    <row r="24" spans="1:26" ht="14.5" customHeight="1" x14ac:dyDescent="0.35">
      <c r="A24" s="6"/>
      <c r="B24" s="6"/>
      <c r="C24" s="6"/>
      <c r="D24" s="6"/>
      <c r="E24" s="6"/>
      <c r="F24" s="6"/>
      <c r="G24" s="6"/>
      <c r="H24" s="6"/>
      <c r="I24" s="6"/>
      <c r="J24" s="6"/>
      <c r="K24" s="6"/>
      <c r="L24" s="6"/>
      <c r="M24" s="6"/>
      <c r="N24" s="6"/>
      <c r="O24" s="6"/>
      <c r="P24" s="6"/>
      <c r="Q24" s="6"/>
      <c r="R24" s="6"/>
      <c r="S24" s="6"/>
      <c r="T24" s="6"/>
      <c r="U24" s="15"/>
      <c r="V24" s="15"/>
      <c r="W24" s="15"/>
      <c r="X24" s="15"/>
      <c r="Y24" s="15"/>
      <c r="Z24" s="15"/>
    </row>
    <row r="25" spans="1:26" ht="14.5" customHeight="1" x14ac:dyDescent="0.35">
      <c r="A25" s="6"/>
      <c r="B25" s="6"/>
      <c r="C25" s="6"/>
      <c r="D25" s="6"/>
      <c r="E25" s="6"/>
      <c r="F25" s="6"/>
      <c r="G25" s="6"/>
      <c r="H25" s="6"/>
      <c r="I25" s="6"/>
      <c r="J25" s="6"/>
      <c r="K25" s="6"/>
      <c r="L25" s="6"/>
      <c r="M25" s="6"/>
      <c r="N25" s="6"/>
      <c r="O25" s="6"/>
      <c r="P25" s="6"/>
      <c r="Q25" s="6"/>
      <c r="R25" s="6"/>
      <c r="S25" s="6"/>
      <c r="T25" s="6"/>
      <c r="U25" s="11" t="s">
        <v>42</v>
      </c>
      <c r="V25" s="11"/>
      <c r="W25" s="11"/>
      <c r="X25" s="11"/>
      <c r="Y25" s="11"/>
      <c r="Z25" s="11"/>
    </row>
    <row r="26" spans="1:26" x14ac:dyDescent="0.35">
      <c r="A26" s="6"/>
      <c r="B26" s="6"/>
      <c r="C26" s="6"/>
      <c r="D26" s="6"/>
      <c r="E26" s="6"/>
      <c r="F26" s="6"/>
      <c r="G26" s="6"/>
      <c r="H26" s="6"/>
      <c r="I26" s="6"/>
      <c r="J26" s="6"/>
      <c r="K26" s="6"/>
      <c r="L26" s="6"/>
      <c r="M26" s="6"/>
      <c r="N26" s="6"/>
      <c r="O26" s="6"/>
      <c r="P26" s="6"/>
      <c r="Q26" s="6"/>
      <c r="R26" s="6"/>
      <c r="S26" s="6"/>
      <c r="T26" s="6"/>
      <c r="U26" s="11"/>
      <c r="V26" s="11"/>
      <c r="W26" s="11"/>
      <c r="X26" s="11"/>
      <c r="Y26" s="11"/>
      <c r="Z26" s="11"/>
    </row>
    <row r="27" spans="1:26" x14ac:dyDescent="0.35">
      <c r="A27" s="6"/>
      <c r="B27" s="6"/>
      <c r="C27" s="6"/>
      <c r="D27" s="6"/>
      <c r="E27" s="6"/>
      <c r="F27" s="6"/>
      <c r="G27" s="6"/>
      <c r="H27" s="6"/>
      <c r="I27" s="6"/>
      <c r="J27" s="6"/>
      <c r="K27" s="6"/>
      <c r="L27" s="6"/>
      <c r="M27" s="6"/>
      <c r="N27" s="6"/>
      <c r="O27" s="6"/>
      <c r="P27" s="6"/>
      <c r="Q27" s="6"/>
      <c r="R27" s="6"/>
      <c r="S27" s="6"/>
      <c r="T27" s="6"/>
      <c r="U27" s="11"/>
      <c r="V27" s="11"/>
      <c r="W27" s="11"/>
      <c r="X27" s="11"/>
      <c r="Y27" s="11"/>
      <c r="Z27" s="11"/>
    </row>
    <row r="28" spans="1:26" ht="14.5" customHeight="1" x14ac:dyDescent="0.35">
      <c r="A28" s="6"/>
      <c r="B28" s="6"/>
      <c r="C28" s="6"/>
      <c r="D28" s="6"/>
      <c r="E28" s="6"/>
      <c r="F28" s="6"/>
      <c r="G28" s="6"/>
      <c r="H28" s="6"/>
      <c r="I28" s="6"/>
      <c r="J28" s="6"/>
      <c r="K28" s="6"/>
      <c r="L28" s="6"/>
      <c r="M28" s="6"/>
      <c r="N28" s="6"/>
      <c r="O28" s="6"/>
      <c r="P28" s="6"/>
      <c r="Q28" s="6"/>
      <c r="R28" s="6"/>
      <c r="S28" s="6"/>
      <c r="T28" s="6"/>
      <c r="U28" s="11"/>
      <c r="V28" s="11"/>
      <c r="W28" s="11"/>
      <c r="X28" s="11"/>
      <c r="Y28" s="11"/>
      <c r="Z28" s="11"/>
    </row>
    <row r="29" spans="1:26" x14ac:dyDescent="0.35">
      <c r="A29" s="6"/>
      <c r="B29" s="6"/>
      <c r="C29" s="6"/>
      <c r="D29" s="6"/>
      <c r="E29" s="6"/>
      <c r="F29" s="6"/>
      <c r="G29" s="6"/>
      <c r="H29" s="6"/>
      <c r="I29" s="6"/>
      <c r="J29" s="6"/>
      <c r="K29" s="6"/>
      <c r="L29" s="6"/>
      <c r="M29" s="6"/>
      <c r="N29" s="6"/>
      <c r="O29" s="6"/>
      <c r="P29" s="6"/>
      <c r="Q29" s="6"/>
      <c r="R29" s="6"/>
      <c r="S29" s="6"/>
      <c r="T29" s="6"/>
      <c r="U29" s="11"/>
      <c r="V29" s="11"/>
      <c r="W29" s="11"/>
      <c r="X29" s="11"/>
      <c r="Y29" s="11"/>
      <c r="Z29" s="11"/>
    </row>
    <row r="30" spans="1:26" x14ac:dyDescent="0.35">
      <c r="A30" s="6"/>
      <c r="B30" s="6"/>
      <c r="C30" s="6"/>
      <c r="D30" s="6"/>
      <c r="E30" s="6"/>
      <c r="F30" s="6"/>
      <c r="G30" s="6"/>
      <c r="H30" s="6"/>
      <c r="I30" s="6"/>
      <c r="J30" s="6"/>
      <c r="K30" s="6"/>
      <c r="L30" s="6"/>
      <c r="M30" s="6"/>
      <c r="N30" s="6"/>
      <c r="O30" s="6"/>
      <c r="P30" s="6"/>
      <c r="Q30" s="6"/>
      <c r="R30" s="6"/>
      <c r="S30" s="6"/>
      <c r="T30" s="6"/>
      <c r="U30" s="11"/>
      <c r="V30" s="11"/>
      <c r="W30" s="11"/>
      <c r="X30" s="11"/>
      <c r="Y30" s="11"/>
      <c r="Z30" s="11"/>
    </row>
    <row r="31" spans="1:26" x14ac:dyDescent="0.35">
      <c r="A31" s="6"/>
      <c r="B31" s="6"/>
      <c r="C31" s="6"/>
      <c r="D31" s="6"/>
      <c r="E31" s="6"/>
      <c r="F31" s="6"/>
      <c r="G31" s="6"/>
      <c r="H31" s="6"/>
      <c r="I31" s="6"/>
      <c r="J31" s="6"/>
      <c r="K31" s="6"/>
      <c r="L31" s="6"/>
      <c r="M31" s="6"/>
      <c r="N31" s="6"/>
      <c r="O31" s="6"/>
      <c r="P31" s="6"/>
      <c r="Q31" s="6"/>
      <c r="R31" s="6"/>
      <c r="S31" s="6"/>
      <c r="T31" s="6"/>
      <c r="U31" s="16"/>
      <c r="V31" s="16"/>
      <c r="W31" s="16"/>
      <c r="X31" s="16"/>
      <c r="Y31" s="16"/>
      <c r="Z31" s="16"/>
    </row>
    <row r="32" spans="1:26" x14ac:dyDescent="0.35">
      <c r="A32" s="6"/>
      <c r="B32" s="6"/>
      <c r="C32" s="6"/>
      <c r="D32" s="6"/>
      <c r="E32" s="6"/>
      <c r="F32" s="6"/>
      <c r="G32" s="6"/>
      <c r="H32" s="6"/>
      <c r="I32" s="6"/>
      <c r="J32" s="6"/>
      <c r="K32" s="6"/>
      <c r="L32" s="6"/>
      <c r="M32" s="6"/>
      <c r="N32" s="6"/>
      <c r="O32" s="6"/>
      <c r="P32" s="6"/>
      <c r="Q32" s="6"/>
      <c r="R32" s="6"/>
      <c r="S32" s="6"/>
      <c r="T32" s="6"/>
      <c r="U32" s="16"/>
      <c r="V32" s="16"/>
      <c r="W32" s="16"/>
      <c r="X32" s="16"/>
      <c r="Y32" s="16"/>
      <c r="Z32" s="16"/>
    </row>
    <row r="33" spans="1:26" x14ac:dyDescent="0.35">
      <c r="A33" s="6"/>
      <c r="B33" s="6"/>
      <c r="C33" s="6"/>
      <c r="D33" s="6"/>
      <c r="E33" s="6"/>
      <c r="F33" s="6"/>
      <c r="G33" s="6"/>
      <c r="H33" s="6"/>
      <c r="I33" s="6"/>
      <c r="J33" s="6"/>
      <c r="K33" s="6"/>
      <c r="L33" s="6"/>
      <c r="M33" s="6"/>
      <c r="N33" s="6"/>
      <c r="O33" s="6"/>
      <c r="P33" s="6"/>
      <c r="Q33" s="6"/>
      <c r="R33" s="6"/>
      <c r="S33" s="6"/>
      <c r="T33" s="6"/>
      <c r="U33" s="16"/>
      <c r="V33" s="16"/>
      <c r="W33" s="16"/>
      <c r="X33" s="16"/>
      <c r="Y33" s="16"/>
      <c r="Z33" s="16"/>
    </row>
    <row r="34" spans="1:26" x14ac:dyDescent="0.35">
      <c r="A34" s="6"/>
      <c r="B34" s="6"/>
      <c r="C34" s="6"/>
      <c r="D34" s="6"/>
      <c r="E34" s="6"/>
      <c r="F34" s="6"/>
      <c r="G34" s="6"/>
      <c r="H34" s="6"/>
      <c r="I34" s="6"/>
      <c r="J34" s="6"/>
      <c r="K34" s="6"/>
      <c r="L34" s="6"/>
      <c r="M34" s="6"/>
      <c r="N34" s="6"/>
      <c r="O34" s="6"/>
      <c r="P34" s="6"/>
      <c r="Q34" s="6"/>
      <c r="R34" s="6"/>
      <c r="S34" s="6"/>
      <c r="T34" s="6"/>
      <c r="U34" s="17"/>
      <c r="V34" s="17"/>
      <c r="W34" s="17"/>
      <c r="X34" s="17"/>
      <c r="Y34" s="17"/>
      <c r="Z34" s="17"/>
    </row>
    <row r="35" spans="1:26" x14ac:dyDescent="0.35">
      <c r="A35" s="6"/>
      <c r="B35" s="6"/>
      <c r="C35" s="6"/>
      <c r="D35" s="6"/>
      <c r="E35" s="6"/>
      <c r="F35" s="6"/>
      <c r="G35" s="6"/>
      <c r="H35" s="6"/>
      <c r="I35" s="6"/>
      <c r="J35" s="6"/>
      <c r="K35" s="6"/>
      <c r="L35" s="6"/>
      <c r="M35" s="6"/>
      <c r="N35" s="6"/>
      <c r="O35" s="6"/>
      <c r="P35" s="6"/>
      <c r="Q35" s="6"/>
      <c r="R35" s="6"/>
      <c r="S35" s="6"/>
      <c r="T35" s="6"/>
      <c r="U35" s="18"/>
      <c r="V35" s="18"/>
      <c r="W35" s="18"/>
      <c r="X35" s="18"/>
      <c r="Y35" s="18"/>
      <c r="Z35" s="18"/>
    </row>
    <row r="36" spans="1:26" x14ac:dyDescent="0.35">
      <c r="A36" s="6"/>
      <c r="B36" s="6"/>
      <c r="C36" s="6"/>
      <c r="D36" s="6"/>
      <c r="E36" s="6"/>
      <c r="F36" s="6"/>
      <c r="G36" s="6"/>
      <c r="H36" s="6"/>
      <c r="I36" s="6"/>
      <c r="J36" s="6"/>
      <c r="K36" s="6"/>
      <c r="L36" s="6"/>
      <c r="M36" s="6"/>
      <c r="N36" s="6"/>
      <c r="O36" s="6"/>
      <c r="P36" s="6"/>
      <c r="Q36" s="6"/>
      <c r="R36" s="6"/>
      <c r="S36" s="6"/>
      <c r="T36" s="6"/>
      <c r="U36" s="18"/>
      <c r="V36" s="18"/>
      <c r="W36" s="18"/>
      <c r="X36" s="18"/>
      <c r="Y36" s="18"/>
      <c r="Z36" s="18"/>
    </row>
    <row r="37" spans="1:26" x14ac:dyDescent="0.35">
      <c r="A37" s="6"/>
      <c r="B37" s="6"/>
      <c r="C37" s="6"/>
      <c r="D37" s="6"/>
      <c r="E37" s="6"/>
      <c r="F37" s="6"/>
      <c r="G37" s="6"/>
      <c r="H37" s="6"/>
      <c r="I37" s="6"/>
      <c r="J37" s="6"/>
      <c r="K37" s="6"/>
      <c r="L37" s="6"/>
      <c r="M37" s="6"/>
      <c r="N37" s="6"/>
      <c r="O37" s="6"/>
      <c r="P37" s="6"/>
      <c r="Q37" s="6"/>
      <c r="R37" s="6"/>
      <c r="S37" s="6"/>
      <c r="T37" s="6"/>
      <c r="U37" s="18"/>
      <c r="V37" s="18"/>
      <c r="W37" s="18"/>
      <c r="X37" s="18"/>
      <c r="Y37" s="18"/>
      <c r="Z37" s="18"/>
    </row>
    <row r="38" spans="1:26" x14ac:dyDescent="0.35">
      <c r="A38" s="6"/>
      <c r="B38" s="6"/>
      <c r="C38" s="6"/>
      <c r="D38" s="6"/>
      <c r="E38" s="6"/>
      <c r="F38" s="6"/>
      <c r="G38" s="6"/>
      <c r="H38" s="6"/>
      <c r="I38" s="6"/>
      <c r="J38" s="6"/>
      <c r="K38" s="6"/>
      <c r="L38" s="6"/>
      <c r="M38" s="6"/>
      <c r="N38" s="6"/>
      <c r="O38" s="6"/>
      <c r="P38" s="6"/>
      <c r="Q38" s="6"/>
      <c r="R38" s="6"/>
      <c r="S38" s="6"/>
      <c r="T38" s="6"/>
      <c r="U38" s="18"/>
      <c r="V38" s="18"/>
      <c r="W38" s="18"/>
      <c r="X38" s="18"/>
      <c r="Y38" s="18"/>
      <c r="Z38" s="18"/>
    </row>
    <row r="39" spans="1:26" x14ac:dyDescent="0.35">
      <c r="A39" s="6"/>
      <c r="B39" s="6"/>
      <c r="C39" s="6"/>
      <c r="D39" s="6"/>
      <c r="E39" s="6"/>
      <c r="F39" s="6"/>
      <c r="G39" s="6"/>
      <c r="H39" s="6"/>
      <c r="I39" s="6"/>
      <c r="J39" s="6"/>
      <c r="K39" s="6"/>
      <c r="L39" s="6"/>
      <c r="M39" s="6"/>
      <c r="N39" s="6"/>
      <c r="O39" s="6"/>
      <c r="P39" s="6"/>
      <c r="Q39" s="6"/>
      <c r="R39" s="6"/>
      <c r="S39" s="6"/>
      <c r="T39" s="6"/>
      <c r="U39" s="18"/>
      <c r="V39" s="18"/>
      <c r="W39" s="18"/>
      <c r="X39" s="18"/>
      <c r="Y39" s="18"/>
      <c r="Z39" s="18"/>
    </row>
    <row r="40" spans="1:26" x14ac:dyDescent="0.35">
      <c r="A40" s="6"/>
      <c r="B40" s="6"/>
      <c r="C40" s="6"/>
      <c r="D40" s="6"/>
      <c r="E40" s="6"/>
      <c r="F40" s="6"/>
      <c r="G40" s="6"/>
      <c r="H40" s="6"/>
      <c r="I40" s="6"/>
      <c r="J40" s="6"/>
      <c r="K40" s="6"/>
      <c r="L40" s="6"/>
      <c r="M40" s="6"/>
      <c r="N40" s="6"/>
      <c r="O40" s="6"/>
      <c r="P40" s="6"/>
      <c r="Q40" s="6"/>
      <c r="R40" s="6"/>
      <c r="S40" s="6"/>
      <c r="T40" s="6"/>
      <c r="U40" s="18"/>
      <c r="V40" s="18"/>
      <c r="W40" s="18"/>
      <c r="X40" s="18"/>
      <c r="Y40" s="18"/>
      <c r="Z40" s="18"/>
    </row>
    <row r="41" spans="1:26" x14ac:dyDescent="0.35">
      <c r="A41" s="6"/>
      <c r="B41" s="6"/>
      <c r="C41" s="6"/>
      <c r="D41" s="6"/>
      <c r="E41" s="6"/>
      <c r="F41" s="6"/>
      <c r="G41" s="6"/>
      <c r="H41" s="6"/>
      <c r="I41" s="6"/>
      <c r="J41" s="6"/>
      <c r="K41" s="6"/>
      <c r="L41" s="6"/>
      <c r="M41" s="6"/>
      <c r="N41" s="6"/>
      <c r="O41" s="6"/>
      <c r="P41" s="6"/>
      <c r="Q41" s="6"/>
      <c r="R41" s="6"/>
      <c r="S41" s="6"/>
      <c r="T41" s="6"/>
      <c r="U41" s="18"/>
      <c r="V41" s="18"/>
      <c r="W41" s="18"/>
      <c r="X41" s="18"/>
      <c r="Y41" s="18"/>
      <c r="Z41" s="18"/>
    </row>
    <row r="42" spans="1:26" x14ac:dyDescent="0.35">
      <c r="A42" s="6"/>
      <c r="B42" s="6"/>
      <c r="C42" s="6"/>
      <c r="D42" s="6"/>
      <c r="E42" s="6"/>
      <c r="F42" s="6"/>
      <c r="G42" s="6"/>
      <c r="H42" s="6"/>
      <c r="I42" s="6"/>
      <c r="J42" s="6"/>
      <c r="K42" s="6"/>
      <c r="L42" s="6"/>
      <c r="M42" s="6"/>
      <c r="N42" s="6"/>
      <c r="O42" s="6"/>
      <c r="P42" s="6"/>
      <c r="Q42" s="6"/>
      <c r="R42" s="6"/>
      <c r="S42" s="6"/>
      <c r="T42" s="6"/>
      <c r="U42" s="18"/>
      <c r="V42" s="18"/>
      <c r="W42" s="18"/>
      <c r="X42" s="18"/>
      <c r="Y42" s="18"/>
      <c r="Z42" s="18"/>
    </row>
    <row r="43" spans="1:26" x14ac:dyDescent="0.35">
      <c r="A43" s="6"/>
      <c r="B43" s="6"/>
      <c r="C43" s="6"/>
      <c r="D43" s="6"/>
      <c r="E43" s="6"/>
      <c r="F43" s="6"/>
      <c r="G43" s="6"/>
      <c r="H43" s="6"/>
      <c r="I43" s="6"/>
      <c r="J43" s="6"/>
      <c r="K43" s="6"/>
      <c r="L43" s="6"/>
      <c r="M43" s="6"/>
      <c r="N43" s="6"/>
      <c r="O43" s="6"/>
      <c r="P43" s="6"/>
      <c r="Q43" s="6"/>
      <c r="R43" s="6"/>
      <c r="S43" s="6"/>
      <c r="T43" s="6"/>
      <c r="U43" s="18"/>
      <c r="V43" s="18"/>
      <c r="W43" s="18"/>
      <c r="X43" s="18"/>
      <c r="Y43" s="18"/>
      <c r="Z43" s="18"/>
    </row>
    <row r="44" spans="1:26" x14ac:dyDescent="0.35">
      <c r="A44" s="6"/>
      <c r="B44" s="6"/>
      <c r="C44" s="6"/>
      <c r="D44" s="6"/>
      <c r="E44" s="6"/>
      <c r="F44" s="6"/>
      <c r="G44" s="6"/>
      <c r="H44" s="6"/>
      <c r="I44" s="6"/>
      <c r="J44" s="6"/>
      <c r="K44" s="6"/>
      <c r="L44" s="6"/>
      <c r="M44" s="6"/>
      <c r="N44" s="6"/>
      <c r="O44" s="6"/>
      <c r="P44" s="6"/>
      <c r="Q44" s="6"/>
      <c r="R44" s="6"/>
      <c r="S44" s="6"/>
      <c r="T44" s="6"/>
      <c r="U44" s="18"/>
      <c r="V44" s="18"/>
      <c r="W44" s="18"/>
      <c r="X44" s="18"/>
      <c r="Y44" s="18"/>
      <c r="Z44" s="18"/>
    </row>
  </sheetData>
  <mergeCells count="7">
    <mergeCell ref="U20:Z24"/>
    <mergeCell ref="U14:Z19"/>
    <mergeCell ref="U25:Z30"/>
    <mergeCell ref="U1:Z2"/>
    <mergeCell ref="U9:Z13"/>
    <mergeCell ref="A1:T4"/>
    <mergeCell ref="U3:Z8"/>
  </mergeCells>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House Price Prediction Dataset</vt:lpstr>
      <vt:lpstr>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Gode</dc:creator>
  <cp:lastModifiedBy>Aniket Gode</cp:lastModifiedBy>
  <cp:lastPrinted>2024-12-05T11:35:16Z</cp:lastPrinted>
  <dcterms:created xsi:type="dcterms:W3CDTF">2024-12-04T21:38:20Z</dcterms:created>
  <dcterms:modified xsi:type="dcterms:W3CDTF">2024-12-05T12:06:25Z</dcterms:modified>
</cp:coreProperties>
</file>